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amnee\Downloads\"/>
    </mc:Choice>
  </mc:AlternateContent>
  <xr:revisionPtr revIDLastSave="0" documentId="13_ncr:1_{492C85BA-77FE-4025-9096-4A541DC98E19}" xr6:coauthVersionLast="47" xr6:coauthVersionMax="47" xr10:uidLastSave="{00000000-0000-0000-0000-000000000000}"/>
  <bookViews>
    <workbookView xWindow="-120" yWindow="-120" windowWidth="20640" windowHeight="11040" firstSheet="1" activeTab="4" xr2:uid="{00000000-000D-0000-FFFF-FFFF00000000}"/>
  </bookViews>
  <sheets>
    <sheet name="raw_financial_sales_data" sheetId="1" r:id="rId1"/>
    <sheet name="Financial_Sales_Analysis" sheetId="2" r:id="rId2"/>
    <sheet name="Pivot_Tables" sheetId="3" r:id="rId3"/>
    <sheet name="Helper" sheetId="5" r:id="rId4"/>
    <sheet name="Dashboard" sheetId="4" r:id="rId5"/>
  </sheets>
  <definedNames>
    <definedName name="ExternalData_1" localSheetId="1" hidden="1">Financial_Sales_Analysis!$A$3:$W$523</definedName>
    <definedName name="Slicer_Business_Unit">#N/A</definedName>
    <definedName name="Slicer_Margin_Risk">#N/A</definedName>
    <definedName name="Slicer_Product_Category">#N/A</definedName>
    <definedName name="Slicer_Region">#N/A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 i="5" l="1"/>
  <c r="A8" i="5"/>
  <c r="A4" i="5"/>
  <c r="A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BDA8DA-1235-46DB-B90D-425D37D617AA}" keepAlive="1" name="Query - Financial_Sales_Cleaned" description="Connection to the 'Financial_Sales_Cleaned' query in the workbook." type="5" refreshedVersion="8" background="1" saveData="1">
    <dbPr connection="Provider=Microsoft.Mashup.OleDb.1;Data Source=$Workbook$;Location=Financial_Sales_Cleaned;Extended Properties=&quot;&quot;" command="SELECT * FROM [Financial_Sales_Cleaned]"/>
  </connection>
</connections>
</file>

<file path=xl/sharedStrings.xml><?xml version="1.0" encoding="utf-8"?>
<sst xmlns="http://schemas.openxmlformats.org/spreadsheetml/2006/main" count="9458" uniqueCount="1087">
  <si>
    <t>Order_ID</t>
  </si>
  <si>
    <t>Order_Date</t>
  </si>
  <si>
    <t>Region</t>
  </si>
  <si>
    <t>Country</t>
  </si>
  <si>
    <t>Business_Unit</t>
  </si>
  <si>
    <t>Product_Category</t>
  </si>
  <si>
    <t>Product_SKU</t>
  </si>
  <si>
    <t>Vendor</t>
  </si>
  <si>
    <t>List_Price</t>
  </si>
  <si>
    <t>Discount_Pct</t>
  </si>
  <si>
    <t>Net_Sales</t>
  </si>
  <si>
    <t>Unit_Cost</t>
  </si>
  <si>
    <t>Logistics_Cost</t>
  </si>
  <si>
    <t>Units_Sold</t>
  </si>
  <si>
    <t>Benchmark_Margin_Pct</t>
  </si>
  <si>
    <t>ORD1000</t>
  </si>
  <si>
    <t>ORD1001</t>
  </si>
  <si>
    <t>ORD1002</t>
  </si>
  <si>
    <t>ORD1003</t>
  </si>
  <si>
    <t>ORD1004</t>
  </si>
  <si>
    <t>ORD1005</t>
  </si>
  <si>
    <t>ORD1006</t>
  </si>
  <si>
    <t>ORD1007</t>
  </si>
  <si>
    <t>ORD1008</t>
  </si>
  <si>
    <t>ORD1009</t>
  </si>
  <si>
    <t>ORD1010</t>
  </si>
  <si>
    <t>ORD1011</t>
  </si>
  <si>
    <t>ORD1012</t>
  </si>
  <si>
    <t>ORD1013</t>
  </si>
  <si>
    <t>ORD1014</t>
  </si>
  <si>
    <t>ORD1015</t>
  </si>
  <si>
    <t>ORD1016</t>
  </si>
  <si>
    <t>ORD1017</t>
  </si>
  <si>
    <t>ORD1018</t>
  </si>
  <si>
    <t>ORD1019</t>
  </si>
  <si>
    <t>ORD1020</t>
  </si>
  <si>
    <t>ORD1021</t>
  </si>
  <si>
    <t>ORD1022</t>
  </si>
  <si>
    <t>ORD1023</t>
  </si>
  <si>
    <t>ORD1024</t>
  </si>
  <si>
    <t>ORD1025</t>
  </si>
  <si>
    <t>ORD1026</t>
  </si>
  <si>
    <t>ORD1027</t>
  </si>
  <si>
    <t>ORD1028</t>
  </si>
  <si>
    <t>ORD1029</t>
  </si>
  <si>
    <t>ORD1030</t>
  </si>
  <si>
    <t>ORD1031</t>
  </si>
  <si>
    <t>ORD1032</t>
  </si>
  <si>
    <t>ORD1033</t>
  </si>
  <si>
    <t>ORD1034</t>
  </si>
  <si>
    <t>ORD1035</t>
  </si>
  <si>
    <t>ORD1036</t>
  </si>
  <si>
    <t>ORD1037</t>
  </si>
  <si>
    <t>ORD1038</t>
  </si>
  <si>
    <t>ORD1039</t>
  </si>
  <si>
    <t>ORD1040</t>
  </si>
  <si>
    <t>ORD1041</t>
  </si>
  <si>
    <t>ORD1042</t>
  </si>
  <si>
    <t>ORD1043</t>
  </si>
  <si>
    <t>ORD1044</t>
  </si>
  <si>
    <t>ORD1045</t>
  </si>
  <si>
    <t>ORD1046</t>
  </si>
  <si>
    <t>ORD1047</t>
  </si>
  <si>
    <t>ORD1048</t>
  </si>
  <si>
    <t>ORD1049</t>
  </si>
  <si>
    <t>ORD1050</t>
  </si>
  <si>
    <t>ORD1051</t>
  </si>
  <si>
    <t>ORD1052</t>
  </si>
  <si>
    <t>ORD1053</t>
  </si>
  <si>
    <t>ORD1054</t>
  </si>
  <si>
    <t>ORD1055</t>
  </si>
  <si>
    <t>ORD1056</t>
  </si>
  <si>
    <t>ORD1057</t>
  </si>
  <si>
    <t>ORD1058</t>
  </si>
  <si>
    <t>ORD1059</t>
  </si>
  <si>
    <t>ORD1060</t>
  </si>
  <si>
    <t>ORD1061</t>
  </si>
  <si>
    <t>ORD1062</t>
  </si>
  <si>
    <t>ORD1063</t>
  </si>
  <si>
    <t>ORD1064</t>
  </si>
  <si>
    <t>ORD1065</t>
  </si>
  <si>
    <t>ORD1066</t>
  </si>
  <si>
    <t>ORD1067</t>
  </si>
  <si>
    <t>ORD1068</t>
  </si>
  <si>
    <t>ORD1069</t>
  </si>
  <si>
    <t>ORD1070</t>
  </si>
  <si>
    <t>ORD1071</t>
  </si>
  <si>
    <t>ORD1072</t>
  </si>
  <si>
    <t>ORD1073</t>
  </si>
  <si>
    <t>ORD1074</t>
  </si>
  <si>
    <t>ORD1075</t>
  </si>
  <si>
    <t>ORD1076</t>
  </si>
  <si>
    <t>ORD1077</t>
  </si>
  <si>
    <t>ORD1078</t>
  </si>
  <si>
    <t>ORD1079</t>
  </si>
  <si>
    <t>ORD1080</t>
  </si>
  <si>
    <t>ORD1081</t>
  </si>
  <si>
    <t>ORD1082</t>
  </si>
  <si>
    <t>ORD1083</t>
  </si>
  <si>
    <t>ORD1084</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</si>
  <si>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</si>
  <si>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</si>
  <si>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</si>
  <si>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</si>
  <si>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</si>
  <si>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</si>
  <si>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</si>
  <si>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</si>
  <si>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</si>
  <si>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</si>
  <si>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</si>
  <si>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</si>
  <si>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</si>
  <si>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</si>
  <si>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</si>
  <si>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</si>
  <si>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</si>
  <si>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</si>
  <si>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</si>
  <si>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</si>
  <si>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</si>
  <si>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</si>
  <si>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</si>
  <si>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</si>
  <si>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</si>
  <si>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</si>
  <si>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</si>
  <si>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</si>
  <si>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</si>
  <si>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</si>
  <si>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</si>
  <si>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</si>
  <si>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</si>
  <si>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</si>
  <si>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</si>
  <si>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</si>
  <si>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</si>
  <si>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</si>
  <si>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</si>
  <si>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</si>
  <si>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</si>
  <si>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</si>
  <si>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</si>
  <si>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</si>
  <si>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</si>
  <si>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</si>
  <si>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</si>
  <si>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</si>
  <si>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</si>
  <si>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</si>
  <si>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</si>
  <si>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</si>
  <si>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</si>
  <si>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</si>
  <si>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</si>
  <si>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</si>
  <si>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</si>
  <si>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</si>
  <si>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</si>
  <si>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</si>
  <si>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</si>
  <si>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</si>
  <si>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</si>
  <si>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</si>
  <si>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</si>
  <si>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</si>
  <si>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</si>
  <si>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</si>
  <si>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</si>
  <si>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</si>
  <si>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</si>
  <si>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</si>
  <si>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</si>
  <si>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</si>
  <si>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</si>
  <si>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</si>
  <si>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</si>
  <si>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</si>
  <si>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</si>
  <si>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</si>
  <si>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</si>
  <si>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</si>
  <si>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</si>
  <si>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</si>
  <si>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</si>
  <si>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</si>
  <si>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</si>
  <si>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</si>
  <si>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</si>
  <si>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</si>
  <si>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</si>
  <si>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</si>
  <si>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</si>
  <si>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</si>
  <si>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</si>
  <si>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</si>
  <si>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</si>
  <si>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</si>
  <si>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</si>
  <si>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</si>
  <si>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</si>
  <si>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</si>
  <si>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</si>
  <si>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</si>
  <si>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</si>
  <si>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</si>
  <si>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</si>
  <si>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</si>
  <si>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</si>
  <si>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</si>
  <si>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</si>
  <si>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</si>
  <si>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</si>
  <si>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</si>
  <si>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</si>
  <si>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</si>
  <si>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</si>
  <si>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</si>
  <si>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</si>
  <si>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</si>
  <si>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</si>
  <si>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</si>
  <si>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</si>
  <si>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</si>
  <si>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</si>
  <si>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</si>
  <si>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</si>
  <si>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</si>
  <si>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</si>
  <si>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</si>
  <si>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</si>
  <si>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</si>
  <si>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</si>
  <si>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</si>
  <si>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</si>
  <si>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</si>
  <si>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</si>
  <si>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</si>
  <si>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</si>
  <si>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</si>
  <si>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</si>
  <si>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</si>
  <si>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</si>
  <si>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</si>
  <si>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</si>
  <si>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</si>
  <si>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</si>
  <si>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</si>
  <si>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</si>
  <si>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</si>
  <si>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</si>
  <si>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</si>
  <si>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</si>
  <si>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</si>
  <si>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</si>
  <si>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</si>
  <si>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</si>
  <si>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</si>
  <si>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</si>
  <si>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</si>
  <si>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</si>
  <si>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</si>
  <si>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</si>
  <si>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</si>
  <si>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</si>
  <si>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</si>
  <si>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</si>
  <si>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</si>
  <si>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</si>
  <si>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</si>
  <si>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</si>
  <si>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</si>
  <si>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</si>
  <si>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</si>
  <si>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</si>
  <si>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</si>
  <si>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</si>
  <si>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</si>
  <si>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</si>
  <si>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</si>
  <si>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</si>
  <si>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</si>
  <si>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</si>
  <si>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</si>
  <si>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</si>
  <si>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</si>
  <si>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</si>
  <si>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</si>
  <si>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</si>
  <si>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</si>
  <si>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</si>
  <si>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</si>
  <si>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</si>
  <si>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</si>
  <si>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</si>
  <si>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</si>
  <si>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</si>
  <si>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</si>
  <si>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</si>
  <si>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</si>
  <si>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</si>
  <si>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</si>
  <si>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</si>
  <si>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</si>
  <si>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</si>
  <si>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</si>
  <si>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</si>
  <si>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</si>
  <si>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</si>
  <si>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</si>
  <si>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</si>
  <si>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</si>
  <si>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</si>
  <si>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</si>
  <si>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</si>
  <si>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</si>
  <si>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</si>
  <si>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</si>
  <si>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</si>
  <si>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</si>
  <si>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</si>
  <si>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</si>
  <si>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</si>
  <si>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</si>
  <si>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</si>
  <si>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</si>
  <si>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</si>
  <si>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</si>
  <si>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</si>
  <si>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</si>
  <si>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</si>
  <si>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</si>
  <si>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</si>
  <si>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</si>
  <si>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</si>
  <si>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</si>
  <si>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</si>
  <si>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</si>
  <si>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</si>
  <si>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</si>
  <si>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</si>
  <si>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</si>
  <si>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</si>
  <si>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</si>
  <si>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</si>
  <si>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</si>
  <si>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</si>
  <si>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</si>
  <si>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</si>
  <si>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</si>
  <si>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</si>
  <si>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</si>
  <si>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</si>
  <si>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</si>
  <si>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</si>
  <si>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</si>
  <si>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</si>
  <si>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</si>
  <si>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</si>
  <si>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</si>
  <si>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</si>
  <si>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</si>
  <si>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</si>
  <si>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</si>
  <si>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</si>
  <si>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</si>
  <si>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</si>
  <si>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</si>
  <si>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</si>
  <si>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</si>
  <si>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</si>
  <si>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</si>
  <si>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</si>
  <si>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</si>
  <si>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</si>
  <si>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</si>
  <si>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</si>
  <si>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</si>
  <si>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</si>
  <si>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</si>
  <si>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</si>
  <si>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</si>
  <si>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</si>
  <si>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</si>
  <si>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</si>
  <si>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</si>
  <si>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</si>
  <si>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</si>
  <si>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</si>
  <si>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</si>
  <si>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</si>
  <si>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</si>
  <si>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</si>
  <si>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</si>
  <si>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</si>
  <si>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</si>
  <si>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</si>
  <si>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</si>
  <si>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</si>
  <si>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</si>
  <si>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</si>
  <si>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</si>
  <si>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</si>
  <si>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</si>
  <si>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</si>
  <si>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</si>
  <si>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</si>
  <si>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</si>
  <si>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</si>
  <si>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</si>
  <si>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</si>
  <si>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</si>
  <si>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</si>
  <si>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</si>
  <si>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</si>
  <si>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</si>
  <si>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</si>
  <si>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</si>
  <si>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</si>
  <si>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</si>
  <si>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</si>
  <si>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</si>
  <si>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</si>
  <si>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</si>
  <si>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</si>
  <si>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</si>
  <si>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</si>
  <si>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</si>
  <si>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</si>
  <si>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</si>
  <si>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</si>
  <si>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</si>
  <si>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</si>
  <si>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</si>
  <si>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</si>
  <si>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</si>
  <si>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</si>
  <si>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</si>
  <si>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</si>
  <si>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</si>
  <si>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</si>
  <si>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</si>
  <si>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</si>
  <si>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</si>
  <si>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</si>
  <si>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</si>
  <si>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</si>
  <si>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</si>
  <si>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</si>
  <si>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</si>
  <si>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</si>
  <si>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</si>
  <si>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</si>
  <si>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</si>
  <si>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</si>
  <si>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</si>
  <si>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</si>
  <si>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</si>
  <si>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</si>
  <si>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</si>
  <si>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</si>
  <si>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</si>
  <si>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</si>
  <si>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</si>
  <si>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</si>
  <si>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</si>
  <si>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</si>
  <si>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</si>
  <si>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</si>
  <si>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</si>
  <si>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</si>
  <si>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</si>
  <si>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</si>
  <si>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</si>
  <si>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</si>
  <si>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</si>
  <si>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</si>
  <si>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</si>
  <si>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</si>
  <si>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</si>
  <si>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</si>
  <si>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</si>
  <si>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</si>
  <si>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</si>
  <si>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</si>
  <si>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</si>
  <si>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</si>
  <si>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</si>
  <si>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</si>
  <si>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</si>
  <si>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</si>
  <si>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</si>
  <si>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</si>
  <si>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</si>
  <si>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</si>
  <si>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</si>
  <si>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</si>
  <si>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</si>
  <si>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</si>
  <si>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</si>
  <si>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</si>
  <si>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</si>
  <si>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</si>
  <si>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</si>
  <si>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</si>
  <si>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</si>
  <si>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</si>
  <si>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</si>
  <si>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</si>
  <si>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</si>
  <si>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</si>
  <si>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</si>
  <si>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</si>
  <si>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</si>
  <si>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</si>
  <si>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</si>
  <si>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</si>
  <si>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</si>
  <si>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</si>
  <si>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</si>
  <si>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</si>
  <si>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</si>
  <si>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</si>
  <si>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</si>
  <si>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</si>
  <si>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</si>
  <si>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</si>
  <si>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</si>
  <si>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</si>
  <si>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</si>
  <si>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</si>
  <si>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</si>
  <si>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</si>
  <si>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</si>
  <si>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</si>
  <si>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North America</t>
  </si>
  <si>
    <t>APAC</t>
  </si>
  <si>
    <t>Europe</t>
  </si>
  <si>
    <t>Canada</t>
  </si>
  <si>
    <t>India</t>
  </si>
  <si>
    <t>USA</t>
  </si>
  <si>
    <t>UK</t>
  </si>
  <si>
    <t>Germany</t>
  </si>
  <si>
    <t>France</t>
  </si>
  <si>
    <t>Singapore</t>
  </si>
  <si>
    <t>Enterprise</t>
  </si>
  <si>
    <t>Consumer</t>
  </si>
  <si>
    <t>Electronics</t>
  </si>
  <si>
    <t>Home</t>
  </si>
  <si>
    <t>B2B Services</t>
  </si>
  <si>
    <t>Apparel</t>
  </si>
  <si>
    <t>ELE-291</t>
  </si>
  <si>
    <t>HOM-794</t>
  </si>
  <si>
    <t>ELE-276</t>
  </si>
  <si>
    <t>HOM-984</t>
  </si>
  <si>
    <t>B2B-141</t>
  </si>
  <si>
    <t>APP-173</t>
  </si>
  <si>
    <t>ELE-128</t>
  </si>
  <si>
    <t>HOM-903</t>
  </si>
  <si>
    <t>HOM-752</t>
  </si>
  <si>
    <t>APP-604</t>
  </si>
  <si>
    <t>ELE-248</t>
  </si>
  <si>
    <t>HOM-242</t>
  </si>
  <si>
    <t>ELE-767</t>
  </si>
  <si>
    <t>APP-601</t>
  </si>
  <si>
    <t>ELE-693</t>
  </si>
  <si>
    <t>ELE-900</t>
  </si>
  <si>
    <t>APP-560</t>
  </si>
  <si>
    <t>ELE-536</t>
  </si>
  <si>
    <t>ELE-816</t>
  </si>
  <si>
    <t>ELE-990</t>
  </si>
  <si>
    <t>APP-952</t>
  </si>
  <si>
    <t>HOM-958</t>
  </si>
  <si>
    <t>APP-896</t>
  </si>
  <si>
    <t>APP-982</t>
  </si>
  <si>
    <t>HOM-294</t>
  </si>
  <si>
    <t>B2B-504</t>
  </si>
  <si>
    <t>ELE-348</t>
  </si>
  <si>
    <t>APP-966</t>
  </si>
  <si>
    <t>HOM-625</t>
  </si>
  <si>
    <t>HOM-982</t>
  </si>
  <si>
    <t>ELE-636</t>
  </si>
  <si>
    <t>B2B-875</t>
  </si>
  <si>
    <t>HOM-840</t>
  </si>
  <si>
    <t>ELE-706</t>
  </si>
  <si>
    <t>HOM-174</t>
  </si>
  <si>
    <t>APP-534</t>
  </si>
  <si>
    <t>ELE-753</t>
  </si>
  <si>
    <t>APP-749</t>
  </si>
  <si>
    <t>B2B-705</t>
  </si>
  <si>
    <t>ELE-646</t>
  </si>
  <si>
    <t>B2B-264</t>
  </si>
  <si>
    <t>HOM-899</t>
  </si>
  <si>
    <t>APP-297</t>
  </si>
  <si>
    <t>HOM-519</t>
  </si>
  <si>
    <t>ELE-734</t>
  </si>
  <si>
    <t>APP-360</t>
  </si>
  <si>
    <t>B2B-168</t>
  </si>
  <si>
    <t>APP-309</t>
  </si>
  <si>
    <t>HOM-205</t>
  </si>
  <si>
    <t>HOM-712</t>
  </si>
  <si>
    <t>APP-408</t>
  </si>
  <si>
    <t>B2B-309</t>
  </si>
  <si>
    <t>HOM-809</t>
  </si>
  <si>
    <t>ELE-460</t>
  </si>
  <si>
    <t>APP-990</t>
  </si>
  <si>
    <t>B2B-470</t>
  </si>
  <si>
    <t>APP-154</t>
  </si>
  <si>
    <t>B2B-107</t>
  </si>
  <si>
    <t>HOM-363</t>
  </si>
  <si>
    <t>B2B-834</t>
  </si>
  <si>
    <t>APP-799</t>
  </si>
  <si>
    <t>ELE-355</t>
  </si>
  <si>
    <t>APP-158</t>
  </si>
  <si>
    <t>B2B-377</t>
  </si>
  <si>
    <t>APP-924</t>
  </si>
  <si>
    <t>HOM-575</t>
  </si>
  <si>
    <t>APP-248</t>
  </si>
  <si>
    <t>HOM-857</t>
  </si>
  <si>
    <t>B2B-581</t>
  </si>
  <si>
    <t>APP-902</t>
  </si>
  <si>
    <t>ELE-116</t>
  </si>
  <si>
    <t>HOM-473</t>
  </si>
  <si>
    <t>APP-500</t>
  </si>
  <si>
    <t>ELE-576</t>
  </si>
  <si>
    <t>APP-719</t>
  </si>
  <si>
    <t>HOM-496</t>
  </si>
  <si>
    <t>B2B-880</t>
  </si>
  <si>
    <t>B2B-371</t>
  </si>
  <si>
    <t>APP-475</t>
  </si>
  <si>
    <t>B2B-443</t>
  </si>
  <si>
    <t>ELE-325</t>
  </si>
  <si>
    <t>B2B-924</t>
  </si>
  <si>
    <t>ELE-989</t>
  </si>
  <si>
    <t>HOM-219</t>
  </si>
  <si>
    <t>ELE-748</t>
  </si>
  <si>
    <t>APP-137</t>
  </si>
  <si>
    <t>B2B-323</t>
  </si>
  <si>
    <t>HOM-435</t>
  </si>
  <si>
    <t>HOM-799</t>
  </si>
  <si>
    <t>HOM-181</t>
  </si>
  <si>
    <t>ELE-322</t>
  </si>
  <si>
    <t>HOM-377</t>
  </si>
  <si>
    <t>B2B-369</t>
  </si>
  <si>
    <t>B2B-178</t>
  </si>
  <si>
    <t>APP-370</t>
  </si>
  <si>
    <t>ELE-847</t>
  </si>
  <si>
    <t>HOM-991</t>
  </si>
  <si>
    <t>APP-529</t>
  </si>
  <si>
    <t>ELE-792</t>
  </si>
  <si>
    <t>B2B-930</t>
  </si>
  <si>
    <t>ELE-419</t>
  </si>
  <si>
    <t>HOM-313</t>
  </si>
  <si>
    <t>ELE-341</t>
  </si>
  <si>
    <t>ELE-970</t>
  </si>
  <si>
    <t>APP-108</t>
  </si>
  <si>
    <t>HOM-210</t>
  </si>
  <si>
    <t>HOM-455</t>
  </si>
  <si>
    <t>ELE-451</t>
  </si>
  <si>
    <t>HOM-961</t>
  </si>
  <si>
    <t>APP-707</t>
  </si>
  <si>
    <t>APP-470</t>
  </si>
  <si>
    <t>ELE-851</t>
  </si>
  <si>
    <t>APP-480</t>
  </si>
  <si>
    <t>B2B-262</t>
  </si>
  <si>
    <t>HOM-729</t>
  </si>
  <si>
    <t>ELE-985</t>
  </si>
  <si>
    <t>ELE-719</t>
  </si>
  <si>
    <t>B2B-297</t>
  </si>
  <si>
    <t>HOM-910</t>
  </si>
  <si>
    <t>ELE-951</t>
  </si>
  <si>
    <t>APP-768</t>
  </si>
  <si>
    <t>HOM-637</t>
  </si>
  <si>
    <t>ELE-152</t>
  </si>
  <si>
    <t>APP-880</t>
  </si>
  <si>
    <t>ELE-581</t>
  </si>
  <si>
    <t>ELE-175</t>
  </si>
  <si>
    <t>HOM-966</t>
  </si>
  <si>
    <t>APP-764</t>
  </si>
  <si>
    <t>B2B-990</t>
  </si>
  <si>
    <t>ELE-423</t>
  </si>
  <si>
    <t>APP-390</t>
  </si>
  <si>
    <t>APP-138</t>
  </si>
  <si>
    <t>HOM-271</t>
  </si>
  <si>
    <t>HOM-477</t>
  </si>
  <si>
    <t>APP-266</t>
  </si>
  <si>
    <t>APP-772</t>
  </si>
  <si>
    <t>ELE-176</t>
  </si>
  <si>
    <t>APP-852</t>
  </si>
  <si>
    <t>B2B-843</t>
  </si>
  <si>
    <t>B2B-616</t>
  </si>
  <si>
    <t>ELE-229</t>
  </si>
  <si>
    <t>APP-944</t>
  </si>
  <si>
    <t>HOM-747</t>
  </si>
  <si>
    <t>APP-848</t>
  </si>
  <si>
    <t>ELE-565</t>
  </si>
  <si>
    <t>HOM-777</t>
  </si>
  <si>
    <t>HOM-504</t>
  </si>
  <si>
    <t>HOM-921</t>
  </si>
  <si>
    <t>HOM-124</t>
  </si>
  <si>
    <t>APP-631</t>
  </si>
  <si>
    <t>APP-428</t>
  </si>
  <si>
    <t>HOM-479</t>
  </si>
  <si>
    <t>B2B-254</t>
  </si>
  <si>
    <t>HOM-760</t>
  </si>
  <si>
    <t>APP-771</t>
  </si>
  <si>
    <t>ELE-663</t>
  </si>
  <si>
    <t>ELE-219</t>
  </si>
  <si>
    <t>ELE-858</t>
  </si>
  <si>
    <t>APP-107</t>
  </si>
  <si>
    <t>ELE-331</t>
  </si>
  <si>
    <t>APP-872</t>
  </si>
  <si>
    <t>B2B-459</t>
  </si>
  <si>
    <t>APP-218</t>
  </si>
  <si>
    <t>APP-387</t>
  </si>
  <si>
    <t>APP-725</t>
  </si>
  <si>
    <t>B2B-596</t>
  </si>
  <si>
    <t>APP-302</t>
  </si>
  <si>
    <t>HOM-562</t>
  </si>
  <si>
    <t>B2B-122</t>
  </si>
  <si>
    <t>HOM-614</t>
  </si>
  <si>
    <t>B2B-165</t>
  </si>
  <si>
    <t>ELE-732</t>
  </si>
  <si>
    <t>ELE-480</t>
  </si>
  <si>
    <t>HOM-156</t>
  </si>
  <si>
    <t>ELE-987</t>
  </si>
  <si>
    <t>APP-208</t>
  </si>
  <si>
    <t>APP-580</t>
  </si>
  <si>
    <t>HOM-672</t>
  </si>
  <si>
    <t>HOM-856</t>
  </si>
  <si>
    <t>HOM-360</t>
  </si>
  <si>
    <t>B2B-785</t>
  </si>
  <si>
    <t>APP-795</t>
  </si>
  <si>
    <t>B2B-120</t>
  </si>
  <si>
    <t>HOM-260</t>
  </si>
  <si>
    <t>B2B-127</t>
  </si>
  <si>
    <t>ELE-616</t>
  </si>
  <si>
    <t>B2B-393</t>
  </si>
  <si>
    <t>HOM-977</t>
  </si>
  <si>
    <t>B2B-895</t>
  </si>
  <si>
    <t>HOM-535</t>
  </si>
  <si>
    <t>HOM-696</t>
  </si>
  <si>
    <t>HOM-486</t>
  </si>
  <si>
    <t>HOM-787</t>
  </si>
  <si>
    <t>B2B-228</t>
  </si>
  <si>
    <t>HOM-936</t>
  </si>
  <si>
    <t>ELE-585</t>
  </si>
  <si>
    <t>HOM-376</t>
  </si>
  <si>
    <t>ELE-275</t>
  </si>
  <si>
    <t>ELE-347</t>
  </si>
  <si>
    <t>APP-905</t>
  </si>
  <si>
    <t>ELE-863</t>
  </si>
  <si>
    <t>APP-711</t>
  </si>
  <si>
    <t>APP-826</t>
  </si>
  <si>
    <t>HOM-172</t>
  </si>
  <si>
    <t>HOM-564</t>
  </si>
  <si>
    <t>B2B-807</t>
  </si>
  <si>
    <t>B2B-576</t>
  </si>
  <si>
    <t>B2B-968</t>
  </si>
  <si>
    <t>ELE-523</t>
  </si>
  <si>
    <t>HOM-604</t>
  </si>
  <si>
    <t>B2B-261</t>
  </si>
  <si>
    <t>ELE-829</t>
  </si>
  <si>
    <t>HOM-848</t>
  </si>
  <si>
    <t>ELE-440</t>
  </si>
  <si>
    <t>B2B-888</t>
  </si>
  <si>
    <t>HOM-656</t>
  </si>
  <si>
    <t>B2B-202</t>
  </si>
  <si>
    <t>B2B-757</t>
  </si>
  <si>
    <t>ELE-477</t>
  </si>
  <si>
    <t>ELE-309</t>
  </si>
  <si>
    <t>ELE-449</t>
  </si>
  <si>
    <t>ELE-226</t>
  </si>
  <si>
    <t>APP-122</t>
  </si>
  <si>
    <t>B2B-106</t>
  </si>
  <si>
    <t>ELE-574</t>
  </si>
  <si>
    <t>ELE-487</t>
  </si>
  <si>
    <t>APP-462</t>
  </si>
  <si>
    <t>HOM-223</t>
  </si>
  <si>
    <t>HOM-208</t>
  </si>
  <si>
    <t>ELE-453</t>
  </si>
  <si>
    <t>APP-379</t>
  </si>
  <si>
    <t>ELE-861</t>
  </si>
  <si>
    <t>HOM-216</t>
  </si>
  <si>
    <t>APP-657</t>
  </si>
  <si>
    <t>ELE-327</t>
  </si>
  <si>
    <t>ELE-181</t>
  </si>
  <si>
    <t>HOM-980</t>
  </si>
  <si>
    <t>B2B-213</t>
  </si>
  <si>
    <t>APP-156</t>
  </si>
  <si>
    <t>HOM-293</t>
  </si>
  <si>
    <t>HOM-287</t>
  </si>
  <si>
    <t>B2B-845</t>
  </si>
  <si>
    <t>APP-993</t>
  </si>
  <si>
    <t>APP-152</t>
  </si>
  <si>
    <t>ELE-259</t>
  </si>
  <si>
    <t>APP-875</t>
  </si>
  <si>
    <t>HOM-340</t>
  </si>
  <si>
    <t>APP-988</t>
  </si>
  <si>
    <t>HOM-240</t>
  </si>
  <si>
    <t>APP-828</t>
  </si>
  <si>
    <t>HOM-530</t>
  </si>
  <si>
    <t>ELE-639</t>
  </si>
  <si>
    <t>HOM-199</t>
  </si>
  <si>
    <t>B2B-848</t>
  </si>
  <si>
    <t>B2B-921</t>
  </si>
  <si>
    <t>B2B-914</t>
  </si>
  <si>
    <t>APP-486</t>
  </si>
  <si>
    <t>B2B-833</t>
  </si>
  <si>
    <t>ELE-737</t>
  </si>
  <si>
    <t>B2B-603</t>
  </si>
  <si>
    <t>HOM-570</t>
  </si>
  <si>
    <t>B2B-670</t>
  </si>
  <si>
    <t>APP-590</t>
  </si>
  <si>
    <t>HOM-981</t>
  </si>
  <si>
    <t>B2B-657</t>
  </si>
  <si>
    <t>APP-619</t>
  </si>
  <si>
    <t>B2B-679</t>
  </si>
  <si>
    <t>B2B-410</t>
  </si>
  <si>
    <t>APP-344</t>
  </si>
  <si>
    <t>HOM-692</t>
  </si>
  <si>
    <t>B2B-255</t>
  </si>
  <si>
    <t>HOM-254</t>
  </si>
  <si>
    <t>HOM-771</t>
  </si>
  <si>
    <t>HOM-817</t>
  </si>
  <si>
    <t>ELE-976</t>
  </si>
  <si>
    <t>HOM-679</t>
  </si>
  <si>
    <t>HOM-426</t>
  </si>
  <si>
    <t>ELE-467</t>
  </si>
  <si>
    <t>HOM-379</t>
  </si>
  <si>
    <t>B2B-665</t>
  </si>
  <si>
    <t>ELE-943</t>
  </si>
  <si>
    <t>HOM-211</t>
  </si>
  <si>
    <t>APP-760</t>
  </si>
  <si>
    <t>HOM-109</t>
  </si>
  <si>
    <t>ELE-828</t>
  </si>
  <si>
    <t>ELE-506</t>
  </si>
  <si>
    <t>ELE-407</t>
  </si>
  <si>
    <t>ELE-882</t>
  </si>
  <si>
    <t>HOM-827</t>
  </si>
  <si>
    <t>HOM-339</t>
  </si>
  <si>
    <t>HOM-121</t>
  </si>
  <si>
    <t>ELE-563</t>
  </si>
  <si>
    <t>B2B-945</t>
  </si>
  <si>
    <t>B2B-778</t>
  </si>
  <si>
    <t>B2B-128</t>
  </si>
  <si>
    <t>APP-511</t>
  </si>
  <si>
    <t>ELE-197</t>
  </si>
  <si>
    <t>B2B-594</t>
  </si>
  <si>
    <t>ELE-934</t>
  </si>
  <si>
    <t>HOM-512</t>
  </si>
  <si>
    <t>APP-967</t>
  </si>
  <si>
    <t>ELE-519</t>
  </si>
  <si>
    <t>APP-518</t>
  </si>
  <si>
    <t>HOM-959</t>
  </si>
  <si>
    <t>ELE-146</t>
  </si>
  <si>
    <t>ELE-260</t>
  </si>
  <si>
    <t>APP-603</t>
  </si>
  <si>
    <t>APP-956</t>
  </si>
  <si>
    <t>B2B-462</t>
  </si>
  <si>
    <t>APP-761</t>
  </si>
  <si>
    <t>ELE-102</t>
  </si>
  <si>
    <t>APP-720</t>
  </si>
  <si>
    <t>APP-276</t>
  </si>
  <si>
    <t>HOM-524</t>
  </si>
  <si>
    <t>APP-338</t>
  </si>
  <si>
    <t>ELE-745</t>
  </si>
  <si>
    <t>APP-214</t>
  </si>
  <si>
    <t>APP-739</t>
  </si>
  <si>
    <t>HOM-673</t>
  </si>
  <si>
    <t>ELE-172</t>
  </si>
  <si>
    <t>ELE-528</t>
  </si>
  <si>
    <t>HOM-633</t>
  </si>
  <si>
    <t>ELE-434</t>
  </si>
  <si>
    <t>APP-606</t>
  </si>
  <si>
    <t>B2B-579</t>
  </si>
  <si>
    <t>HOM-541</t>
  </si>
  <si>
    <t>HOM-544</t>
  </si>
  <si>
    <t>B2B-483</t>
  </si>
  <si>
    <t>ELE-880</t>
  </si>
  <si>
    <t>HOM-439</t>
  </si>
  <si>
    <t>B2B-774</t>
  </si>
  <si>
    <t>B2B-203</t>
  </si>
  <si>
    <t>APP-190</t>
  </si>
  <si>
    <t>HOM-798</t>
  </si>
  <si>
    <t>APP-213</t>
  </si>
  <si>
    <t>B2B-636</t>
  </si>
  <si>
    <t>HOM-750</t>
  </si>
  <si>
    <t>HOM-567</t>
  </si>
  <si>
    <t>APP-744</t>
  </si>
  <si>
    <t>HOM-754</t>
  </si>
  <si>
    <t>APP-142</t>
  </si>
  <si>
    <t>B2B-904</t>
  </si>
  <si>
    <t>APP-820</t>
  </si>
  <si>
    <t>APP-187</t>
  </si>
  <si>
    <t>HOM-833</t>
  </si>
  <si>
    <t>ELE-170</t>
  </si>
  <si>
    <t>HOM-907</t>
  </si>
  <si>
    <t>HOM-112</t>
  </si>
  <si>
    <t>APP-130</t>
  </si>
  <si>
    <t>B2B-211</t>
  </si>
  <si>
    <t>ELE-188</t>
  </si>
  <si>
    <t>B2B-492</t>
  </si>
  <si>
    <t>ELE-147</t>
  </si>
  <si>
    <t>HOM-688</t>
  </si>
  <si>
    <t>APP-521</t>
  </si>
  <si>
    <t>HOM-284</t>
  </si>
  <si>
    <t>B2B-801</t>
  </si>
  <si>
    <t>ELE-725</t>
  </si>
  <si>
    <t>B2B-830</t>
  </si>
  <si>
    <t>APP-986</t>
  </si>
  <si>
    <t>APP-705</t>
  </si>
  <si>
    <t>HOM-483</t>
  </si>
  <si>
    <t>ELE-239</t>
  </si>
  <si>
    <t>APP-238</t>
  </si>
  <si>
    <t>HOM-713</t>
  </si>
  <si>
    <t>B2B-549</t>
  </si>
  <si>
    <t>HOM-392</t>
  </si>
  <si>
    <t>B2B-346</t>
  </si>
  <si>
    <t>APP-571</t>
  </si>
  <si>
    <t>B2B-610</t>
  </si>
  <si>
    <t>APP-251</t>
  </si>
  <si>
    <t>APP-450</t>
  </si>
  <si>
    <t>B2B-951</t>
  </si>
  <si>
    <t>APP-888</t>
  </si>
  <si>
    <t>ELE-838</t>
  </si>
  <si>
    <t>B2B-792</t>
  </si>
  <si>
    <t>B2B-918</t>
  </si>
  <si>
    <t>B2B-989</t>
  </si>
  <si>
    <t>HOM-538</t>
  </si>
  <si>
    <t>HOM-710</t>
  </si>
  <si>
    <t>B2B-528</t>
  </si>
  <si>
    <t>APP-774</t>
  </si>
  <si>
    <t>APP-547</t>
  </si>
  <si>
    <t>B2B-590</t>
  </si>
  <si>
    <t>ELE-935</t>
  </si>
  <si>
    <t>B2B-891</t>
  </si>
  <si>
    <t>HOM-412</t>
  </si>
  <si>
    <t>APP-762</t>
  </si>
  <si>
    <t>APP-523</t>
  </si>
  <si>
    <t>ELE-195</t>
  </si>
  <si>
    <t>ELE-979</t>
  </si>
  <si>
    <t>ELE-940</t>
  </si>
  <si>
    <t>HOM-467</t>
  </si>
  <si>
    <t>APP-215</t>
  </si>
  <si>
    <t>HOM-909</t>
  </si>
  <si>
    <t>HOM-590</t>
  </si>
  <si>
    <t>B2B-171</t>
  </si>
  <si>
    <t>ELE-881</t>
  </si>
  <si>
    <t>ELE-560</t>
  </si>
  <si>
    <t>B2B-883</t>
  </si>
  <si>
    <t>APP-633</t>
  </si>
  <si>
    <t>ELE-149</t>
  </si>
  <si>
    <t>B2B-748</t>
  </si>
  <si>
    <t>HOM-706</t>
  </si>
  <si>
    <t>APP-206</t>
  </si>
  <si>
    <t>HOM-280</t>
  </si>
  <si>
    <t>APP-294</t>
  </si>
  <si>
    <t>HOM-195</t>
  </si>
  <si>
    <t>B2B-336</t>
  </si>
  <si>
    <t>B2B-172</t>
  </si>
  <si>
    <t>APP-507</t>
  </si>
  <si>
    <t>APP-721</t>
  </si>
  <si>
    <t>APP-305</t>
  </si>
  <si>
    <t>ELE-579</t>
  </si>
  <si>
    <t>B2B-241</t>
  </si>
  <si>
    <t>APP-471</t>
  </si>
  <si>
    <t>B2B-289</t>
  </si>
  <si>
    <t>B2B-936</t>
  </si>
  <si>
    <t>B2B-829</t>
  </si>
  <si>
    <t>APP-211</t>
  </si>
  <si>
    <t>HOM-342</t>
  </si>
  <si>
    <t>APP-953</t>
  </si>
  <si>
    <t>B2B-119</t>
  </si>
  <si>
    <t>HOM-709</t>
  </si>
  <si>
    <t>B2B-475</t>
  </si>
  <si>
    <t>HOM-920</t>
  </si>
  <si>
    <t>ELE-622</t>
  </si>
  <si>
    <t>HOM-964</t>
  </si>
  <si>
    <t>HOM-316</t>
  </si>
  <si>
    <t>APP-618</t>
  </si>
  <si>
    <t>ELE-277</t>
  </si>
  <si>
    <t>HOM-476</t>
  </si>
  <si>
    <t>B2B-138</t>
  </si>
  <si>
    <t>APP-554</t>
  </si>
  <si>
    <t>APP-504</t>
  </si>
  <si>
    <t>ELE-234</t>
  </si>
  <si>
    <t>B2B-980</t>
  </si>
  <si>
    <t>B2B-243</t>
  </si>
  <si>
    <t>HOM-826</t>
  </si>
  <si>
    <t>ELE-438</t>
  </si>
  <si>
    <t>HOM-274</t>
  </si>
  <si>
    <t>APP-811</t>
  </si>
  <si>
    <t>APP-233</t>
  </si>
  <si>
    <t>HOM-278</t>
  </si>
  <si>
    <t>HOM-891</t>
  </si>
  <si>
    <t>ELE-469</t>
  </si>
  <si>
    <t>B2B-849</t>
  </si>
  <si>
    <t>B2B-710</t>
  </si>
  <si>
    <t>HOM-657</t>
  </si>
  <si>
    <t>APP-974</t>
  </si>
  <si>
    <t>APP-565</t>
  </si>
  <si>
    <t>APP-636</t>
  </si>
  <si>
    <t>ELE-602</t>
  </si>
  <si>
    <t>ELE-252</t>
  </si>
  <si>
    <t>B2B-281</t>
  </si>
  <si>
    <t>ELE-144</t>
  </si>
  <si>
    <t>APP-373</t>
  </si>
  <si>
    <t>ELE-288</t>
  </si>
  <si>
    <t>B2B-397</t>
  </si>
  <si>
    <t>B2B-890</t>
  </si>
  <si>
    <t>B2B-847</t>
  </si>
  <si>
    <t>B2B-315</t>
  </si>
  <si>
    <t>HOM-404</t>
  </si>
  <si>
    <t>HOM-272</t>
  </si>
  <si>
    <t>B2B-701</t>
  </si>
  <si>
    <t>B2B-996</t>
  </si>
  <si>
    <t>B2B-482</t>
  </si>
  <si>
    <t>B2B-352</t>
  </si>
  <si>
    <t>HOM-370</t>
  </si>
  <si>
    <t>B2B-321</t>
  </si>
  <si>
    <t>ELE-803</t>
  </si>
  <si>
    <t>APP-696</t>
  </si>
  <si>
    <t>APP-231</t>
  </si>
  <si>
    <t>APP-587</t>
  </si>
  <si>
    <t>APP-350</t>
  </si>
  <si>
    <t>APP-155</t>
  </si>
  <si>
    <t>APP-292</t>
  </si>
  <si>
    <t>B2B-790</t>
  </si>
  <si>
    <t>APP-927</t>
  </si>
  <si>
    <t>APP-257</t>
  </si>
  <si>
    <t>APP-668</t>
  </si>
  <si>
    <t>APP-627</t>
  </si>
  <si>
    <t>APP-634</t>
  </si>
  <si>
    <t>ELE-101</t>
  </si>
  <si>
    <t>ELE-157</t>
  </si>
  <si>
    <t>APP-647</t>
  </si>
  <si>
    <t>B2B-433</t>
  </si>
  <si>
    <t>HOM-131</t>
  </si>
  <si>
    <t>HOM-325</t>
  </si>
  <si>
    <t>APP-673</t>
  </si>
  <si>
    <t>ELE-700</t>
  </si>
  <si>
    <t>Vendor D</t>
  </si>
  <si>
    <t>Vendor B</t>
  </si>
  <si>
    <t>Vendor C</t>
  </si>
  <si>
    <t>Vendor A</t>
  </si>
  <si>
    <t>Revenue</t>
  </si>
  <si>
    <t>Total_Unit_Cost</t>
  </si>
  <si>
    <t>Total_Cost</t>
  </si>
  <si>
    <t>Gross_Profit</t>
  </si>
  <si>
    <t>Gross_Margin_Pct</t>
  </si>
  <si>
    <t>Margin_Variance</t>
  </si>
  <si>
    <t>Margin_Risk</t>
  </si>
  <si>
    <t>Discount_Band</t>
  </si>
  <si>
    <t>Medium Risk</t>
  </si>
  <si>
    <t>Medium Discount</t>
  </si>
  <si>
    <t>High Discount</t>
  </si>
  <si>
    <t>High Risk</t>
  </si>
  <si>
    <t>Healthy</t>
  </si>
  <si>
    <t>Low Discount</t>
  </si>
  <si>
    <t xml:space="preserve">Sales Analysis Table </t>
  </si>
  <si>
    <t>Sales Raw Table</t>
  </si>
  <si>
    <t>Sum of Revenue</t>
  </si>
  <si>
    <t>Row Labels</t>
  </si>
  <si>
    <t>Grand Total</t>
  </si>
  <si>
    <t>Count of Order_ID</t>
  </si>
  <si>
    <t>Average of Gross_Margin_Pct</t>
  </si>
  <si>
    <t>Total Revenue</t>
  </si>
  <si>
    <t>Total Gross Profit</t>
  </si>
  <si>
    <t>Avg Margin %</t>
  </si>
  <si>
    <t>Total Orders</t>
  </si>
  <si>
    <t>(All)</t>
  </si>
  <si>
    <t>KPI BASE METRICS</t>
  </si>
  <si>
    <t>Discount vs Margin Scatter Source</t>
  </si>
  <si>
    <t>Margin Risk Distribution</t>
  </si>
  <si>
    <t>Revenue by Category</t>
  </si>
  <si>
    <t>Drill Down Panel</t>
  </si>
  <si>
    <t>Gross Profit</t>
  </si>
  <si>
    <t>Avg Margin%</t>
  </si>
  <si>
    <t>Sum of Logistics_Cost</t>
  </si>
  <si>
    <t>Sum of Net_Sales</t>
  </si>
  <si>
    <t>Sum of List_Price</t>
  </si>
  <si>
    <t>Executive Question
Which discounts drive revenue — without exposing the business to margin risk?</t>
  </si>
  <si>
    <t>Sum of Gross_Margin_Pct</t>
  </si>
  <si>
    <t>Column Labels</t>
  </si>
  <si>
    <t>Top Margin Risk Orders</t>
  </si>
  <si>
    <t>Key Insights                                                                                                                                                                                                                                                                              • High discounts drive volume but increase margin risk
• Medium discounts offer best balance of revenue and profitability
• Margin risk concentrates in Electronics &amp; Home categories
Recommendation
Focus promotions on Medium Discount bands and monitor High Risk margin segments weekly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</si>
</sst>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6" x14ac:knownFonts="1">
    <font>
      <sz val="11"/>
      <color theme="1"/>
      <name val="Calibri"/>
      <family val="2"/>
      <scheme val="minor"/>
    </font>
    <font>
      <b/>
      <sz val="11"/>
      <color theme="1"/>
      <name val="Calibri"/>
      <family val="2"/>
      <scheme val="minor"/>
    </font>
    <font>
      <sz val="28"/>
      <color theme="8" tint="-0.499984740745262"/>
      <name val="Cambria"/>
      <family val="1"/>
      <scheme val="major"/>
    </font>
    <font>
      <sz val="11"/>
      <color theme="0"/>
      <name val="Calibri"/>
      <family val="2"/>
      <scheme val="minor"/>
    </font>
    <font>
      <b/>
      <sz val="26"/>
      <color theme="1"/>
      <name val="Berlin Sans FB Demi"/>
      <family val="2"/>
    </font>
    <font>
      <sz val="14"/>
      <color theme="1"/>
      <name val="ADLaM Display"/>
    </font>
  </fonts>
  <fills count="3">
    <fill>
      <patternFill patternType="none"/>
    </fill>
    <fill>
      <patternFill patternType="gray125"/>
    </fill>
    <fill>
      <patternFill patternType="solid">
        <fgColor rgb="FFF7F9FB"/>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20">
    <xf numFmtId="0" fontId="0" fillId="0" borderId="0" xfId="0"/>
    <xf numFmtId="164" fontId="0" fillId="0" borderId="0" xfId="0" applyNumberFormat="1"/>
    <xf numFmtId="14" fontId="0" fillId="0" borderId="0" xfId="0" applyNumberFormat="1"/>
    <xf numFmtId="2" fontId="0" fillId="0" borderId="0" xfId="0" applyNumberFormat="1"/>
    <xf numFmtId="10" fontId="0" fillId="0" borderId="0" xfId="0" applyNumberFormat="1"/>
    <xf numFmtId="1" fontId="0" fillId="0" borderId="0" xfId="0" applyNumberFormat="1"/>
    <xf numFmtId="9" fontId="0" fillId="0" borderId="0" xfId="0" applyNumberFormat="1"/>
    <xf numFmtId="0" fontId="1" fillId="0" borderId="1" xfId="0" applyFont="1" applyBorder="1" applyAlignment="1">
      <alignment horizontal="left" vertical="top" wrapText="1"/>
    </xf>
    <xf numFmtId="0" fontId="0" fillId="0" borderId="0" xfId="0" pivotButton="1"/>
    <xf numFmtId="0" fontId="0" fillId="0" borderId="0" xfId="0" applyAlignment="1">
      <alignment horizontal="left"/>
    </xf>
    <xf numFmtId="0" fontId="0" fillId="2" borderId="0" xfId="0" applyFill="1"/>
    <xf numFmtId="0" fontId="0" fillId="0" borderId="0" xfId="0" applyAlignment="1">
      <alignment horizontal="left" indent="1"/>
    </xf>
    <xf numFmtId="0" fontId="3" fillId="2" borderId="0" xfId="0" applyFont="1" applyFill="1"/>
    <xf numFmtId="0" fontId="0" fillId="0" borderId="0" xfId="0" pivotButton="1" applyAlignment="1">
      <alignment horizontal="center"/>
    </xf>
    <xf numFmtId="0" fontId="0" fillId="0" borderId="0" xfId="0" applyAlignment="1">
      <alignment horizontal="center"/>
    </xf>
    <xf numFmtId="0" fontId="0" fillId="0" borderId="0" xfId="0" applyAlignment="1">
      <alignment horizontal="center" vertical="center" wrapText="1"/>
    </xf>
    <xf numFmtId="0" fontId="2" fillId="0" borderId="0" xfId="0" applyFont="1" applyAlignment="1">
      <alignment horizontal="center"/>
    </xf>
    <xf numFmtId="0" fontId="5" fillId="2" borderId="0" xfId="0" applyFont="1" applyFill="1" applyAlignment="1">
      <alignment horizontal="left" vertical="top" wrapText="1"/>
    </xf>
    <xf numFmtId="0" fontId="4" fillId="2" borderId="0" xfId="0" applyFont="1" applyFill="1" applyAlignment="1">
      <alignment horizontal="center" wrapText="1"/>
    </xf>
    <xf numFmtId="0" fontId="0" fillId="2" borderId="0" xfId="0" applyFill="1" applyAlignment="1">
      <alignment horizontal="center" wrapText="1"/>
    </xf>
  </cellXfs>
  <cellStyles count="1">
    <cellStyle name="Normal" xfId="0" builtinId="0"/>
  </cellStyles>
  <dxfs count="25">
    <dxf>
      <numFmt numFmtId="14" formatCode="0.00%"/>
    </dxf>
    <dxf>
      <numFmt numFmtId="14" formatCode="0.00%"/>
    </dxf>
    <dxf>
      <numFmt numFmtId="2" formatCode="0.00"/>
    </dxf>
    <dxf>
      <numFmt numFmtId="2" formatCode="0.00"/>
    </dxf>
    <dxf>
      <numFmt numFmtId="2" formatCode="0.00"/>
    </dxf>
    <dxf>
      <numFmt numFmtId="2" formatCode="0.00"/>
    </dxf>
    <dxf>
      <numFmt numFmtId="13" formatCode="0%"/>
    </dxf>
    <dxf>
      <numFmt numFmtId="2" formatCode="0.00"/>
    </dxf>
    <dxf>
      <numFmt numFmtId="1" formatCode="0"/>
    </dxf>
    <dxf>
      <numFmt numFmtId="2" formatCode="0.00"/>
    </dxf>
    <dxf>
      <numFmt numFmtId="2" formatCode="0.00"/>
    </dxf>
    <dxf>
      <numFmt numFmtId="14"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64" formatCode="yyyy\-mm\-dd\ hh:mm:ss"/>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6A1B9A"/>
      <color rgb="FFF9A825"/>
      <color rgb="FF2E7D32"/>
      <color rgb="FF1F4E79"/>
      <color rgb="FFF7F9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[Financial_sales_model.xlsm]Pivot_Tables!Margin Risk Distribution</c:name>
    <c:fmtId val="2"/>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CA" sz="1800" b="1">
                <a:solidFill>
                  <a:schemeClr val="tx1">
                    <a:lumMod val="95000"/>
                    <a:lumOff val="5000"/>
                  </a:schemeClr>
                </a:solidFill>
                <a:latin typeface="+mj-lt"/>
              </a:rPr>
              <a:t>Margin</a:t>
            </a:r>
            <a:r>
              <a:rPr lang="en-CA" sz="1800" b="1" baseline="0">
                <a:solidFill>
                  <a:schemeClr val="tx1">
                    <a:lumMod val="95000"/>
                    <a:lumOff val="5000"/>
                  </a:schemeClr>
                </a:solidFill>
                <a:latin typeface="+mj-lt"/>
              </a:rPr>
              <a:t> Risk Distribution</a:t>
            </a:r>
            <a:endParaRPr lang="en-CA" sz="1800" b="1">
              <a:solidFill>
                <a:schemeClr val="tx1">
                  <a:lumMod val="95000"/>
                  <a:lumOff val="5000"/>
                </a:schemeClr>
              </a:solidFill>
              <a:latin typeface="+mj-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CA"/>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w="25400">
            <a:solidFill>
              <a:schemeClr val="lt1"/>
            </a:solidFill>
          </a:ln>
          <a:effectLst/>
          <a:sp3d contourW="25400">
            <a:contourClr>
              <a:schemeClr val="lt1"/>
            </a:contourClr>
          </a:sp3d>
        </c:spPr>
      </c:pivotFmt>
      <c:pivotFmt>
        <c:idx val="3"/>
        <c:spPr>
          <a:solidFill>
            <a:srgbClr val="FF0000"/>
          </a:solidFill>
          <a:ln w="25400">
            <a:solidFill>
              <a:schemeClr val="lt1"/>
            </a:solidFill>
          </a:ln>
          <a:effectLst/>
          <a:sp3d contourW="25400">
            <a:contourClr>
              <a:schemeClr val="lt1"/>
            </a:contourClr>
          </a:sp3d>
        </c:spPr>
      </c:pivotFmt>
      <c:pivotFmt>
        <c:idx val="4"/>
        <c:spPr>
          <a:solidFill>
            <a:srgbClr val="FFFF00"/>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Pivot_Tables!$I$12</c:f>
              <c:strCache>
                <c:ptCount val="1"/>
                <c:pt idx="0">
                  <c:v>Total</c:v>
                </c:pt>
              </c:strCache>
            </c:strRef>
          </c:tx>
          <c:dPt>
            <c:idx val="0"/>
            <c:bubble3D val="0"/>
            <c:spPr>
              <a:solidFill>
                <a:srgbClr val="00B050"/>
              </a:solidFill>
              <a:ln w="25400">
                <a:solidFill>
                  <a:schemeClr val="lt1"/>
                </a:solidFill>
              </a:ln>
              <a:effectLst/>
              <a:sp3d contourW="25400">
                <a:contourClr>
                  <a:schemeClr val="lt1"/>
                </a:contourClr>
              </a:sp3d>
            </c:spPr>
            <c:extLst>
              <c:ext xmlns:c16="http://schemas.microsoft.com/office/drawing/2014/chart" uri="{C3380CC4-5D6E-409C-BE32-E72D297353CC}">
                <c16:uniqueId val="{00000001-A4F2-425A-80B8-4A08B666BCA4}"/>
              </c:ext>
            </c:extLst>
          </c:dPt>
          <c:dPt>
            <c:idx val="1"/>
            <c:bubble3D val="0"/>
            <c:spPr>
              <a:solidFill>
                <a:srgbClr val="FF0000"/>
              </a:solidFill>
              <a:ln w="25400">
                <a:solidFill>
                  <a:schemeClr val="lt1"/>
                </a:solidFill>
              </a:ln>
              <a:effectLst/>
              <a:sp3d contourW="25400">
                <a:contourClr>
                  <a:schemeClr val="lt1"/>
                </a:contourClr>
              </a:sp3d>
            </c:spPr>
            <c:extLst>
              <c:ext xmlns:c16="http://schemas.microsoft.com/office/drawing/2014/chart" uri="{C3380CC4-5D6E-409C-BE32-E72D297353CC}">
                <c16:uniqueId val="{00000003-A4F2-425A-80B8-4A08B666BCA4}"/>
              </c:ext>
            </c:extLst>
          </c:dPt>
          <c:dPt>
            <c:idx val="2"/>
            <c:bubble3D val="0"/>
            <c:spPr>
              <a:solidFill>
                <a:srgbClr val="FFFF00"/>
              </a:solidFill>
              <a:ln w="25400">
                <a:solidFill>
                  <a:schemeClr val="lt1"/>
                </a:solidFill>
              </a:ln>
              <a:effectLst/>
              <a:sp3d contourW="25400">
                <a:contourClr>
                  <a:schemeClr val="lt1"/>
                </a:contourClr>
              </a:sp3d>
            </c:spPr>
            <c:extLst>
              <c:ext xmlns:c16="http://schemas.microsoft.com/office/drawing/2014/chart" uri="{C3380CC4-5D6E-409C-BE32-E72D297353CC}">
                <c16:uniqueId val="{00000005-A4F2-425A-80B8-4A08B666BC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Pivot_Tables!$H$13:$H$16</c:f>
              <c:strCache>
                <c:ptCount val="3"/>
                <c:pt idx="0">
                  <c:v>Healthy</c:v>
                </c:pt>
                <c:pt idx="1">
                  <c:v>High Risk</c:v>
                </c:pt>
                <c:pt idx="2">
                  <c:v>Medium Risk</c:v>
                </c:pt>
              </c:strCache>
            </c:strRef>
          </c:cat>
          <c:val>
            <c:numRef>
              <c:f>Pivot_Tables!$I$13:$I$16</c:f>
              <c:numCache>
                <c:formatCode>General</c:formatCode>
                <c:ptCount val="3"/>
                <c:pt idx="0">
                  <c:v>62</c:v>
                </c:pt>
                <c:pt idx="1">
                  <c:v>32</c:v>
                </c:pt>
                <c:pt idx="2">
                  <c:v>426</c:v>
                </c:pt>
              </c:numCache>
            </c:numRef>
          </c:val>
          <c:extLst>
            <c:ext xmlns:c16="http://schemas.microsoft.com/office/drawing/2014/chart" uri="{C3380CC4-5D6E-409C-BE32-E72D297353CC}">
              <c16:uniqueId val="{00000006-A4F2-425A-80B8-4A08B666BCA4}"/>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40" b="0" i="0" u="none" strike="noStrike" kern="1200" baseline="0">
              <a:solidFill>
                <a:schemeClr val="tx1"/>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[Financial_sales_model.xlsm]Pivot_Tables!Revenue by Category</c:name>
    <c:fmtId val="2"/>
  </c:pivotSource>
  <c:chart>
    <c:title>
      <c:tx>
        <c:rich>
          <a:bodyPr rot="0" spcFirstLastPara="1" vertOverflow="ellipsis" vert="horz" wrap="square" anchor="ctr" anchorCtr="1"/>
          <a:lstStyle/>
          <a:p>
            <a:pPr algn="ctr" rtl="0">
              <a:defRPr lang="en-US" sz="1800" b="1" i="0" u="none" strike="noStrike" kern="1200" spc="0" baseline="0">
                <a:solidFill>
                  <a:schemeClr val="tx1">
                    <a:lumMod val="95000"/>
                    <a:lumOff val="5000"/>
                  </a:schemeClr>
                </a:solidFill>
                <a:latin typeface="+mj-lt"/>
                <a:ea typeface="+mn-ea"/>
                <a:cs typeface="+mn-cs"/>
              </a:defRPr>
            </a:pPr>
            <a:r>
              <a:rPr lang="en-US" sz="1800" b="1" i="0" u="none" strike="noStrike" kern="1200" spc="0" baseline="0">
                <a:solidFill>
                  <a:schemeClr val="tx1">
                    <a:lumMod val="95000"/>
                    <a:lumOff val="5000"/>
                  </a:schemeClr>
                </a:solidFill>
                <a:latin typeface="+mj-lt"/>
                <a:ea typeface="+mn-ea"/>
                <a:cs typeface="+mn-cs"/>
              </a:rPr>
              <a:t>Revenue Contribtion By Category</a:t>
            </a:r>
          </a:p>
        </c:rich>
      </c:tx>
      <c:overlay val="0"/>
      <c:spPr>
        <a:noFill/>
        <a:ln>
          <a:noFill/>
        </a:ln>
        <a:effectLst/>
      </c:spPr>
      <c:txPr>
        <a:bodyPr rot="0" spcFirstLastPara="1" vertOverflow="ellipsis" vert="horz" wrap="square" anchor="ctr" anchorCtr="1"/>
        <a:lstStyle/>
        <a:p>
          <a:pPr algn="ctr" rtl="0">
            <a:defRPr lang="en-US" sz="1800" b="1" i="0" u="none" strike="noStrike" kern="1200" spc="0" baseline="0">
              <a:solidFill>
                <a:schemeClr val="tx1">
                  <a:lumMod val="95000"/>
                  <a:lumOff val="5000"/>
                </a:schemeClr>
              </a:solidFill>
              <a:latin typeface="+mj-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Pivot_Tables!$C$9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Pivot_Tables!$B$10:$B$14</c:f>
              <c:strCache>
                <c:ptCount val="4"/>
                <c:pt idx="0">
                  <c:v>Home</c:v>
                </c:pt>
                <c:pt idx="1">
                  <c:v>Apparel</c:v>
                </c:pt>
                <c:pt idx="2">
                  <c:v>Electronics</c:v>
                </c:pt>
                <c:pt idx="3">
                  <c:v>B2B Services</c:v>
                </c:pt>
              </c:strCache>
            </c:strRef>
          </c:cat>
          <c:val>
            <c:numRef>
              <c:f>Pivot_Tables!$C$10:$C$14</c:f>
              <c:numCache>
                <c:formatCode>0.00</c:formatCode>
                <c:ptCount val="4"/>
                <c:pt idx="0">
                  <c:v>1009401.8000000007</c:v>
                </c:pt>
                <c:pt idx="1">
                  <c:v>964595.0199999999</c:v>
                </c:pt>
                <c:pt idx="2">
                  <c:v>758892.62999999989</c:v>
                </c:pt>
                <c:pt idx="3">
                  <c:v>756090.4099999998</c:v>
                </c:pt>
              </c:numCache>
            </c:numRef>
          </c:val>
          <c:extLst>
            <c:ext xmlns:c16="http://schemas.microsoft.com/office/drawing/2014/chart" uri="{C3380CC4-5D6E-409C-BE32-E72D297353CC}">
              <c16:uniqueId val="{00000000-107A-4A8D-B4AA-5429E0DD9922}"/>
            </c:ext>
          </c:extLst>
        </c:ser>
        <c:dLbls>
          <c:dLblPos val="outEnd"/>
          <c:showLegendKey val="0"/>
          <c:showVal val="1"/>
          <c:showCatName val="0"/>
          <c:showSerName val="0"/>
          <c:showPercent val="0"/>
          <c:showBubbleSize val="0"/>
        </c:dLbls>
        <c:gapWidth val="182"/>
        <c:axId val="1696462831"/>
        <c:axId val="1696464751"/>
      </c:barChart>
      <c:catAx>
        <c:axId val="169646283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1696464751"/>
        <c:crosses val="autoZero"/>
        <c:auto val="1"/>
        <c:lblAlgn val="ctr"/>
        <c:lblOffset val="100"/>
        <c:noMultiLvlLbl val="0"/>
      </c:catAx>
      <c:valAx>
        <c:axId val="1696464751"/>
        <c:scaling>
          <c:orientation val="minMax"/>
        </c:scaling>
        <c:delete val="0"/>
        <c:axPos val="b"/>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crossAx val="1696462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[Financial_sales_model.xlsm]Pivot_Tables!Discount vs Margin Scatter Source</c:name>
    <c:fmtId val="2"/>
  </c:pivotSource>
  <c:chart>
    <c:title>
      <c:tx>
        <c:rich>
          <a:bodyPr rot="0" spcFirstLastPara="1" vertOverflow="ellipsis" vert="horz" wrap="square" anchor="ctr" anchorCtr="1"/>
          <a:lstStyle/>
          <a:p>
            <a:pPr algn="ctr" rtl="0">
              <a:defRPr lang="en-CA" sz="1800" b="1" i="0" u="none" strike="noStrike" kern="1200" spc="0" baseline="0">
                <a:solidFill>
                  <a:schemeClr val="tx1">
                    <a:lumMod val="95000"/>
                    <a:lumOff val="5000"/>
                  </a:schemeClr>
                </a:solidFill>
                <a:latin typeface="+mj-lt"/>
                <a:ea typeface="+mn-ea"/>
                <a:cs typeface="+mn-cs"/>
              </a:defRPr>
            </a:pPr>
            <a:r>
              <a:rPr lang="en-CA" sz="1800" b="1" i="0" u="none" strike="noStrike" kern="1200" spc="0" baseline="0">
                <a:solidFill>
                  <a:schemeClr val="tx1">
                    <a:lumMod val="95000"/>
                    <a:lumOff val="5000"/>
                  </a:schemeClr>
                </a:solidFill>
                <a:latin typeface="+mj-lt"/>
                <a:ea typeface="+mn-ea"/>
                <a:cs typeface="+mn-cs"/>
              </a:rPr>
              <a:t>Discount Impact on Margin</a:t>
            </a:r>
          </a:p>
        </c:rich>
      </c:tx>
      <c:overlay val="0"/>
      <c:spPr>
        <a:noFill/>
        <a:ln>
          <a:noFill/>
        </a:ln>
        <a:effectLst/>
      </c:spPr>
      <c:txPr>
        <a:bodyPr rot="0" spcFirstLastPara="1" vertOverflow="ellipsis" vert="horz" wrap="square" anchor="ctr" anchorCtr="1"/>
        <a:lstStyle/>
        <a:p>
          <a:pPr algn="ctr" rtl="0">
            <a:defRPr lang="en-CA" sz="1800" b="1" i="0" u="none" strike="noStrike" kern="1200" spc="0" baseline="0">
              <a:solidFill>
                <a:schemeClr val="tx1">
                  <a:lumMod val="95000"/>
                  <a:lumOff val="5000"/>
                </a:schemeClr>
              </a:solidFill>
              <a:latin typeface="+mj-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Pivot_Tables!$I$3</c:f>
              <c:strCache>
                <c:ptCount val="1"/>
                <c:pt idx="0">
                  <c:v>Average of Gross_Margin_Pct</c:v>
                </c:pt>
              </c:strCache>
            </c:strRef>
          </c:tx>
          <c:spPr>
            <a:solidFill>
              <a:schemeClr val="accent1"/>
            </a:solidFill>
            <a:ln>
              <a:noFill/>
            </a:ln>
            <a:effectLst/>
          </c:spPr>
          <c:cat>
            <c:strRef>
              <c:f>Pivot_Tables!$H$4:$H$7</c:f>
              <c:strCache>
                <c:ptCount val="3"/>
                <c:pt idx="0">
                  <c:v>High Discount</c:v>
                </c:pt>
                <c:pt idx="1">
                  <c:v>Low Discount</c:v>
                </c:pt>
                <c:pt idx="2">
                  <c:v>Medium Discount</c:v>
                </c:pt>
              </c:strCache>
            </c:strRef>
          </c:cat>
          <c:val>
            <c:numRef>
              <c:f>Pivot_Tables!$I$4:$I$7</c:f>
              <c:numCache>
                <c:formatCode>0.00%</c:formatCode>
                <c:ptCount val="3"/>
                <c:pt idx="0">
                  <c:v>7.9235058518490872E-2</c:v>
                </c:pt>
                <c:pt idx="1">
                  <c:v>0.30766259943074997</c:v>
                </c:pt>
                <c:pt idx="2">
                  <c:v>0.19993811265322922</c:v>
                </c:pt>
              </c:numCache>
            </c:numRef>
          </c:val>
          <c:extLst>
            <c:ext xmlns:c16="http://schemas.microsoft.com/office/drawing/2014/chart" uri="{C3380CC4-5D6E-409C-BE32-E72D297353CC}">
              <c16:uniqueId val="{00000000-FC12-49FD-93A8-04FDE58C8B85}"/>
            </c:ext>
          </c:extLst>
        </c:ser>
        <c:ser>
          <c:idx val="1"/>
          <c:order val="1"/>
          <c:tx>
            <c:strRef>
              <c:f>Pivot_Tables!$J$3</c:f>
              <c:strCache>
                <c:ptCount val="1"/>
                <c:pt idx="0">
                  <c:v>Sum of Revenue</c:v>
                </c:pt>
              </c:strCache>
            </c:strRef>
          </c:tx>
          <c:spPr>
            <a:solidFill>
              <a:srgbClr val="FFFF00"/>
            </a:solidFill>
            <a:ln>
              <a:noFill/>
            </a:ln>
            <a:effectLst/>
          </c:spPr>
          <c:cat>
            <c:strRef>
              <c:f>Pivot_Tables!$H$4:$H$7</c:f>
              <c:strCache>
                <c:ptCount val="3"/>
                <c:pt idx="0">
                  <c:v>High Discount</c:v>
                </c:pt>
                <c:pt idx="1">
                  <c:v>Low Discount</c:v>
                </c:pt>
                <c:pt idx="2">
                  <c:v>Medium Discount</c:v>
                </c:pt>
              </c:strCache>
            </c:strRef>
          </c:cat>
          <c:val>
            <c:numRef>
              <c:f>Pivot_Tables!$J$4:$J$7</c:f>
              <c:numCache>
                <c:formatCode>0.00</c:formatCode>
                <c:ptCount val="3"/>
                <c:pt idx="0">
                  <c:v>1761644.6599999995</c:v>
                </c:pt>
                <c:pt idx="1">
                  <c:v>608900.00000000012</c:v>
                </c:pt>
                <c:pt idx="2">
                  <c:v>1118435.2</c:v>
                </c:pt>
              </c:numCache>
            </c:numRef>
          </c:val>
          <c:extLst>
            <c:ext xmlns:c16="http://schemas.microsoft.com/office/drawing/2014/chart" uri="{C3380CC4-5D6E-409C-BE32-E72D297353CC}">
              <c16:uniqueId val="{00000001-FC12-49FD-93A8-04FDE58C8B85}"/>
            </c:ext>
          </c:extLst>
        </c:ser>
        <c:dLbls>
          <c:showLegendKey val="0"/>
          <c:showVal val="0"/>
          <c:showCatName val="0"/>
          <c:showSerName val="0"/>
          <c:showPercent val="0"/>
          <c:showBubbleSize val="0"/>
        </c:dLbls>
        <c:axId val="1696471951"/>
        <c:axId val="1696472431"/>
      </c:areaChart>
      <c:catAx>
        <c:axId val="16964719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solidFill>
                <a:latin typeface="+mn-lt"/>
                <a:ea typeface="+mn-ea"/>
                <a:cs typeface="+mn-cs"/>
              </a:defRPr>
            </a:pPr>
            <a:endParaRPr lang="en-US"/>
          </a:p>
        </c:txPr>
        <c:crossAx val="1696472431"/>
        <c:crosses val="autoZero"/>
        <c:auto val="1"/>
        <c:lblAlgn val="ctr"/>
        <c:lblOffset val="100"/>
        <c:noMultiLvlLbl val="0"/>
      </c:catAx>
      <c:valAx>
        <c:axId val="16964724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solidFill>
                <a:latin typeface="+mn-lt"/>
                <a:ea typeface="+mn-ea"/>
                <a:cs typeface="+mn-cs"/>
              </a:defRPr>
            </a:pPr>
            <a:endParaRPr lang="en-US"/>
          </a:p>
        </c:txPr>
        <c:crossAx val="169647195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[Financial_sales_model.xlsm]Dashboard!PivotTable2</c:name>
    <c:fmtId val="0"/>
  </c:pivotSource>
  <c:chart>
    <c:title>
      <c:tx>
        <c:rich>
          <a:bodyPr rot="0" spcFirstLastPara="1" vertOverflow="ellipsis" vert="horz" wrap="square" anchor="ctr" anchorCtr="1"/>
          <a:lstStyle/>
          <a:p>
            <a:pPr algn="ctr" rtl="0">
              <a:defRPr lang="en-CA" sz="1800" b="1" i="0" u="none" strike="noStrike" kern="1200" spc="0" baseline="0">
                <a:solidFill>
                  <a:schemeClr val="tx1">
                    <a:lumMod val="95000"/>
                    <a:lumOff val="5000"/>
                  </a:schemeClr>
                </a:solidFill>
                <a:latin typeface="+mj-lt"/>
                <a:ea typeface="+mn-ea"/>
                <a:cs typeface="+mn-cs"/>
              </a:defRPr>
            </a:pPr>
            <a:r>
              <a:rPr lang="en-CA" sz="1800" b="1" i="0" u="none" strike="noStrike" kern="1200" spc="0" baseline="0">
                <a:solidFill>
                  <a:schemeClr val="tx1">
                    <a:lumMod val="95000"/>
                    <a:lumOff val="5000"/>
                  </a:schemeClr>
                </a:solidFill>
                <a:latin typeface="+mj-lt"/>
                <a:ea typeface="+mn-ea"/>
                <a:cs typeface="+mn-cs"/>
              </a:rPr>
              <a:t>Top Margin Risk</a:t>
            </a:r>
          </a:p>
        </c:rich>
      </c:tx>
      <c:overlay val="0"/>
      <c:spPr>
        <a:noFill/>
        <a:ln>
          <a:noFill/>
        </a:ln>
        <a:effectLst/>
      </c:spPr>
      <c:txPr>
        <a:bodyPr rot="0" spcFirstLastPara="1" vertOverflow="ellipsis" vert="horz" wrap="square" anchor="ctr" anchorCtr="1"/>
        <a:lstStyle/>
        <a:p>
          <a:pPr algn="ctr" rtl="0">
            <a:defRPr lang="en-CA" sz="1800" b="1" i="0" u="none" strike="noStrike" kern="1200" spc="0" baseline="0">
              <a:solidFill>
                <a:schemeClr val="tx1">
                  <a:lumMod val="95000"/>
                  <a:lumOff val="5000"/>
                </a:schemeClr>
              </a:solidFill>
              <a:latin typeface="+mj-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Dashboard!$D$41:$D$42</c:f>
              <c:strCache>
                <c:ptCount val="1"/>
                <c:pt idx="0">
                  <c:v>Apparel</c:v>
                </c:pt>
              </c:strCache>
            </c:strRef>
          </c:tx>
          <c:spPr>
            <a:solidFill>
              <a:schemeClr val="accent1"/>
            </a:solidFill>
            <a:ln>
              <a:noFill/>
            </a:ln>
            <a:effectLst/>
          </c:spPr>
          <c:invertIfNegative val="0"/>
          <c:cat>
            <c:strRef>
              <c:f>Dashboard!$C$43:$C$46</c:f>
              <c:strCache>
                <c:ptCount val="3"/>
                <c:pt idx="0">
                  <c:v>High Discount</c:v>
                </c:pt>
                <c:pt idx="1">
                  <c:v>Low Discount</c:v>
                </c:pt>
                <c:pt idx="2">
                  <c:v>Medium Discount</c:v>
                </c:pt>
              </c:strCache>
            </c:strRef>
          </c:cat>
          <c:val>
            <c:numRef>
              <c:f>Dashboard!$D$43:$D$46</c:f>
              <c:numCache>
                <c:formatCode>0.00%</c:formatCode>
                <c:ptCount val="3"/>
                <c:pt idx="0">
                  <c:v>-7.3063236889982897E-2</c:v>
                </c:pt>
                <c:pt idx="1">
                  <c:v>0</c:v>
                </c:pt>
                <c:pt idx="2">
                  <c:v>0.37235772357723601</c:v>
                </c:pt>
              </c:numCache>
            </c:numRef>
          </c:val>
          <c:extLst>
            <c:ext xmlns:c16="http://schemas.microsoft.com/office/drawing/2014/chart" uri="{C3380CC4-5D6E-409C-BE32-E72D297353CC}">
              <c16:uniqueId val="{00000000-5C0A-45E0-B36E-A38800525603}"/>
            </c:ext>
          </c:extLst>
        </c:ser>
        <c:ser>
          <c:idx val="1"/>
          <c:order val="1"/>
          <c:tx>
            <c:strRef>
              <c:f>Dashboard!$E$41:$E$42</c:f>
              <c:strCache>
                <c:ptCount val="1"/>
                <c:pt idx="0">
                  <c:v>B2B Services</c:v>
                </c:pt>
              </c:strCache>
            </c:strRef>
          </c:tx>
          <c:spPr>
            <a:solidFill>
              <a:schemeClr val="accent2"/>
            </a:solidFill>
            <a:ln>
              <a:noFill/>
            </a:ln>
            <a:effectLst/>
          </c:spPr>
          <c:invertIfNegative val="0"/>
          <c:cat>
            <c:strRef>
              <c:f>Dashboard!$C$43:$C$46</c:f>
              <c:strCache>
                <c:ptCount val="3"/>
                <c:pt idx="0">
                  <c:v>High Discount</c:v>
                </c:pt>
                <c:pt idx="1">
                  <c:v>Low Discount</c:v>
                </c:pt>
                <c:pt idx="2">
                  <c:v>Medium Discount</c:v>
                </c:pt>
              </c:strCache>
            </c:strRef>
          </c:cat>
          <c:val>
            <c:numRef>
              <c:f>Dashboard!$E$43:$E$46</c:f>
              <c:numCache>
                <c:formatCode>0.00%</c:formatCode>
                <c:ptCount val="3"/>
                <c:pt idx="0">
                  <c:v>0</c:v>
                </c:pt>
                <c:pt idx="1">
                  <c:v>-0.29687879523925198</c:v>
                </c:pt>
                <c:pt idx="2">
                  <c:v>0</c:v>
                </c:pt>
              </c:numCache>
            </c:numRef>
          </c:val>
          <c:extLst>
            <c:ext xmlns:c16="http://schemas.microsoft.com/office/drawing/2014/chart" uri="{C3380CC4-5D6E-409C-BE32-E72D297353CC}">
              <c16:uniqueId val="{00000001-5C0A-45E0-B36E-A38800525603}"/>
            </c:ext>
          </c:extLst>
        </c:ser>
        <c:ser>
          <c:idx val="2"/>
          <c:order val="2"/>
          <c:tx>
            <c:strRef>
              <c:f>Dashboard!$F$41:$F$42</c:f>
              <c:strCache>
                <c:ptCount val="1"/>
                <c:pt idx="0">
                  <c:v>Electronics</c:v>
                </c:pt>
              </c:strCache>
            </c:strRef>
          </c:tx>
          <c:spPr>
            <a:solidFill>
              <a:schemeClr val="accent3"/>
            </a:solidFill>
            <a:ln>
              <a:noFill/>
            </a:ln>
            <a:effectLst/>
          </c:spPr>
          <c:invertIfNegative val="0"/>
          <c:cat>
            <c:strRef>
              <c:f>Dashboard!$C$43:$C$46</c:f>
              <c:strCache>
                <c:ptCount val="3"/>
                <c:pt idx="0">
                  <c:v>High Discount</c:v>
                </c:pt>
                <c:pt idx="1">
                  <c:v>Low Discount</c:v>
                </c:pt>
                <c:pt idx="2">
                  <c:v>Medium Discount</c:v>
                </c:pt>
              </c:strCache>
            </c:strRef>
          </c:cat>
          <c:val>
            <c:numRef>
              <c:f>Dashboard!$F$43:$F$46</c:f>
              <c:numCache>
                <c:formatCode>0.00%</c:formatCode>
                <c:ptCount val="3"/>
                <c:pt idx="0">
                  <c:v>0.387902302375987</c:v>
                </c:pt>
                <c:pt idx="1">
                  <c:v>0</c:v>
                </c:pt>
                <c:pt idx="2">
                  <c:v>0.47020110789980701</c:v>
                </c:pt>
              </c:numCache>
            </c:numRef>
          </c:val>
          <c:extLst>
            <c:ext xmlns:c16="http://schemas.microsoft.com/office/drawing/2014/chart" uri="{C3380CC4-5D6E-409C-BE32-E72D297353CC}">
              <c16:uniqueId val="{00000002-5C0A-45E0-B36E-A38800525603}"/>
            </c:ext>
          </c:extLst>
        </c:ser>
        <c:ser>
          <c:idx val="3"/>
          <c:order val="3"/>
          <c:tx>
            <c:strRef>
              <c:f>Dashboard!$G$41:$G$42</c:f>
              <c:strCache>
                <c:ptCount val="1"/>
                <c:pt idx="0">
                  <c:v>Home</c:v>
                </c:pt>
              </c:strCache>
            </c:strRef>
          </c:tx>
          <c:spPr>
            <a:solidFill>
              <a:schemeClr val="accent4"/>
            </a:solidFill>
            <a:ln>
              <a:noFill/>
            </a:ln>
            <a:effectLst/>
          </c:spPr>
          <c:invertIfNegative val="0"/>
          <c:cat>
            <c:strRef>
              <c:f>Dashboard!$C$43:$C$46</c:f>
              <c:strCache>
                <c:ptCount val="3"/>
                <c:pt idx="0">
                  <c:v>High Discount</c:v>
                </c:pt>
                <c:pt idx="1">
                  <c:v>Low Discount</c:v>
                </c:pt>
                <c:pt idx="2">
                  <c:v>Medium Discount</c:v>
                </c:pt>
              </c:strCache>
            </c:strRef>
          </c:cat>
          <c:val>
            <c:numRef>
              <c:f>Dashboard!$G$43:$G$46</c:f>
              <c:numCache>
                <c:formatCode>0.00%</c:formatCode>
                <c:ptCount val="3"/>
                <c:pt idx="0">
                  <c:v>0.39340881677755701</c:v>
                </c:pt>
                <c:pt idx="1">
                  <c:v>0.93515528646446</c:v>
                </c:pt>
                <c:pt idx="2">
                  <c:v>-0.12908208296557799</c:v>
                </c:pt>
              </c:numCache>
            </c:numRef>
          </c:val>
          <c:extLst>
            <c:ext xmlns:c16="http://schemas.microsoft.com/office/drawing/2014/chart" uri="{C3380CC4-5D6E-409C-BE32-E72D297353CC}">
              <c16:uniqueId val="{00000003-5C0A-45E0-B36E-A38800525603}"/>
            </c:ext>
          </c:extLst>
        </c:ser>
        <c:dLbls>
          <c:showLegendKey val="0"/>
          <c:showVal val="0"/>
          <c:showCatName val="0"/>
          <c:showSerName val="0"/>
          <c:showPercent val="0"/>
          <c:showBubbleSize val="0"/>
        </c:dLbls>
        <c:gapWidth val="219"/>
        <c:overlap val="-27"/>
        <c:axId val="1493768880"/>
        <c:axId val="1493771760"/>
      </c:barChart>
      <c:catAx>
        <c:axId val="149376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771760"/>
        <c:crosses val="autoZero"/>
        <c:auto val="1"/>
        <c:lblAlgn val="ctr"/>
        <c:lblOffset val="100"/>
        <c:noMultiLvlLbl val="0"/>
      </c:catAx>
      <c:valAx>
        <c:axId val="1493771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768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38" max="520" min="1" page="10"/>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10" Type="http://schemas.openxmlformats.org/officeDocument/2006/relationships/chart" Target="../charts/chart4.xml"/><Relationship Id="rId4" Type="http://schemas.openxmlformats.org/officeDocument/2006/relationships/image" Target="../media/image1.png"/><Relationship Id="rId9"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0</xdr:colOff>
      <xdr:row>23</xdr:row>
      <xdr:rowOff>22129</xdr:rowOff>
    </xdr:from>
    <xdr:to>
      <xdr:col>6</xdr:col>
      <xdr:colOff>57150</xdr:colOff>
      <xdr:row>35</xdr:row>
      <xdr:rowOff>174949</xdr:rowOff>
    </xdr:to>
    <xdr:graphicFrame macro="">
      <xdr:nvGraphicFramePr>
        <xdr:cNvPr id="9" name="Chart 1">
          <a:extLst>
            <a:ext uri="{FF2B5EF4-FFF2-40B4-BE49-F238E27FC236}">
              <a16:creationId xmlns:a16="http://schemas.microsoft.com/office/drawing/2014/main" id="{75320A86-CA4D-E4C1-9803-06BEF356B9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355294</xdr:colOff>
      <xdr:row>23</xdr:row>
      <xdr:rowOff>85509</xdr:rowOff>
    </xdr:from>
    <xdr:to>
      <xdr:col>13</xdr:col>
      <xdr:colOff>302907</xdr:colOff>
      <xdr:row>35</xdr:row>
      <xdr:rowOff>174949</xdr:rowOff>
    </xdr:to>
    <xdr:graphicFrame macro="[0]!Chart2_Click">
      <xdr:nvGraphicFramePr>
        <xdr:cNvPr id="10" name="Chart 2">
          <a:extLst>
            <a:ext uri="{FF2B5EF4-FFF2-40B4-BE49-F238E27FC236}">
              <a16:creationId xmlns:a16="http://schemas.microsoft.com/office/drawing/2014/main" id="{8F402CE8-CB89-A433-F70B-E505C1EA71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495817</xdr:colOff>
      <xdr:row>23</xdr:row>
      <xdr:rowOff>62834</xdr:rowOff>
    </xdr:from>
    <xdr:to>
      <xdr:col>20</xdr:col>
      <xdr:colOff>152400</xdr:colOff>
      <xdr:row>35</xdr:row>
      <xdr:rowOff>136072</xdr:rowOff>
    </xdr:to>
    <xdr:graphicFrame macro="">
      <xdr:nvGraphicFramePr>
        <xdr:cNvPr id="11" name="Chart_MarginImpact">
          <a:extLst>
            <a:ext uri="{FF2B5EF4-FFF2-40B4-BE49-F238E27FC236}">
              <a16:creationId xmlns:a16="http://schemas.microsoft.com/office/drawing/2014/main" id="{CCF5849B-EDC2-678B-1D2C-6215050666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199577</xdr:colOff>
      <xdr:row>23</xdr:row>
      <xdr:rowOff>88699</xdr:rowOff>
    </xdr:from>
    <xdr:to>
      <xdr:col>5</xdr:col>
      <xdr:colOff>561438</xdr:colOff>
      <xdr:row>25</xdr:row>
      <xdr:rowOff>31063</xdr:rowOff>
    </xdr:to>
    <xdr:pic macro="[0]!Show_Chart_1">
      <xdr:nvPicPr>
        <xdr:cNvPr id="8" name="Eye_Hide_Margin1" hidden="1">
          <a:extLst>
            <a:ext uri="{FF2B5EF4-FFF2-40B4-BE49-F238E27FC236}">
              <a16:creationId xmlns:a16="http://schemas.microsoft.com/office/drawing/2014/main" id="{DDDB74DF-F77D-753A-823E-C7C6BB3D6FC0}"/>
            </a:ext>
          </a:extLst>
        </xdr:cNvPr>
        <xdr:cNvPicPr>
          <a:picLocks noChangeAspect="1"/>
        </xdr:cNvPicPr>
      </xdr:nvPicPr>
      <xdr:blipFill>
        <a:blip xmlns:r="http://schemas.openxmlformats.org/officeDocument/2006/relationships" r:embed="rId4"/>
        <a:stretch>
          <a:fillRect/>
        </a:stretch>
      </xdr:blipFill>
      <xdr:spPr>
        <a:xfrm>
          <a:off x="3261184" y="4522360"/>
          <a:ext cx="361861" cy="327899"/>
        </a:xfrm>
        <a:prstGeom prst="rect">
          <a:avLst/>
        </a:prstGeom>
      </xdr:spPr>
    </xdr:pic>
    <xdr:clientData/>
  </xdr:twoCellAnchor>
  <xdr:twoCellAnchor>
    <xdr:from>
      <xdr:col>0</xdr:col>
      <xdr:colOff>113184</xdr:colOff>
      <xdr:row>7</xdr:row>
      <xdr:rowOff>28352</xdr:rowOff>
    </xdr:from>
    <xdr:to>
      <xdr:col>3</xdr:col>
      <xdr:colOff>294821</xdr:colOff>
      <xdr:row>11</xdr:row>
      <xdr:rowOff>153271</xdr:rowOff>
    </xdr:to>
    <xdr:sp macro="" textlink="Helper!A2">
      <xdr:nvSpPr>
        <xdr:cNvPr id="13" name="Rectangle: Rounded Corners 12">
          <a:extLst>
            <a:ext uri="{FF2B5EF4-FFF2-40B4-BE49-F238E27FC236}">
              <a16:creationId xmlns:a16="http://schemas.microsoft.com/office/drawing/2014/main" id="{DC5FEF4C-5E0F-6EA0-8D63-ECEC8BCDF67E}"/>
            </a:ext>
          </a:extLst>
        </xdr:cNvPr>
        <xdr:cNvSpPr/>
      </xdr:nvSpPr>
      <xdr:spPr>
        <a:xfrm>
          <a:off x="113184" y="1377727"/>
          <a:ext cx="2835030" cy="895990"/>
        </a:xfrm>
        <a:prstGeom prst="roundRect">
          <a:avLst/>
        </a:prstGeom>
        <a:solidFill>
          <a:srgbClr val="1F4E7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i="0" u="none" strike="noStrike">
              <a:solidFill>
                <a:srgbClr val="000000"/>
              </a:solidFill>
              <a:latin typeface="Bodoni MT Black" panose="02070A03080606020203" pitchFamily="18" charset="0"/>
              <a:ea typeface="Calibri"/>
              <a:cs typeface="Calibri"/>
            </a:rPr>
            <a:t>Total Revenue</a:t>
          </a:r>
        </a:p>
        <a:p>
          <a:pPr algn="ctr"/>
          <a:fld id="{437889CF-EC07-4EAB-8B64-DEAF7EAFDB44}" type="TxLink">
            <a:rPr lang="en-US" sz="2000" b="1" i="0" u="none" strike="noStrike">
              <a:solidFill>
                <a:srgbClr val="000000"/>
              </a:solidFill>
              <a:latin typeface="Bodoni MT Black" panose="02070A03080606020203" pitchFamily="18" charset="0"/>
              <a:ea typeface="Calibri"/>
              <a:cs typeface="Calibri"/>
            </a:rPr>
            <a:pPr algn="ctr"/>
            <a:t>3488979.86</a:t>
          </a:fld>
          <a:endParaRPr lang="en-CA" sz="2000" b="1">
            <a:latin typeface="Bodoni MT Black" panose="02070A03080606020203" pitchFamily="18" charset="0"/>
          </a:endParaRPr>
        </a:p>
      </xdr:txBody>
    </xdr:sp>
    <xdr:clientData/>
  </xdr:twoCellAnchor>
  <xdr:twoCellAnchor>
    <xdr:from>
      <xdr:col>3</xdr:col>
      <xdr:colOff>1099657</xdr:colOff>
      <xdr:row>7</xdr:row>
      <xdr:rowOff>35926</xdr:rowOff>
    </xdr:from>
    <xdr:to>
      <xdr:col>7</xdr:col>
      <xdr:colOff>239073</xdr:colOff>
      <xdr:row>11</xdr:row>
      <xdr:rowOff>168800</xdr:rowOff>
    </xdr:to>
    <xdr:sp macro="" textlink="Helper!A4">
      <xdr:nvSpPr>
        <xdr:cNvPr id="15" name="Rectangle: Rounded Corners 14">
          <a:extLst>
            <a:ext uri="{FF2B5EF4-FFF2-40B4-BE49-F238E27FC236}">
              <a16:creationId xmlns:a16="http://schemas.microsoft.com/office/drawing/2014/main" id="{84A3252C-CEE4-407E-A207-86DE49BC085A}"/>
            </a:ext>
          </a:extLst>
        </xdr:cNvPr>
        <xdr:cNvSpPr/>
      </xdr:nvSpPr>
      <xdr:spPr>
        <a:xfrm>
          <a:off x="3753050" y="1385301"/>
          <a:ext cx="2575219" cy="903945"/>
        </a:xfrm>
        <a:prstGeom prst="roundRect">
          <a:avLst/>
        </a:prstGeom>
        <a:solidFill>
          <a:srgbClr val="2E7D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i="0" u="none" strike="noStrike">
              <a:solidFill>
                <a:srgbClr val="000000"/>
              </a:solidFill>
              <a:latin typeface="Bodoni MT Black" panose="02070A03080606020203" pitchFamily="18" charset="0"/>
              <a:ea typeface="Calibri"/>
              <a:cs typeface="Calibri"/>
            </a:rPr>
            <a:t>Gross Profit</a:t>
          </a:r>
        </a:p>
        <a:p>
          <a:pPr marL="0" indent="0" algn="ctr"/>
          <a:fld id="{C9317B80-2F4D-4E76-86CF-0D7179051CDF}" type="TxLink">
            <a:rPr lang="en-US" sz="2000" b="1" i="0" u="none" strike="noStrike">
              <a:solidFill>
                <a:srgbClr val="000000"/>
              </a:solidFill>
              <a:latin typeface="Bodoni MT Black" panose="02070A03080606020203" pitchFamily="18" charset="0"/>
              <a:ea typeface="Calibri"/>
              <a:cs typeface="Calibri"/>
            </a:rPr>
            <a:pPr marL="0" indent="0" algn="ctr"/>
            <a:t>773265.88</a:t>
          </a:fld>
          <a:endParaRPr lang="en-CA" sz="2000" b="1" i="0" u="none" strike="noStrike">
            <a:solidFill>
              <a:srgbClr val="000000"/>
            </a:solidFill>
            <a:latin typeface="Bodoni MT Black" panose="02070A03080606020203" pitchFamily="18" charset="0"/>
            <a:ea typeface="Calibri"/>
            <a:cs typeface="Calibri"/>
          </a:endParaRPr>
        </a:p>
      </xdr:txBody>
    </xdr:sp>
    <xdr:clientData/>
  </xdr:twoCellAnchor>
  <xdr:twoCellAnchor>
    <xdr:from>
      <xdr:col>8</xdr:col>
      <xdr:colOff>457373</xdr:colOff>
      <xdr:row>7</xdr:row>
      <xdr:rowOff>54776</xdr:rowOff>
    </xdr:from>
    <xdr:to>
      <xdr:col>12</xdr:col>
      <xdr:colOff>582291</xdr:colOff>
      <xdr:row>11</xdr:row>
      <xdr:rowOff>181429</xdr:rowOff>
    </xdr:to>
    <xdr:sp macro="" textlink="Helper!A6">
      <xdr:nvSpPr>
        <xdr:cNvPr id="16" name="Rectangle: Rounded Corners 15">
          <a:extLst>
            <a:ext uri="{FF2B5EF4-FFF2-40B4-BE49-F238E27FC236}">
              <a16:creationId xmlns:a16="http://schemas.microsoft.com/office/drawing/2014/main" id="{C8423F04-42DF-4CF8-B22A-5526D1AA1126}"/>
            </a:ext>
          </a:extLst>
        </xdr:cNvPr>
        <xdr:cNvSpPr/>
      </xdr:nvSpPr>
      <xdr:spPr>
        <a:xfrm>
          <a:off x="7158891" y="1404151"/>
          <a:ext cx="2574204" cy="897724"/>
        </a:xfrm>
        <a:prstGeom prst="roundRect">
          <a:avLst/>
        </a:prstGeom>
        <a:solidFill>
          <a:srgbClr val="F9A82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i="0" u="none" strike="noStrike">
              <a:solidFill>
                <a:srgbClr val="000000"/>
              </a:solidFill>
              <a:latin typeface="Bodoni MT Black" panose="02070A03080606020203" pitchFamily="18" charset="0"/>
              <a:ea typeface="Calibri"/>
              <a:cs typeface="Calibri"/>
            </a:rPr>
            <a:t>Avg. Margin %</a:t>
          </a:r>
        </a:p>
        <a:p>
          <a:pPr marL="0" indent="0" algn="ctr"/>
          <a:fld id="{06BDC306-B1A3-479A-B7FA-4D3F92C31EC7}" type="TxLink">
            <a:rPr lang="en-US" sz="2000" b="1" i="0" u="none" strike="noStrike">
              <a:solidFill>
                <a:srgbClr val="000000"/>
              </a:solidFill>
              <a:latin typeface="Bodoni MT Black" panose="02070A03080606020203" pitchFamily="18" charset="0"/>
              <a:ea typeface="Calibri"/>
              <a:cs typeface="Calibri"/>
            </a:rPr>
            <a:pPr marL="0" indent="0" algn="ctr"/>
            <a:t>14.93%</a:t>
          </a:fld>
          <a:endParaRPr lang="en-CA" sz="2000" b="1" i="0" u="none" strike="noStrike">
            <a:solidFill>
              <a:srgbClr val="000000"/>
            </a:solidFill>
            <a:latin typeface="Bodoni MT Black" panose="02070A03080606020203" pitchFamily="18" charset="0"/>
            <a:ea typeface="Calibri"/>
            <a:cs typeface="Calibri"/>
          </a:endParaRPr>
        </a:p>
      </xdr:txBody>
    </xdr:sp>
    <xdr:clientData/>
  </xdr:twoCellAnchor>
  <xdr:twoCellAnchor>
    <xdr:from>
      <xdr:col>14</xdr:col>
      <xdr:colOff>158538</xdr:colOff>
      <xdr:row>7</xdr:row>
      <xdr:rowOff>23993</xdr:rowOff>
    </xdr:from>
    <xdr:to>
      <xdr:col>18</xdr:col>
      <xdr:colOff>283456</xdr:colOff>
      <xdr:row>11</xdr:row>
      <xdr:rowOff>156867</xdr:rowOff>
    </xdr:to>
    <xdr:sp macro="" textlink="Helper!A8">
      <xdr:nvSpPr>
        <xdr:cNvPr id="17" name="Rectangle: Rounded Corners 16">
          <a:extLst>
            <a:ext uri="{FF2B5EF4-FFF2-40B4-BE49-F238E27FC236}">
              <a16:creationId xmlns:a16="http://schemas.microsoft.com/office/drawing/2014/main" id="{18490BE2-B344-41AB-A562-2AE743DCD03D}"/>
            </a:ext>
          </a:extLst>
        </xdr:cNvPr>
        <xdr:cNvSpPr/>
      </xdr:nvSpPr>
      <xdr:spPr>
        <a:xfrm>
          <a:off x="10533984" y="1373368"/>
          <a:ext cx="2574204" cy="903945"/>
        </a:xfrm>
        <a:prstGeom prst="roundRect">
          <a:avLst/>
        </a:prstGeom>
        <a:solidFill>
          <a:srgbClr val="6A1B9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2000" b="1" i="0" u="none" strike="noStrike">
              <a:solidFill>
                <a:srgbClr val="000000"/>
              </a:solidFill>
              <a:latin typeface="Bodoni MT Black" panose="02070A03080606020203" pitchFamily="18" charset="0"/>
              <a:ea typeface="Calibri"/>
              <a:cs typeface="Calibri"/>
            </a:rPr>
            <a:t>Total Orders</a:t>
          </a:r>
        </a:p>
        <a:p>
          <a:pPr marL="0" indent="0" algn="ctr"/>
          <a:fld id="{04A9DBFA-549F-4E5E-910F-0B00390F4152}" type="TxLink">
            <a:rPr lang="en-US" sz="2000" b="1" i="0" u="none" strike="noStrike">
              <a:solidFill>
                <a:srgbClr val="000000"/>
              </a:solidFill>
              <a:latin typeface="Bodoni MT Black" panose="02070A03080606020203" pitchFamily="18" charset="0"/>
              <a:ea typeface="Calibri"/>
              <a:cs typeface="Calibri"/>
            </a:rPr>
            <a:pPr marL="0" indent="0" algn="ctr"/>
            <a:t>520</a:t>
          </a:fld>
          <a:endParaRPr lang="en-CA" sz="2000" b="1" i="0" u="none" strike="noStrike">
            <a:solidFill>
              <a:srgbClr val="000000"/>
            </a:solidFill>
            <a:latin typeface="Bodoni MT Black" panose="02070A03080606020203" pitchFamily="18" charset="0"/>
            <a:ea typeface="Calibri"/>
            <a:cs typeface="Calibri"/>
          </a:endParaRPr>
        </a:p>
      </xdr:txBody>
    </xdr:sp>
    <xdr:clientData/>
  </xdr:twoCellAnchor>
  <xdr:twoCellAnchor editAs="oneCell">
    <xdr:from>
      <xdr:col>13</xdr:col>
      <xdr:colOff>608469</xdr:colOff>
      <xdr:row>14</xdr:row>
      <xdr:rowOff>118189</xdr:rowOff>
    </xdr:from>
    <xdr:to>
      <xdr:col>17</xdr:col>
      <xdr:colOff>446147</xdr:colOff>
      <xdr:row>22</xdr:row>
      <xdr:rowOff>71081</xdr:rowOff>
    </xdr:to>
    <mc:AlternateContent xmlns:mc="http://schemas.openxmlformats.org/markup-compatibility/2006" xmlns:a14="http://schemas.microsoft.com/office/drawing/2010/main">
      <mc:Choice Requires="a14">
        <xdr:graphicFrame macro="">
          <xdr:nvGraphicFramePr>
            <xdr:cNvPr id="18" name="Product_Category 1">
              <a:extLst>
                <a:ext uri="{FF2B5EF4-FFF2-40B4-BE49-F238E27FC236}">
                  <a16:creationId xmlns:a16="http://schemas.microsoft.com/office/drawing/2014/main" id="{9A675DD7-0735-4FFD-BAF5-15FDA0E0C2A5}"/>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mlns="">
        <xdr:sp macro="" textlink="">
          <xdr:nvSpPr>
            <xdr:cNvPr id="0" name=""/>
            <xdr:cNvSpPr>
              <a:spLocks noTextEdit="1"/>
            </xdr:cNvSpPr>
          </xdr:nvSpPr>
          <xdr:spPr>
            <a:xfrm>
              <a:off x="9928553" y="2641027"/>
              <a:ext cx="1844622" cy="139451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436143</xdr:colOff>
      <xdr:row>15</xdr:row>
      <xdr:rowOff>35112</xdr:rowOff>
    </xdr:from>
    <xdr:to>
      <xdr:col>2</xdr:col>
      <xdr:colOff>1535869</xdr:colOff>
      <xdr:row>21</xdr:row>
      <xdr:rowOff>147749</xdr:rowOff>
    </xdr:to>
    <mc:AlternateContent xmlns:mc="http://schemas.openxmlformats.org/markup-compatibility/2006" xmlns:a14="http://schemas.microsoft.com/office/drawing/2010/main">
      <mc:Choice Requires="a14">
        <xdr:graphicFrame macro="">
          <xdr:nvGraphicFramePr>
            <xdr:cNvPr id="19" name="Margin_Risk 1">
              <a:extLst>
                <a:ext uri="{FF2B5EF4-FFF2-40B4-BE49-F238E27FC236}">
                  <a16:creationId xmlns:a16="http://schemas.microsoft.com/office/drawing/2014/main" id="{E4A765DA-F934-467A-8F66-9B536BDB6BA4}"/>
                </a:ext>
              </a:extLst>
            </xdr:cNvPr>
            <xdr:cNvGraphicFramePr/>
          </xdr:nvGraphicFramePr>
          <xdr:xfrm>
            <a:off x="0" y="0"/>
            <a:ext cx="0" cy="0"/>
          </xdr:xfrm>
          <a:graphic>
            <a:graphicData uri="http://schemas.microsoft.com/office/drawing/2010/slicer">
              <sle:slicer xmlns:sle="http://schemas.microsoft.com/office/drawing/2010/slicer" name="Margin_Risk 1"/>
            </a:graphicData>
          </a:graphic>
        </xdr:graphicFrame>
      </mc:Choice>
      <mc:Fallback xmlns="">
        <xdr:sp macro="" textlink="">
          <xdr:nvSpPr>
            <xdr:cNvPr id="0" name=""/>
            <xdr:cNvSpPr>
              <a:spLocks noTextEdit="1"/>
            </xdr:cNvSpPr>
          </xdr:nvSpPr>
          <xdr:spPr>
            <a:xfrm>
              <a:off x="436143" y="2738153"/>
              <a:ext cx="2335402" cy="119385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508529</xdr:colOff>
      <xdr:row>15</xdr:row>
      <xdr:rowOff>118539</xdr:rowOff>
    </xdr:from>
    <xdr:to>
      <xdr:col>12</xdr:col>
      <xdr:colOff>215582</xdr:colOff>
      <xdr:row>20</xdr:row>
      <xdr:rowOff>128064</xdr:rowOff>
    </xdr:to>
    <mc:AlternateContent xmlns:mc="http://schemas.openxmlformats.org/markup-compatibility/2006" xmlns:a14="http://schemas.microsoft.com/office/drawing/2010/main">
      <mc:Choice Requires="a14">
        <xdr:graphicFrame macro="">
          <xdr:nvGraphicFramePr>
            <xdr:cNvPr id="20" name="Business_Unit 1">
              <a:extLst>
                <a:ext uri="{FF2B5EF4-FFF2-40B4-BE49-F238E27FC236}">
                  <a16:creationId xmlns:a16="http://schemas.microsoft.com/office/drawing/2014/main" id="{1177FD5B-B98E-47C4-BFDB-A5C0F998CBDA}"/>
                </a:ext>
              </a:extLst>
            </xdr:cNvPr>
            <xdr:cNvGraphicFramePr/>
          </xdr:nvGraphicFramePr>
          <xdr:xfrm>
            <a:off x="0" y="0"/>
            <a:ext cx="0" cy="0"/>
          </xdr:xfrm>
          <a:graphic>
            <a:graphicData uri="http://schemas.microsoft.com/office/drawing/2010/slicer">
              <sle:slicer xmlns:sle="http://schemas.microsoft.com/office/drawing/2010/slicer" name="Business_Unit 1"/>
            </a:graphicData>
          </a:graphic>
        </xdr:graphicFrame>
      </mc:Choice>
      <mc:Fallback xmlns="">
        <xdr:sp macro="" textlink="">
          <xdr:nvSpPr>
            <xdr:cNvPr id="0" name=""/>
            <xdr:cNvSpPr>
              <a:spLocks noTextEdit="1"/>
            </xdr:cNvSpPr>
          </xdr:nvSpPr>
          <xdr:spPr>
            <a:xfrm>
              <a:off x="7201772" y="2821580"/>
              <a:ext cx="1869485" cy="91053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1214529</xdr:colOff>
      <xdr:row>15</xdr:row>
      <xdr:rowOff>14217</xdr:rowOff>
    </xdr:from>
    <xdr:to>
      <xdr:col>7</xdr:col>
      <xdr:colOff>23267</xdr:colOff>
      <xdr:row>21</xdr:row>
      <xdr:rowOff>85298</xdr:rowOff>
    </xdr:to>
    <mc:AlternateContent xmlns:mc="http://schemas.openxmlformats.org/markup-compatibility/2006" xmlns:a14="http://schemas.microsoft.com/office/drawing/2010/main">
      <mc:Choice Requires="a14">
        <xdr:graphicFrame macro="">
          <xdr:nvGraphicFramePr>
            <xdr:cNvPr id="21" name="Region 1">
              <a:extLst>
                <a:ext uri="{FF2B5EF4-FFF2-40B4-BE49-F238E27FC236}">
                  <a16:creationId xmlns:a16="http://schemas.microsoft.com/office/drawing/2014/main" id="{57CF6804-F254-418C-AFD7-F9F5D41D8FB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912936" y="2717258"/>
              <a:ext cx="2148317" cy="115229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28433</xdr:colOff>
      <xdr:row>6</xdr:row>
      <xdr:rowOff>14216</xdr:rowOff>
    </xdr:from>
    <xdr:to>
      <xdr:col>20</xdr:col>
      <xdr:colOff>85299</xdr:colOff>
      <xdr:row>6</xdr:row>
      <xdr:rowOff>59935</xdr:rowOff>
    </xdr:to>
    <xdr:sp macro="" textlink="">
      <xdr:nvSpPr>
        <xdr:cNvPr id="3" name="Rectangle 2">
          <a:extLst>
            <a:ext uri="{FF2B5EF4-FFF2-40B4-BE49-F238E27FC236}">
              <a16:creationId xmlns:a16="http://schemas.microsoft.com/office/drawing/2014/main" id="{464B931F-D152-E799-271C-6DF245A0C518}"/>
            </a:ext>
          </a:extLst>
        </xdr:cNvPr>
        <xdr:cNvSpPr/>
      </xdr:nvSpPr>
      <xdr:spPr>
        <a:xfrm>
          <a:off x="28433" y="1123097"/>
          <a:ext cx="12282985" cy="45719"/>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CA" sz="1100"/>
        </a:p>
      </xdr:txBody>
    </xdr:sp>
    <xdr:clientData/>
  </xdr:twoCellAnchor>
  <xdr:twoCellAnchor>
    <xdr:from>
      <xdr:col>0</xdr:col>
      <xdr:colOff>1</xdr:colOff>
      <xdr:row>13</xdr:row>
      <xdr:rowOff>1</xdr:rowOff>
    </xdr:from>
    <xdr:to>
      <xdr:col>20</xdr:col>
      <xdr:colOff>85299</xdr:colOff>
      <xdr:row>13</xdr:row>
      <xdr:rowOff>85298</xdr:rowOff>
    </xdr:to>
    <xdr:sp macro="" textlink="">
      <xdr:nvSpPr>
        <xdr:cNvPr id="4" name="Rectangle 3">
          <a:extLst>
            <a:ext uri="{FF2B5EF4-FFF2-40B4-BE49-F238E27FC236}">
              <a16:creationId xmlns:a16="http://schemas.microsoft.com/office/drawing/2014/main" id="{2D751916-EB73-49BC-9912-A883C7B98FB2}"/>
            </a:ext>
          </a:extLst>
        </xdr:cNvPr>
        <xdr:cNvSpPr/>
      </xdr:nvSpPr>
      <xdr:spPr>
        <a:xfrm>
          <a:off x="1" y="2402576"/>
          <a:ext cx="12311417" cy="85297"/>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CA" sz="1100"/>
        </a:p>
      </xdr:txBody>
    </xdr:sp>
    <xdr:clientData/>
  </xdr:twoCellAnchor>
  <xdr:twoCellAnchor editAs="oneCell">
    <xdr:from>
      <xdr:col>5</xdr:col>
      <xdr:colOff>191409</xdr:colOff>
      <xdr:row>23</xdr:row>
      <xdr:rowOff>51480</xdr:rowOff>
    </xdr:from>
    <xdr:to>
      <xdr:col>5</xdr:col>
      <xdr:colOff>550746</xdr:colOff>
      <xdr:row>24</xdr:row>
      <xdr:rowOff>149670</xdr:rowOff>
    </xdr:to>
    <xdr:pic macro="[0]!Hide_Chart_1">
      <xdr:nvPicPr>
        <xdr:cNvPr id="12" name="Eye_Show_Margin1">
          <a:extLst>
            <a:ext uri="{FF2B5EF4-FFF2-40B4-BE49-F238E27FC236}">
              <a16:creationId xmlns:a16="http://schemas.microsoft.com/office/drawing/2014/main" id="{4D7BB906-DE70-B924-C93C-7F8CCDDD076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253016" y="4485141"/>
          <a:ext cx="359337" cy="290958"/>
        </a:xfrm>
        <a:prstGeom prst="rect">
          <a:avLst/>
        </a:prstGeom>
      </xdr:spPr>
    </xdr:pic>
    <xdr:clientData/>
  </xdr:twoCellAnchor>
  <xdr:twoCellAnchor editAs="oneCell">
    <xdr:from>
      <xdr:col>19</xdr:col>
      <xdr:colOff>277813</xdr:colOff>
      <xdr:row>23</xdr:row>
      <xdr:rowOff>119063</xdr:rowOff>
    </xdr:from>
    <xdr:to>
      <xdr:col>20</xdr:col>
      <xdr:colOff>172034</xdr:colOff>
      <xdr:row>25</xdr:row>
      <xdr:rowOff>62071</xdr:rowOff>
    </xdr:to>
    <xdr:pic macro="[0]!Show_Chart_3">
      <xdr:nvPicPr>
        <xdr:cNvPr id="24" name="Picture 23" hidden="1">
          <a:extLst>
            <a:ext uri="{FF2B5EF4-FFF2-40B4-BE49-F238E27FC236}">
              <a16:creationId xmlns:a16="http://schemas.microsoft.com/office/drawing/2014/main" id="{EBB95FFD-E464-BCB4-E2C5-39AAE3CE613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77266" y="4454922"/>
          <a:ext cx="352044" cy="320040"/>
        </a:xfrm>
        <a:prstGeom prst="rect">
          <a:avLst/>
        </a:prstGeom>
      </xdr:spPr>
    </xdr:pic>
    <xdr:clientData/>
  </xdr:twoCellAnchor>
  <xdr:twoCellAnchor editAs="oneCell">
    <xdr:from>
      <xdr:col>19</xdr:col>
      <xdr:colOff>228206</xdr:colOff>
      <xdr:row>23</xdr:row>
      <xdr:rowOff>109141</xdr:rowOff>
    </xdr:from>
    <xdr:to>
      <xdr:col>20</xdr:col>
      <xdr:colOff>119912</xdr:colOff>
      <xdr:row>25</xdr:row>
      <xdr:rowOff>20799</xdr:rowOff>
    </xdr:to>
    <xdr:pic macro="[0]!Hide_Chart_3">
      <xdr:nvPicPr>
        <xdr:cNvPr id="26" name="Picture 25">
          <a:extLst>
            <a:ext uri="{FF2B5EF4-FFF2-40B4-BE49-F238E27FC236}">
              <a16:creationId xmlns:a16="http://schemas.microsoft.com/office/drawing/2014/main" id="{A0152D26-002D-5EE9-FD3B-E1E2419D43A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727659" y="4445000"/>
          <a:ext cx="356616" cy="288690"/>
        </a:xfrm>
        <a:prstGeom prst="rect">
          <a:avLst/>
        </a:prstGeom>
      </xdr:spPr>
    </xdr:pic>
    <xdr:clientData/>
  </xdr:twoCellAnchor>
  <xdr:twoCellAnchor editAs="oneCell">
    <xdr:from>
      <xdr:col>12</xdr:col>
      <xdr:colOff>297657</xdr:colOff>
      <xdr:row>23</xdr:row>
      <xdr:rowOff>148829</xdr:rowOff>
    </xdr:from>
    <xdr:to>
      <xdr:col>13</xdr:col>
      <xdr:colOff>128414</xdr:colOff>
      <xdr:row>25</xdr:row>
      <xdr:rowOff>60486</xdr:rowOff>
    </xdr:to>
    <xdr:pic macro="[0]!Hide_Chart_2">
      <xdr:nvPicPr>
        <xdr:cNvPr id="28" name="Picture 27">
          <a:extLst>
            <a:ext uri="{FF2B5EF4-FFF2-40B4-BE49-F238E27FC236}">
              <a16:creationId xmlns:a16="http://schemas.microsoft.com/office/drawing/2014/main" id="{4B2A9643-A30B-5D7C-205D-235ACDDA956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560470" y="4484688"/>
          <a:ext cx="356616" cy="288689"/>
        </a:xfrm>
        <a:prstGeom prst="rect">
          <a:avLst/>
        </a:prstGeom>
      </xdr:spPr>
    </xdr:pic>
    <xdr:clientData/>
  </xdr:twoCellAnchor>
  <xdr:twoCellAnchor editAs="oneCell">
    <xdr:from>
      <xdr:col>12</xdr:col>
      <xdr:colOff>317499</xdr:colOff>
      <xdr:row>23</xdr:row>
      <xdr:rowOff>158750</xdr:rowOff>
    </xdr:from>
    <xdr:to>
      <xdr:col>13</xdr:col>
      <xdr:colOff>143684</xdr:colOff>
      <xdr:row>25</xdr:row>
      <xdr:rowOff>101758</xdr:rowOff>
    </xdr:to>
    <xdr:pic macro="[0]!Show_Chart_2">
      <xdr:nvPicPr>
        <xdr:cNvPr id="30" name="Picture 29" hidden="1">
          <a:extLst>
            <a:ext uri="{FF2B5EF4-FFF2-40B4-BE49-F238E27FC236}">
              <a16:creationId xmlns:a16="http://schemas.microsoft.com/office/drawing/2014/main" id="{083439B5-1E57-7D9A-1EE5-2FA230056E7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580312" y="4494609"/>
          <a:ext cx="352044" cy="320040"/>
        </a:xfrm>
        <a:prstGeom prst="rect">
          <a:avLst/>
        </a:prstGeom>
      </xdr:spPr>
    </xdr:pic>
    <xdr:clientData/>
  </xdr:twoCellAnchor>
  <xdr:twoCellAnchor>
    <xdr:from>
      <xdr:col>8</xdr:col>
      <xdr:colOff>102053</xdr:colOff>
      <xdr:row>36</xdr:row>
      <xdr:rowOff>158750</xdr:rowOff>
    </xdr:from>
    <xdr:to>
      <xdr:col>20</xdr:col>
      <xdr:colOff>226785</xdr:colOff>
      <xdr:row>49</xdr:row>
      <xdr:rowOff>136071</xdr:rowOff>
    </xdr:to>
    <xdr:graphicFrame macro="">
      <xdr:nvGraphicFramePr>
        <xdr:cNvPr id="31" name="Chart 30">
          <a:extLst>
            <a:ext uri="{FF2B5EF4-FFF2-40B4-BE49-F238E27FC236}">
              <a16:creationId xmlns:a16="http://schemas.microsoft.com/office/drawing/2014/main" id="{5CB72F21-920E-3895-40DC-E5D93BE800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19</xdr:col>
          <xdr:colOff>19050</xdr:colOff>
          <xdr:row>37</xdr:row>
          <xdr:rowOff>114300</xdr:rowOff>
        </xdr:from>
        <xdr:to>
          <xdr:col>19</xdr:col>
          <xdr:colOff>257175</xdr:colOff>
          <xdr:row>40</xdr:row>
          <xdr:rowOff>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0.88163</cdr:x>
      <cdr:y>0.02283</cdr:y>
    </cdr:from>
    <cdr:to>
      <cdr:x>1</cdr:x>
      <cdr:y>0.25954</cdr:y>
    </cdr:to>
    <cdr:sp macro="" textlink="Dashboard!$W$38">
      <cdr:nvSpPr>
        <cdr:cNvPr id="2" name="Rectangle: Rounded Corners 1">
          <a:extLst xmlns:a="http://schemas.openxmlformats.org/drawingml/2006/main">
            <a:ext uri="{FF2B5EF4-FFF2-40B4-BE49-F238E27FC236}">
              <a16:creationId xmlns:a16="http://schemas.microsoft.com/office/drawing/2014/main" id="{76A28D63-0AAC-57E4-0B69-05DB17B46694}"/>
            </a:ext>
          </a:extLst>
        </cdr:cNvPr>
        <cdr:cNvSpPr/>
      </cdr:nvSpPr>
      <cdr:spPr>
        <a:xfrm xmlns:a="http://schemas.openxmlformats.org/drawingml/2006/main">
          <a:off x="5444859" y="56022"/>
          <a:ext cx="731049" cy="580845"/>
        </a:xfrm>
        <a:prstGeom xmlns:a="http://schemas.openxmlformats.org/drawingml/2006/main" prst="roundRect">
          <a:avLst/>
        </a:prstGeom>
      </cdr:spPr>
      <cdr:style>
        <a:lnRef xmlns:a="http://schemas.openxmlformats.org/drawingml/2006/main" idx="1">
          <a:schemeClr val="accent3"/>
        </a:lnRef>
        <a:fillRef xmlns:a="http://schemas.openxmlformats.org/drawingml/2006/main" idx="2">
          <a:schemeClr val="accent3"/>
        </a:fillRef>
        <a:effectRef xmlns:a="http://schemas.openxmlformats.org/drawingml/2006/main" idx="1">
          <a:schemeClr val="accent3"/>
        </a:effectRef>
        <a:fontRef xmlns:a="http://schemas.openxmlformats.org/drawingml/2006/main" idx="minor">
          <a:schemeClr val="dk1"/>
        </a:fontRef>
      </cdr:style>
      <cdr:txBody>
        <a:bodyPr xmlns:a="http://schemas.openxmlformats.org/drawingml/2006/main" vertOverflow="clip" anchor="ctr"/>
        <a:lstStyle xmlns:a="http://schemas.openxmlformats.org/drawingml/2006/main"/>
        <a:p xmlns:a="http://schemas.openxmlformats.org/drawingml/2006/main">
          <a:pPr algn="r"/>
          <a:fld id="{63A04A6F-C70A-44AB-91D3-377892A6B9D7}" type="TxLink">
            <a:rPr lang="en-US" sz="1800" b="0" i="0" u="none" strike="noStrike" kern="1200">
              <a:solidFill>
                <a:srgbClr val="000000"/>
              </a:solidFill>
              <a:latin typeface="Bodoni MT Black" panose="02070A03080606020203" pitchFamily="18" charset="0"/>
              <a:ea typeface="Calibri"/>
              <a:cs typeface="Calibri"/>
            </a:rPr>
            <a:pPr algn="r"/>
            <a:t>1</a:t>
          </a:fld>
          <a:endParaRPr lang="en-CA" sz="1800" kern="1200">
            <a:latin typeface="Bodoni MT Black" panose="02070A03080606020203" pitchFamily="18"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neet kaur" refreshedDate="46042.866583449075" createdVersion="8" refreshedVersion="8" minRefreshableVersion="3" recordCount="520" xr:uid="{7366B0A3-8ED6-4824-A804-91E3107BE7D5}">
  <cacheSource type="worksheet">
    <worksheetSource name="Financial_Sales_Cleaned"/>
  </cacheSource>
  <cacheFields count="24">
    <cacheField name="Order_ID" numFmtId="0">
      <sharedItems count="520">
        <s v="ORD1000"/>
        <s v="ORD1001"/>
        <s v="ORD1002"/>
        <s v="ORD1003"/>
        <s v="ORD1004"/>
        <s v="ORD1005"/>
        <s v="ORD1006"/>
        <s v="ORD1007"/>
        <s v="ORD1008"/>
        <s v="ORD1009"/>
        <s v="ORD1010"/>
        <s v="ORD1011"/>
        <s v="ORD1012"/>
        <s v="ORD1013"/>
        <s v="ORD1014"/>
        <s v="ORD1015"/>
        <s v="ORD1016"/>
        <s v="ORD1017"/>
        <s v="ORD1018"/>
        <s v="ORD1019"/>
        <s v="ORD1020"/>
        <s v="ORD1021"/>
        <s v="ORD1022"/>
        <s v="ORD1023"/>
        <s v="ORD1024"/>
        <s v="ORD1025"/>
        <s v="ORD1026"/>
        <s v="ORD1027"/>
        <s v="ORD1028"/>
        <s v="ORD1029"/>
        <s v="ORD1030"/>
        <s v="ORD1031"/>
        <s v="ORD1032"/>
        <s v="ORD1033"/>
        <s v="ORD1034"/>
        <s v="ORD1035"/>
        <s v="ORD1036"/>
        <s v="ORD1037"/>
        <s v="ORD1038"/>
        <s v="ORD1039"/>
        <s v="ORD1040"/>
        <s v="ORD1041"/>
        <s v="ORD1042"/>
        <s v="ORD1043"/>
        <s v="ORD1044"/>
        <s v="ORD1045"/>
        <s v="ORD1046"/>
        <s v="ORD1047"/>
        <s v="ORD1048"/>
        <s v="ORD1049"/>
        <s v="ORD1050"/>
        <s v="ORD1051"/>
        <s v="ORD1052"/>
        <s v="ORD1053"/>
        <s v="ORD1054"/>
        <s v="ORD1055"/>
        <s v="ORD1056"/>
        <s v="ORD1057"/>
        <s v="ORD1058"/>
        <s v="ORD1059"/>
        <s v="ORD1060"/>
        <s v="ORD1061"/>
        <s v="ORD1062"/>
        <s v="ORD1063"/>
        <s v="ORD1064"/>
        <s v="ORD1065"/>
        <s v="ORD1066"/>
        <s v="ORD1067"/>
        <s v="ORD1068"/>
        <s v="ORD1069"/>
        <s v="ORD1070"/>
        <s v="ORD1071"/>
        <s v="ORD1072"/>
        <s v="ORD1073"/>
        <s v="ORD1074"/>
        <s v="ORD1075"/>
        <s v="ORD1076"/>
        <s v="ORD1077"/>
        <s v="ORD1078"/>
        <s v="ORD1079"/>
        <s v="ORD1080"/>
        <s v="ORD1081"/>
        <s v="ORD1082"/>
        <s v="ORD1083"/>
        <s v="ORD1084"/>
        <s v="ORD1085"/>
        <s v="ORD1086"/>
        <s v="ORD1087"/>
        <s v="ORD1088"/>
        <s v="ORD1089"/>
        <s v="ORD1090"/>
        <s v="ORD1091"/>
        <s v="ORD1092"/>
        <s v="ORD1093"/>
        <s v="ORD1094"/>
        <s v="ORD1095"/>
        <s v="ORD1096"/>
        <s v="ORD1097"/>
        <s v="ORD1098"/>
        <s v="ORD1099"/>
        <s v="ORD1100"/>
        <s v="ORD1101"/>
        <s v="ORD1102"/>
        <s v="ORD1103"/>
        <s v="ORD1104"/>
        <s v="ORD1105"/>
        <s v="ORD1106"/>
        <s v="ORD1107"/>
        <s v="ORD1108"/>
        <s v="ORD1109"/>
        <s v="ORD1110"/>
        <s v="ORD1111"/>
        <s v="ORD1112"/>
        <s v="ORD1113"/>
        <s v="ORD1114"/>
        <s v="ORD1115"/>
        <s v="ORD1116"/>
        <s v="ORD1117"/>
        <s v="ORD1118"/>
        <s v="ORD1119"/>
        <s v="ORD1120"/>
        <s v="ORD1121"/>
        <s v="ORD1122"/>
        <s v="ORD1123"/>
        <s v="ORD1124"/>
        <s v="ORD1125"/>
        <s v="ORD1126"/>
        <s v="ORD1127"/>
        <s v="ORD1128"/>
        <s v="ORD1129"/>
        <s v="ORD1130"/>
        <s v="ORD1131"/>
        <s v="ORD1132"/>
        <s v="ORD1133"/>
        <s v="ORD1134"/>
        <s v="ORD1135"/>
        <s v="ORD1136"/>
        <s v="ORD1137"/>
        <s v="ORD1138"/>
        <s v="ORD1139"/>
        <s v="ORD1140"/>
        <s v="ORD1141"/>
        <s v="ORD1142"/>
        <s v="ORD1143"/>
        <s v="ORD1144"/>
        <s v="ORD1145"/>
        <s v="ORD1146"/>
        <s v="ORD1147"/>
        <s v="ORD1148"/>
        <s v="ORD1149"/>
        <s v="ORD1150"/>
        <s v="ORD1151"/>
        <s v="ORD1152"/>
        <s v="ORD1153"/>
        <s v="ORD1154"/>
        <s v="ORD1155"/>
        <s v="ORD1156"/>
        <s v="ORD1157"/>
        <s v="ORD1158"/>
        <s v="ORD1159"/>
        <s v="ORD1160"/>
        <s v="ORD1161"/>
        <s v="ORD1162"/>
        <s v="ORD1163"/>
        <s v="ORD1164"/>
        <s v="ORD1165"/>
        <s v="ORD1166"/>
        <s v="ORD1167"/>
        <s v="ORD1168"/>
        <s v="ORD1169"/>
        <s v="ORD1170"/>
        <s v="ORD1171"/>
        <s v="ORD1172"/>
        <s v="ORD1173"/>
        <s v="ORD1174"/>
        <s v="ORD1175"/>
        <s v="ORD1176"/>
        <s v="ORD1177"/>
        <s v="ORD1178"/>
        <s v="ORD1179"/>
        <s v="ORD1180"/>
        <s v="ORD1181"/>
        <s v="ORD1182"/>
        <s v="ORD1183"/>
        <s v="ORD1184"/>
        <s v="ORD1185"/>
        <s v="ORD1186"/>
        <s v="ORD1187"/>
        <s v="ORD1188"/>
        <s v="ORD1189"/>
        <s v="ORD1190"/>
        <s v="ORD1191"/>
        <s v="ORD1192"/>
        <s v="ORD1193"/>
        <s v="ORD1194"/>
        <s v="ORD1195"/>
        <s v="ORD1196"/>
        <s v="ORD1197"/>
        <s v="ORD1198"/>
        <s v="ORD1199"/>
        <s v="ORD1200"/>
        <s v="ORD1201"/>
        <s v="ORD1202"/>
        <s v="ORD1203"/>
        <s v="ORD1204"/>
        <s v="ORD1205"/>
        <s v="ORD1206"/>
        <s v="ORD1207"/>
        <s v="ORD1208"/>
        <s v="ORD1209"/>
        <s v="ORD1210"/>
        <s v="ORD1211"/>
        <s v="ORD1212"/>
        <s v="ORD1213"/>
        <s v="ORD1214"/>
        <s v="ORD1215"/>
        <s v="ORD1216"/>
        <s v="ORD1217"/>
        <s v="ORD1218"/>
        <s v="ORD1219"/>
        <s v="ORD1220"/>
        <s v="ORD1221"/>
        <s v="ORD1222"/>
        <s v="ORD1223"/>
        <s v="ORD1224"/>
        <s v="ORD1225"/>
        <s v="ORD1226"/>
        <s v="ORD1227"/>
        <s v="ORD1228"/>
        <s v="ORD1229"/>
        <s v="ORD1230"/>
        <s v="ORD1231"/>
        <s v="ORD1232"/>
        <s v="ORD1233"/>
        <s v="ORD1234"/>
        <s v="ORD1235"/>
        <s v="ORD1236"/>
        <s v="ORD1237"/>
        <s v="ORD1238"/>
        <s v="ORD1239"/>
        <s v="ORD1240"/>
        <s v="ORD1241"/>
        <s v="ORD1242"/>
        <s v="ORD1243"/>
        <s v="ORD1244"/>
        <s v="ORD1245"/>
        <s v="ORD1246"/>
        <s v="ORD1247"/>
        <s v="ORD1248"/>
        <s v="ORD1249"/>
        <s v="ORD1250"/>
        <s v="ORD1251"/>
        <s v="ORD1252"/>
        <s v="ORD1253"/>
        <s v="ORD1254"/>
        <s v="ORD1255"/>
        <s v="ORD1256"/>
        <s v="ORD1257"/>
        <s v="ORD1258"/>
        <s v="ORD1259"/>
        <s v="ORD1260"/>
        <s v="ORD1261"/>
        <s v="ORD1262"/>
        <s v="ORD1263"/>
        <s v="ORD1264"/>
        <s v="ORD1265"/>
        <s v="ORD1266"/>
        <s v="ORD1267"/>
        <s v="ORD1268"/>
        <s v="ORD1269"/>
        <s v="ORD1270"/>
        <s v="ORD1271"/>
        <s v="ORD1272"/>
        <s v="ORD1273"/>
        <s v="ORD1274"/>
        <s v="ORD1275"/>
        <s v="ORD1276"/>
        <s v="ORD1277"/>
        <s v="ORD1278"/>
        <s v="ORD1279"/>
        <s v="ORD1280"/>
        <s v="ORD1281"/>
        <s v="ORD1282"/>
        <s v="ORD1283"/>
        <s v="ORD1284"/>
        <s v="ORD1285"/>
        <s v="ORD1286"/>
        <s v="ORD1287"/>
        <s v="ORD1288"/>
        <s v="ORD1289"/>
        <s v="ORD1290"/>
        <s v="ORD1291"/>
        <s v="ORD1292"/>
        <s v="ORD1293"/>
        <s v="ORD1294"/>
        <s v="ORD1295"/>
        <s v="ORD1296"/>
        <s v="ORD1297"/>
        <s v="ORD1298"/>
        <s v="ORD1299"/>
        <s v="ORD1300"/>
        <s v="ORD1301"/>
        <s v="ORD1302"/>
        <s v="ORD1303"/>
        <s v="ORD1304"/>
        <s v="ORD1305"/>
        <s v="ORD1306"/>
        <s v="ORD1307"/>
        <s v="ORD1308"/>
        <s v="ORD1309"/>
        <s v="ORD1310"/>
        <s v="ORD1311"/>
        <s v="ORD1312"/>
        <s v="ORD1313"/>
        <s v="ORD1314"/>
        <s v="ORD1315"/>
        <s v="ORD1316"/>
        <s v="ORD1317"/>
        <s v="ORD1318"/>
        <s v="ORD1319"/>
        <s v="ORD1320"/>
        <s v="ORD1321"/>
        <s v="ORD1322"/>
        <s v="ORD1323"/>
        <s v="ORD1324"/>
        <s v="ORD1325"/>
        <s v="ORD1326"/>
        <s v="ORD1327"/>
        <s v="ORD1328"/>
        <s v="ORD1329"/>
        <s v="ORD1330"/>
        <s v="ORD1331"/>
        <s v="ORD1332"/>
        <s v="ORD1333"/>
        <s v="ORD1334"/>
        <s v="ORD1335"/>
        <s v="ORD1336"/>
        <s v="ORD1337"/>
        <s v="ORD1338"/>
        <s v="ORD1339"/>
        <s v="ORD1340"/>
        <s v="ORD1341"/>
        <s v="ORD1342"/>
        <s v="ORD1343"/>
        <s v="ORD1344"/>
        <s v="ORD1345"/>
        <s v="ORD1346"/>
        <s v="ORD1347"/>
        <s v="ORD1348"/>
        <s v="ORD1349"/>
        <s v="ORD1350"/>
        <s v="ORD1351"/>
        <s v="ORD1352"/>
        <s v="ORD1353"/>
        <s v="ORD1354"/>
        <s v="ORD1355"/>
        <s v="ORD1356"/>
        <s v="ORD1357"/>
        <s v="ORD1358"/>
        <s v="ORD1359"/>
        <s v="ORD1360"/>
        <s v="ORD1361"/>
        <s v="ORD1362"/>
        <s v="ORD1363"/>
        <s v="ORD1364"/>
        <s v="ORD1365"/>
        <s v="ORD1366"/>
        <s v="ORD1367"/>
        <s v="ORD1368"/>
        <s v="ORD1369"/>
        <s v="ORD1370"/>
        <s v="ORD1371"/>
        <s v="ORD1372"/>
        <s v="ORD1373"/>
        <s v="ORD1374"/>
        <s v="ORD1375"/>
        <s v="ORD1376"/>
        <s v="ORD1377"/>
        <s v="ORD1378"/>
        <s v="ORD1379"/>
        <s v="ORD1380"/>
        <s v="ORD1381"/>
        <s v="ORD1382"/>
        <s v="ORD1383"/>
        <s v="ORD1384"/>
        <s v="ORD1385"/>
        <s v="ORD1386"/>
        <s v="ORD1387"/>
        <s v="ORD1388"/>
        <s v="ORD1389"/>
        <s v="ORD1390"/>
        <s v="ORD1391"/>
        <s v="ORD1392"/>
        <s v="ORD1393"/>
        <s v="ORD1394"/>
        <s v="ORD1395"/>
        <s v="ORD1396"/>
        <s v="ORD1397"/>
        <s v="ORD1398"/>
        <s v="ORD1399"/>
        <s v="ORD1400"/>
        <s v="ORD1401"/>
        <s v="ORD1402"/>
        <s v="ORD1403"/>
        <s v="ORD1404"/>
        <s v="ORD1405"/>
        <s v="ORD1406"/>
        <s v="ORD1407"/>
        <s v="ORD1408"/>
        <s v="ORD1409"/>
        <s v="ORD1410"/>
        <s v="ORD1411"/>
        <s v="ORD1412"/>
        <s v="ORD1413"/>
        <s v="ORD1414"/>
        <s v="ORD1415"/>
        <s v="ORD1416"/>
        <s v="ORD1417"/>
        <s v="ORD1418"/>
        <s v="ORD1419"/>
        <s v="ORD1420"/>
        <s v="ORD1421"/>
        <s v="ORD1422"/>
        <s v="ORD1423"/>
        <s v="ORD1424"/>
        <s v="ORD1425"/>
        <s v="ORD1426"/>
        <s v="ORD1427"/>
        <s v="ORD1428"/>
        <s v="ORD1429"/>
        <s v="ORD1430"/>
        <s v="ORD1431"/>
        <s v="ORD1432"/>
        <s v="ORD1433"/>
        <s v="ORD1434"/>
        <s v="ORD1435"/>
        <s v="ORD1436"/>
        <s v="ORD1437"/>
        <s v="ORD1438"/>
        <s v="ORD1439"/>
        <s v="ORD1440"/>
        <s v="ORD1441"/>
        <s v="ORD1442"/>
        <s v="ORD1443"/>
        <s v="ORD1444"/>
        <s v="ORD1445"/>
        <s v="ORD1446"/>
        <s v="ORD1447"/>
        <s v="ORD1448"/>
        <s v="ORD1449"/>
        <s v="ORD1450"/>
        <s v="ORD1451"/>
        <s v="ORD1452"/>
        <s v="ORD1453"/>
        <s v="ORD1454"/>
        <s v="ORD1455"/>
        <s v="ORD1456"/>
        <s v="ORD1457"/>
        <s v="ORD1458"/>
        <s v="ORD1459"/>
        <s v="ORD1460"/>
        <s v="ORD1461"/>
        <s v="ORD1462"/>
        <s v="ORD1463"/>
        <s v="ORD1464"/>
        <s v="ORD1465"/>
        <s v="ORD1466"/>
        <s v="ORD1467"/>
        <s v="ORD1468"/>
        <s v="ORD1469"/>
        <s v="ORD1470"/>
        <s v="ORD1471"/>
        <s v="ORD1472"/>
        <s v="ORD1473"/>
        <s v="ORD1474"/>
        <s v="ORD1475"/>
        <s v="ORD1476"/>
        <s v="ORD1477"/>
        <s v="ORD1478"/>
        <s v="ORD1479"/>
        <s v="ORD1480"/>
        <s v="ORD1481"/>
        <s v="ORD1482"/>
        <s v="ORD1483"/>
        <s v="ORD1484"/>
        <s v="ORD1485"/>
        <s v="ORD1486"/>
        <s v="ORD1487"/>
        <s v="ORD1488"/>
        <s v="ORD1489"/>
        <s v="ORD1490"/>
        <s v="ORD1491"/>
        <s v="ORD1492"/>
        <s v="ORD1493"/>
        <s v="ORD1494"/>
        <s v="ORD1495"/>
        <s v="ORD1496"/>
        <s v="ORD1497"/>
        <s v="ORD1498"/>
        <s v="ORD1499"/>
        <s v="ORD1500"/>
        <s v="ORD1501"/>
        <s v="ORD1502"/>
        <s v="ORD1503"/>
        <s v="ORD1504"/>
        <s v="ORD1505"/>
        <s v="ORD1506"/>
        <s v="ORD1507"/>
        <s v="ORD1508"/>
        <s v="ORD1509"/>
        <s v="ORD1510"/>
        <s v="ORD1511"/>
        <s v="ORD1512"/>
        <s v="ORD1513"/>
        <s v="ORD1514"/>
        <s v="ORD1515"/>
        <s v="ORD1516"/>
        <s v="ORD1517"/>
        <s v="ORD1518"/>
        <s v="ORD1519"/>
      </sharedItems>
    </cacheField>
    <cacheField name="Order_Date" numFmtId="14">
      <sharedItems containsSemiMixedTypes="0" containsNonDate="0" containsDate="1" containsString="0" minDate="2024-01-01T00:00:00" maxDate="2024-06-29T00:00:00"/>
    </cacheField>
    <cacheField name="Product_Category" numFmtId="0">
      <sharedItems count="4">
        <s v="Electronics"/>
        <s v="Home"/>
        <s v="B2B Services"/>
        <s v="Apparel"/>
      </sharedItems>
    </cacheField>
    <cacheField name="Product_SKU" numFmtId="0">
      <sharedItems/>
    </cacheField>
    <cacheField name="Region" numFmtId="0">
      <sharedItems count="3">
        <s v="North America"/>
        <s v="APAC"/>
        <s v="Europe"/>
      </sharedItems>
    </cacheField>
    <cacheField name="Country" numFmtId="0">
      <sharedItems/>
    </cacheField>
    <cacheField name="Business_Unit" numFmtId="0">
      <sharedItems count="2">
        <s v="Enterprise"/>
        <s v="Consumer"/>
      </sharedItems>
    </cacheField>
    <cacheField name="Vendor" numFmtId="0">
      <sharedItems/>
    </cacheField>
    <cacheField name="List_Price" numFmtId="2">
      <sharedItems containsSemiMixedTypes="0" containsString="0" containsNumber="1" containsInteger="1" minValue="51" maxValue="7977"/>
    </cacheField>
    <cacheField name="Discount_Pct" numFmtId="10">
      <sharedItems containsSemiMixedTypes="0" containsString="0" containsNumber="1" minValue="0.05" maxValue="0.35"/>
    </cacheField>
    <cacheField name="Net_Sales" numFmtId="2">
      <sharedItems containsSemiMixedTypes="0" containsString="0" containsNumber="1" minValue="39.53" maxValue="7524.95"/>
    </cacheField>
    <cacheField name="Unit_Cost" numFmtId="2">
      <sharedItems containsSemiMixedTypes="0" containsString="0" containsNumber="1" minValue="29.21" maxValue="5699.49"/>
    </cacheField>
    <cacheField name="Units_Sold" numFmtId="1">
      <sharedItems containsSemiMixedTypes="0" containsString="0" containsNumber="1" containsInteger="1" minValue="1" maxValue="3"/>
    </cacheField>
    <cacheField name="Logistics_Cost" numFmtId="2">
      <sharedItems containsSemiMixedTypes="0" containsString="0" containsNumber="1" containsInteger="1" minValue="11" maxValue="199"/>
    </cacheField>
    <cacheField name="Benchmark_Margin_Pct" numFmtId="9">
      <sharedItems containsSemiMixedTypes="0" containsString="0" containsNumber="1" minValue="0.28000000000000003" maxValue="0.45"/>
    </cacheField>
    <cacheField name="Revenue" numFmtId="2">
      <sharedItems containsSemiMixedTypes="0" containsString="0" containsNumber="1" minValue="39.53" maxValue="21156.57"/>
    </cacheField>
    <cacheField name="Total_Unit_Cost" numFmtId="2">
      <sharedItems containsSemiMixedTypes="0" containsString="0" containsNumber="1" minValue="64.59" maxValue="5826.47"/>
    </cacheField>
    <cacheField name="Total_Cost" numFmtId="2">
      <sharedItems containsSemiMixedTypes="0" containsString="0" containsNumber="1" minValue="75.81" maxValue="17344.47"/>
    </cacheField>
    <cacheField name="Gross_Profit" numFmtId="2">
      <sharedItems containsSemiMixedTypes="0" containsString="0" containsNumber="1" minValue="-1176.2399999999998" maxValue="9920.25"/>
    </cacheField>
    <cacheField name="Gross_Margin_Pct" numFmtId="10">
      <sharedItems containsSemiMixedTypes="0" containsString="0" containsNumber="1" minValue="-3.0445231469769798" maxValue="0.50549995066817199" count="520">
        <n v="6.9601778249025095E-2"/>
        <n v="0.17937254775147701"/>
        <n v="0.21971399197056199"/>
        <n v="-0.18849814355432301"/>
        <n v="2.8915888218832501E-2"/>
        <n v="0.15253267973856199"/>
        <n v="0.34638791730426899"/>
        <n v="0.18408686527670101"/>
        <n v="9.3768852882875106E-2"/>
        <n v="-2.0133264403468798E-3"/>
        <n v="0.11406604910703599"/>
        <n v="0.303097713097713"/>
        <n v="-3.3870895511248097E-2"/>
        <n v="0.22109249643078299"/>
        <n v="0.29691164972634898"/>
        <n v="-3.0445231469769798"/>
        <n v="0.246443200377296"/>
        <n v="-9.14215337975453E-3"/>
        <n v="0.30305807602993001"/>
        <n v="0.41844845810015102"/>
        <n v="0.107000448167562"/>
        <n v="0.40138472680881598"/>
        <n v="0.17760237705787801"/>
        <n v="0.27653359298928898"/>
        <n v="0.27399327057307499"/>
        <n v="0.43348716160017198"/>
        <n v="0.26419399461710802"/>
        <n v="0.28872453349433502"/>
        <n v="0.20926494466321999"/>
        <n v="0.203086260330578"/>
        <n v="-5.9901871828477303E-2"/>
        <n v="-1.1425816696914699"/>
        <n v="1.95130276481967E-2"/>
        <n v="0.37618099423235402"/>
        <n v="-3.0608775891794799E-2"/>
        <n v="9.2232852278254906E-3"/>
        <n v="0.24434138707584299"/>
        <n v="0.37706698896766599"/>
        <n v="-4.9683908045976902E-2"/>
        <n v="0.185082376761426"/>
        <n v="0.23873715990424901"/>
        <n v="0.229379971834202"/>
        <n v="0.25091575091575102"/>
        <n v="0.19881510493937099"/>
        <n v="0.35271997184130599"/>
        <n v="0.246918202764977"/>
        <n v="0.12620573786327399"/>
        <n v="0.31675429478198402"/>
        <n v="0.168176244187317"/>
        <n v="-6.9537850790707002E-3"/>
        <n v="0.310742038088336"/>
        <n v="0.35453133822699001"/>
        <n v="0.19429688652796201"/>
        <n v="0.387902302375987"/>
        <n v="0.29839251105227799"/>
        <n v="0.15822610198430001"/>
        <n v="7.0776797829036606E-2"/>
        <n v="8.4773144573701206E-2"/>
        <n v="0.17695374015748"/>
        <n v="-0.116170022293589"/>
        <n v="0.46635621822531698"/>
        <n v="0.31145513960912002"/>
        <n v="-6.0309391320151597E-2"/>
        <n v="0.14623377626699599"/>
        <n v="8.1871809890385602E-2"/>
        <n v="0.245831098396805"/>
        <n v="0.28884758364312302"/>
        <n v="0.33924631239096098"/>
        <n v="-0.24802916830902699"/>
        <n v="0.14824712643678201"/>
        <n v="7.6896656343559203E-2"/>
        <n v="0.46158728301721202"/>
        <n v="-0.19864714724527799"/>
        <n v="-0.15136261355112901"/>
        <n v="0.22958389291978801"/>
        <n v="0.179211220083906"/>
        <n v="0.35212291558140502"/>
        <n v="0.27481613534916199"/>
        <n v="0.49937909824174598"/>
        <n v="8.4646442601484004E-2"/>
        <n v="0.15689028107108599"/>
        <n v="0.120761725584875"/>
        <n v="0.23674531638223401"/>
        <n v="3.2833716031748797E-2"/>
        <n v="7.5459218951988802E-2"/>
        <n v="0.166973244147157"/>
        <n v="0.13325520833333299"/>
        <n v="-0.93353594080338198"/>
        <n v="0.15599282927343699"/>
        <n v="-0.12908208296557799"/>
        <n v="0.27004395604395598"/>
        <n v="0.191829038340666"/>
        <n v="0.37173500703638002"/>
        <n v="0.26496309776564497"/>
        <n v="0.32439404847612202"/>
        <n v="5.9880239520957801E-3"/>
        <n v="0.26376499538603498"/>
        <n v="0.31883124837966198"/>
        <n v="0.24228804464477399"/>
        <n v="-0.15083116883116901"/>
        <n v="0.449470696763897"/>
        <n v="0.16914655204085399"/>
        <n v="1.90156307177584E-2"/>
        <n v="0.30806358150848201"/>
        <n v="0.41158345130011798"/>
        <n v="-3.6630824372760003E-2"/>
        <n v="-0.11569672397207301"/>
        <n v="-7.5924075924076004E-2"/>
        <n v="0.12831501831501799"/>
        <n v="0.14800314465408801"/>
        <n v="0.31718410178338402"/>
        <n v="0.33475782996822601"/>
        <n v="-4.9412745064919002E-2"/>
        <n v="-0.12692027997454799"/>
        <n v="-0.874074074074074"/>
        <n v="-0.29687879523925198"/>
        <n v="0.36032763511694699"/>
        <n v="0.29718342416049098"/>
        <n v="4.1181599371254603E-2"/>
        <n v="2.7455173957374901E-2"/>
        <n v="0.44457082102192003"/>
        <n v="0.22166584997345701"/>
        <n v="0.21506920213032399"/>
        <n v="-7.9888181993445204E-2"/>
        <n v="7.0679588274242894E-2"/>
        <n v="0.248816556866993"/>
        <n v="-4.0649009782868201E-2"/>
        <n v="0.33704978354978399"/>
        <n v="0.35641939164316599"/>
        <n v="-0.12505293868523801"/>
        <n v="0.100214728578242"/>
        <n v="4.3426044468457499E-2"/>
        <n v="0.19360034034277401"/>
        <n v="0.12987943751436501"/>
        <n v="-0.14479501140118201"/>
        <n v="0.20895875937287001"/>
        <n v="0.162797763733593"/>
        <n v="0.37235772357723601"/>
        <n v="0.41545841417221002"/>
        <n v="0.14117831264515801"/>
        <n v="0.103932309847812"/>
        <n v="0.36308690856409098"/>
        <n v="0.25303160040774703"/>
        <n v="0.25007214576429698"/>
        <n v="0.30275442389302598"/>
        <n v="0.150762463343109"/>
        <n v="0.181323554494286"/>
        <n v="9.3285744205529403E-2"/>
        <n v="0.26667638134096799"/>
        <n v="0.32174771904553001"/>
        <n v="1.9891083814026201E-2"/>
        <n v="0.27236815234594403"/>
        <n v="-2.5720577546836099E-2"/>
        <n v="0.24096239741248399"/>
        <n v="8.4113247863247906E-2"/>
        <n v="0.14868402139458201"/>
        <n v="0.20334048144848699"/>
        <n v="0.350736506694245"/>
        <n v="0.140409452371553"/>
        <n v="0.30689169522557602"/>
        <n v="7.0721497335659397E-2"/>
        <n v="0.12556667664239199"/>
        <n v="0.10413784885739"/>
        <n v="0.31700383469482402"/>
        <n v="-4.2322498423376001E-2"/>
        <n v="0.29048158527617102"/>
        <n v="0.35727084855182401"/>
        <n v="0.36348426410242901"/>
        <n v="0.35161945614432799"/>
        <n v="2.8143353525414298E-2"/>
        <n v="-0.10101193223020601"/>
        <n v="0.27311949764696802"/>
        <n v="6.0856992639327E-2"/>
        <n v="0.35999601520862001"/>
        <n v="0.23365345022248801"/>
        <n v="-7.2596083051097498E-3"/>
        <n v="6.9615504845264103E-2"/>
        <n v="0.461212449356808"/>
        <n v="0.34725503165454003"/>
        <n v="9.2228985882657696E-2"/>
        <n v="0.27209836374706597"/>
        <n v="7.6534576534575396E-3"/>
        <n v="0.168132231763615"/>
        <n v="0.17366555924695501"/>
        <n v="0.25985430143280303"/>
        <n v="-3.7071375591943803E-2"/>
        <n v="0.47176758774833899"/>
        <n v="0.156446243175865"/>
        <n v="0.27165373621886502"/>
        <n v="-0.124349566377585"/>
        <n v="0.34622691768640002"/>
        <n v="0.13753316199635199"/>
        <n v="0.29774547232827098"/>
        <n v="-1.5874001774622899"/>
        <n v="0.39494931561281998"/>
        <n v="0.33207337409672"/>
        <n v="0.35984206701304899"/>
        <n v="0.207339989287251"/>
        <n v="0.25536348294512001"/>
        <n v="0.43609871188850102"/>
        <n v="0.17953284417321599"/>
        <n v="0.100554385777873"/>
        <n v="0.322782974483866"/>
        <n v="1.3733243117520199E-2"/>
        <n v="0.281818788809508"/>
        <n v="9.9706904038211003E-2"/>
        <n v="0.219924812030075"/>
        <n v="-0.18106880427521699"/>
        <n v="0.45783976545541699"/>
        <n v="0.36711289461858199"/>
        <n v="-0.11250743739069299"/>
        <n v="0.29508183568677798"/>
        <n v="0.28075453677172901"/>
        <n v="4.5446277684627397E-2"/>
        <n v="-0.38080639167595698"/>
        <n v="0.22200212407966499"/>
        <n v="0.42744020516041198"/>
        <n v="0.20759859849047399"/>
        <n v="0.39323018177479002"/>
        <n v="0.25504989610322998"/>
        <n v="0.446046467460116"/>
        <n v="0.17424990610785801"/>
        <n v="0.33861147805665598"/>
        <n v="0.239350865753822"/>
        <n v="-3.5911684593514801E-3"/>
        <n v="0.35207619574196403"/>
        <n v="0.22664624808575801"/>
        <n v="0.31563648513197501"/>
        <n v="0.16208726415094299"/>
        <n v="3.8413686850129199E-2"/>
        <n v="0.182667751977482"/>
        <n v="-8.6890416865227901E-2"/>
        <n v="0.28444050698026702"/>
        <n v="7.3255755240599602E-2"/>
        <n v="7.1302308802308798E-2"/>
        <n v="0.31171960184305902"/>
        <n v="0.38297837527176598"/>
        <n v="0.37920526083644102"/>
        <n v="-0.14849404001702801"/>
        <n v="7.7283262597169403E-2"/>
        <n v="0.214621626097036"/>
        <n v="0.23832036508092799"/>
        <n v="0.25338038998051798"/>
        <n v="3.9041064569234501E-3"/>
        <n v="-0.16604043657183801"/>
        <n v="0.22050921073668101"/>
        <n v="0.34165468231402302"/>
        <n v="0.15972229085338699"/>
        <n v="6.1197463894104798E-2"/>
        <n v="0.36702674256943402"/>
        <n v="0.21384275926141"/>
        <n v="0.12955951799381199"/>
        <n v="0.215324708387336"/>
        <n v="0.16664870689655201"/>
        <n v="-4.6810273405136701E-2"/>
        <n v="0.37688123090727998"/>
        <n v="7.0454154058110202E-2"/>
        <n v="7.2046203331119399E-2"/>
        <n v="0.26063114215698702"/>
        <n v="-0.53572769953051602"/>
        <n v="0.364309768821238"/>
        <n v="0.36882540199323499"/>
        <n v="9.0847134192053397E-2"/>
        <n v="-5.5296542403901E-2"/>
        <n v="5.7592938733125702E-2"/>
        <n v="-6.2543086939869805E-2"/>
        <n v="-2.6149842129170902E-4"/>
        <n v="0.18383160463697401"/>
        <n v="0.16864501900242199"/>
        <n v="0.177889280125196"/>
        <n v="0.35822417202175"/>
        <n v="-6.6874822594379796E-2"/>
        <n v="0.34066862032783002"/>
        <n v="8.5248889211440901E-2"/>
        <n v="0.34366235648785198"/>
        <n v="0.35953676777301802"/>
        <n v="-3.0178927643111898E-2"/>
        <n v="0.32811436233332703"/>
        <n v="-0.24269984631255401"/>
        <n v="-2.2638888888888902"/>
        <n v="-0.34276094276094299"/>
        <n v="0.29379178605539602"/>
        <n v="0.212334536702768"/>
        <n v="-7.5430938735616807E-2"/>
        <n v="3.2425234244641297E-2"/>
        <n v="0.44660170352974199"/>
        <n v="0.15217456340450999"/>
        <n v="-8.9987891147791793E-2"/>
        <n v="0.30171643947154198"/>
        <n v="8.5088051676229695E-2"/>
        <n v="0.23863357090194101"/>
        <n v="0.36830550998745498"/>
        <n v="9.4407643659360996E-2"/>
        <n v="0.109432967032967"/>
        <n v="0.42965533579628801"/>
        <n v="5.57790745290744E-2"/>
        <n v="7.8231044429938099E-2"/>
        <n v="0.22400296097011599"/>
        <n v="1.0234090879252099E-2"/>
        <n v="1.2782303102950299E-2"/>
        <n v="0.34603830834043497"/>
        <n v="0.24569431702059399"/>
        <n v="-0.175435413642961"/>
        <n v="0.178468905292614"/>
        <n v="-1.42559743779256"/>
        <n v="0.33713534687145702"/>
        <n v="6.8112098996516393E-2"/>
        <n v="0.29953285963661402"/>
        <n v="0.236831501647007"/>
        <n v="0.103590936444012"/>
        <n v="0.27496984452989198"/>
        <n v="0.15351339197713401"/>
        <n v="6.0354244378453901E-2"/>
        <n v="0.24299462479168099"/>
        <n v="6.8333052560646895E-2"/>
        <n v="0.19607690473525699"/>
        <n v="0.12763977668096099"/>
        <n v="2.1482707999044101E-2"/>
        <n v="0.108822029576747"/>
        <n v="3.7676996724615802E-2"/>
        <n v="2.8443807677720799E-3"/>
        <n v="0.26156979656868801"/>
        <n v="0.32733796781829599"/>
        <n v="0.375284223094279"/>
        <n v="0.13734998467426901"/>
        <n v="0.169049034855"/>
        <n v="0.265724808441895"/>
        <n v="0.24595366379310299"/>
        <n v="-1.18760757314975E-2"/>
        <n v="0.36874530182697601"/>
        <n v="0.101251765896583"/>
        <n v="-1.03688201061114E-2"/>
        <n v="5.72464419475655E-2"/>
        <n v="0.23340438007099401"/>
        <n v="0.341103811442795"/>
        <n v="-5.2107445041651997E-2"/>
        <n v="-8.9904212385938195E-2"/>
        <n v="-1.22550366300366"/>
        <n v="0.25442572759438198"/>
        <n v="5.5590191188694897E-2"/>
        <n v="4.8608042421564301E-2"/>
        <n v="7.1021714644196998E-3"/>
        <n v="0.26233848851903702"/>
        <n v="0.11483999480362"/>
        <n v="0.22116152894479099"/>
        <n v="3.1565930729398499E-2"/>
        <n v="0.419909116062259"/>
        <n v="9.3138541843621303E-2"/>
        <n v="-3.90007537417894E-2"/>
        <n v="0.36117683804043299"/>
        <n v="0.25704706640876901"/>
        <n v="0.15369936798798201"/>
        <n v="0.304672828368376"/>
        <n v="0.22787028142455601"/>
        <n v="0.10203697900344701"/>
        <n v="0.41321312806500898"/>
        <n v="0.440416831552566"/>
        <n v="0.224372512993644"/>
        <n v="0.152910342669379"/>
        <n v="-0.29900318133616099"/>
        <n v="7.9178643065406604E-2"/>
        <n v="-0.11786771744695999"/>
        <n v="0.42046941131204302"/>
        <n v="0.43406197090632698"/>
        <n v="0.175197413319719"/>
        <n v="8.90196078431372E-2"/>
        <n v="-2.0783132530120398E-2"/>
        <n v="0.19616484920140601"/>
        <n v="0.21779402564904601"/>
        <n v="0.42532798353275197"/>
        <n v="-0.14565575832099001"/>
        <n v="0.198729884703126"/>
        <n v="0.32198592467283299"/>
        <n v="0.144305568469103"/>
        <n v="0.30376728659990498"/>
        <n v="5.2279182745989E-2"/>
        <n v="-7.0084360804673097E-3"/>
        <n v="0.18979817231099999"/>
        <n v="0.47020110789980701"/>
        <n v="-1.4139632416430199"/>
        <n v="9.17300550646689E-2"/>
        <n v="0.25304958546760298"/>
        <n v="0.16985507246376799"/>
        <n v="0.29929405503553203"/>
        <n v="0.34386293223545999"/>
        <n v="0.22375216692265501"/>
        <n v="-1.0582161228479901E-3"/>
        <n v="-8.0401234567901103E-2"/>
        <n v="0.38777380095198599"/>
        <n v="0.244305666571075"/>
        <n v="0.46795730534985602"/>
        <n v="0.42992499013028002"/>
        <n v="0.1801458837496"/>
        <n v="-0.11641791044776099"/>
        <n v="0.41225019120140999"/>
        <n v="-7.9644862253557807E-3"/>
        <n v="0.31506259394577701"/>
        <n v="0.122136416583977"/>
        <n v="4.5410871076730697E-2"/>
        <n v="0.29173058736996998"/>
        <n v="0.14875404468164599"/>
        <n v="0.15863918229866"/>
        <n v="0.30201335612354402"/>
        <n v="-0.25432012567638301"/>
        <n v="0.18137605085517899"/>
        <n v="0.25409863574580899"/>
        <n v="2.9287459195365101E-2"/>
        <n v="6.13821461732326E-2"/>
        <n v="0.152330050388303"/>
        <n v="8.7795980176211402E-2"/>
        <n v="0.36227232581779401"/>
        <n v="0.16143064610261801"/>
        <n v="0.42734069295412602"/>
        <n v="0.358664332348543"/>
        <n v="0.36915418976178499"/>
        <n v="0.27316213775185899"/>
        <n v="0.11066840006099"/>
        <n v="0.13903143913773"/>
        <n v="0.26188607962801502"/>
        <n v="0.22086664865122599"/>
        <n v="0.48985317682764601"/>
        <n v="0.14880258899676399"/>
        <n v="-0.62658041752425797"/>
        <n v="0.311166875784191"/>
        <n v="0.36956106088334101"/>
        <n v="0.50549995066817199"/>
        <n v="5.5585384041759903E-2"/>
        <n v="0.19667410534240301"/>
        <n v="0.30633284776535802"/>
        <n v="0.20496849350645599"/>
        <n v="0.26999696300613102"/>
        <n v="9.7348160821214696E-2"/>
        <n v="0.102548566848593"/>
        <n v="-7.9857223979881597E-2"/>
        <n v="0.29489518926255498"/>
        <n v="-5.5485762144053099E-3"/>
        <n v="0.44358584411705498"/>
        <n v="0.23145713385465899"/>
        <n v="0.31106455557199703"/>
        <n v="-2.28679962013295E-2"/>
        <n v="0.29251953405877001"/>
        <n v="0.48727825195598501"/>
        <n v="0.30896664620421499"/>
        <n v="0.223885435606862"/>
        <n v="0.20668172917608099"/>
        <n v="0.26337005781378597"/>
        <n v="0.27191156297910102"/>
        <n v="0.28411294043834601"/>
        <n v="0.28749295842172801"/>
        <n v="0.114509246088193"/>
        <n v="0.27712422007941001"/>
        <n v="0.23713854801780199"/>
        <n v="7.4008445181722199E-2"/>
        <n v="0.225296317424098"/>
        <n v="-7.3063236889982897E-2"/>
        <n v="-0.32836850649350602"/>
        <n v="0.24692629932604099"/>
        <n v="4.1885577459550002E-2"/>
        <n v="0.12687752568284699"/>
        <n v="0.30232107552392201"/>
        <n v="-0.106761508951407"/>
        <n v="5.7171231701037398E-2"/>
        <n v="0.25222478487469102"/>
        <n v="0.224217970410864"/>
        <n v="0.35676169328844698"/>
        <n v="0.39340881677755701"/>
        <n v="0.214750109998188"/>
        <n v="0.178421665695981"/>
        <n v="6.4511240839647294E-2"/>
        <n v="0.34783229949400701"/>
        <n v="0.13071635215117999"/>
        <n v="0.153355155482815"/>
        <n v="0.24390506157189401"/>
        <n v="0.203349690229438"/>
        <n v="0.308446784537314"/>
        <n v="0.34504825092760999"/>
        <n v="0.25719467349423297"/>
        <n v="0.21659760708551301"/>
        <n v="0.17953969827111599"/>
        <n v="0.25559294272641497"/>
        <n v="-7.0953532097770597E-2"/>
        <n v="0.123696853741497"/>
        <n v="0.46889689585788202"/>
        <n v="0.28147333699835098"/>
        <n v="0.173924648708351"/>
        <n v="0.32607802330359598"/>
        <n v="0.33601888469910202"/>
        <n v="0.258370133215574"/>
        <n v="0.29589192169837297"/>
        <n v="0.243189160869692"/>
        <n v="0.44120706936144799"/>
        <n v="0.204053330802308"/>
        <n v="0.22251611836667201"/>
        <n v="0.12633520449077801"/>
        <n v="0.32189904559175098"/>
        <n v="0.35238382409222202"/>
        <n v="0.267772511848341"/>
        <n v="0.34390566634269698"/>
        <n v="0.25870301076616098"/>
        <n v="0.23724702585822899"/>
        <n v="0.23894134636747399"/>
        <n v="0.25307308970099701"/>
        <n v="0.238357753620075"/>
        <n v="0.18162474130643899"/>
        <n v="0.16943599978340401"/>
        <n v="0.21887087725514501"/>
        <n v="2.6992179953466099E-2"/>
        <n v="-2.03486169003411E-2"/>
        <n v="3.3062461175694897E-2"/>
        <n v="0.22553219106957401"/>
        <n v="0.36704010175447399"/>
        <n v="-4.9312228256665001E-2"/>
        <n v="0.30977871566027099"/>
        <n v="0.13923600209314499"/>
        <n v="0.19829906999510499"/>
        <n v="0.31156707953359603"/>
        <n v="0.126194124600499"/>
        <n v="0.21975296206293099"/>
        <n v="-2.26749298605586E-2"/>
        <n v="0.27165545903430899"/>
      </sharedItems>
    </cacheField>
    <cacheField name="Margin_Variance" numFmtId="10">
      <sharedItems containsSemiMixedTypes="0" containsString="0" containsNumber="1" minValue="-3.32452314697698" maxValue="0.205499950668172"/>
    </cacheField>
    <cacheField name="Margin_Risk" numFmtId="0">
      <sharedItems count="3">
        <s v="Medium Risk"/>
        <s v="High Risk"/>
        <s v="Healthy"/>
      </sharedItems>
    </cacheField>
    <cacheField name="Discount_Band" numFmtId="0">
      <sharedItems count="3">
        <s v="Medium Discount"/>
        <s v="High Discount"/>
        <s v="Low Discount"/>
      </sharedItems>
    </cacheField>
    <cacheField name="High Risk Orders" numFmtId="0" formula=" IF(Margin_Risk=&quot;High Risk&quot;,1,0)" databaseField="0"/>
  </cacheFields>
  <extLst>
    <ext xmlns:x14="http://schemas.microsoft.com/office/spreadsheetml/2009/9/main" uri="{725AE2AE-9491-48be-B2B4-4EB974FC3084}">
      <x14:pivotCacheDefinition pivotCacheId="13776177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0">
  <r>
    <x v="0"/>
    <d v="2024-04-12T00:00:00"/>
    <x v="0"/>
    <s v="ELE-291"/>
    <x v="0"/>
    <s v="Canada"/>
    <x v="0"/>
    <s v="Vendor D"/>
    <n v="7637"/>
    <n v="0.18"/>
    <n v="6262.34"/>
    <n v="5653.47"/>
    <n v="2"/>
    <n v="173"/>
    <n v="0.35"/>
    <n v="12524.68"/>
    <n v="5826.47"/>
    <n v="11652.94"/>
    <n v="871.73999999999978"/>
    <x v="0"/>
    <n v="-0.28039822175097501"/>
    <x v="0"/>
    <x v="0"/>
  </r>
  <r>
    <x v="1"/>
    <d v="2024-06-28T00:00:00"/>
    <x v="1"/>
    <s v="HOM-794"/>
    <x v="1"/>
    <s v="India"/>
    <x v="1"/>
    <s v="Vendor B"/>
    <n v="5154"/>
    <n v="0.28000000000000003"/>
    <n v="3710.88"/>
    <n v="2846.25"/>
    <n v="1"/>
    <n v="199"/>
    <n v="0.32"/>
    <n v="3710.88"/>
    <n v="3045.25"/>
    <n v="3045.25"/>
    <n v="665.63000000000011"/>
    <x v="1"/>
    <n v="-0.14062745224852299"/>
    <x v="0"/>
    <x v="1"/>
  </r>
  <r>
    <x v="2"/>
    <d v="2024-04-02T00:00:00"/>
    <x v="0"/>
    <s v="ELE-276"/>
    <x v="0"/>
    <s v="USA"/>
    <x v="1"/>
    <s v="Vendor B"/>
    <n v="5442"/>
    <n v="0.21"/>
    <n v="4299.18"/>
    <n v="3259.59"/>
    <n v="1"/>
    <n v="95"/>
    <n v="0.43"/>
    <n v="4299.18"/>
    <n v="3354.59"/>
    <n v="3354.59"/>
    <n v="944.59000000000015"/>
    <x v="2"/>
    <n v="-0.210286008029438"/>
    <x v="0"/>
    <x v="1"/>
  </r>
  <r>
    <x v="3"/>
    <d v="2024-01-15T00:00:00"/>
    <x v="1"/>
    <s v="HOM-984"/>
    <x v="0"/>
    <s v="USA"/>
    <x v="1"/>
    <s v="Vendor C"/>
    <n v="1869"/>
    <n v="0.34"/>
    <n v="1233.54"/>
    <n v="1374.06"/>
    <n v="2"/>
    <n v="92"/>
    <n v="0.39"/>
    <n v="2467.08"/>
    <n v="1466.06"/>
    <n v="2932.12"/>
    <n v="-465.03999999999996"/>
    <x v="3"/>
    <n v="-0.57849814355432305"/>
    <x v="1"/>
    <x v="1"/>
  </r>
  <r>
    <x v="4"/>
    <d v="2024-04-16T00:00:00"/>
    <x v="2"/>
    <s v="B2B-141"/>
    <x v="0"/>
    <s v="USA"/>
    <x v="1"/>
    <s v="Vendor C"/>
    <n v="5638"/>
    <n v="0.28000000000000003"/>
    <n v="4059.36"/>
    <n v="3875.98"/>
    <n v="3"/>
    <n v="66"/>
    <n v="0.3"/>
    <n v="12178.08"/>
    <n v="3941.98"/>
    <n v="11825.94"/>
    <n v="352.13999999999942"/>
    <x v="4"/>
    <n v="-0.27108411178116698"/>
    <x v="0"/>
    <x v="1"/>
  </r>
  <r>
    <x v="5"/>
    <d v="2024-03-12T00:00:00"/>
    <x v="3"/>
    <s v="APP-173"/>
    <x v="2"/>
    <s v="UK"/>
    <x v="1"/>
    <s v="Vendor A"/>
    <n v="7380"/>
    <n v="0.32"/>
    <n v="5018.3999999999996"/>
    <n v="4097.93"/>
    <n v="3"/>
    <n v="155"/>
    <n v="0.3"/>
    <n v="15055.199999999999"/>
    <n v="4252.93"/>
    <n v="12758.79"/>
    <n v="2296.409999999998"/>
    <x v="5"/>
    <n v="-0.147467320261438"/>
    <x v="0"/>
    <x v="1"/>
  </r>
  <r>
    <x v="6"/>
    <d v="2024-01-21T00:00:00"/>
    <x v="0"/>
    <s v="ELE-128"/>
    <x v="2"/>
    <s v="Germany"/>
    <x v="0"/>
    <s v="Vendor B"/>
    <n v="5822"/>
    <n v="0.12"/>
    <n v="5123.3599999999997"/>
    <n v="3312.69"/>
    <n v="2"/>
    <n v="36"/>
    <n v="0.3"/>
    <n v="10246.719999999999"/>
    <n v="3348.69"/>
    <n v="6697.38"/>
    <n v="3549.3399999999992"/>
    <x v="6"/>
    <n v="4.6387917304269E-2"/>
    <x v="2"/>
    <x v="0"/>
  </r>
  <r>
    <x v="7"/>
    <d v="2024-04-12T00:00:00"/>
    <x v="1"/>
    <s v="HOM-903"/>
    <x v="0"/>
    <s v="Canada"/>
    <x v="1"/>
    <s v="Vendor A"/>
    <n v="1906"/>
    <n v="0.31"/>
    <n v="1315.14"/>
    <n v="993.04"/>
    <n v="1"/>
    <n v="80"/>
    <n v="0.38"/>
    <n v="1315.14"/>
    <n v="1073.04"/>
    <n v="1073.04"/>
    <n v="242.10000000000014"/>
    <x v="7"/>
    <n v="-0.19591313472329899"/>
    <x v="0"/>
    <x v="1"/>
  </r>
  <r>
    <x v="8"/>
    <d v="2024-05-01T00:00:00"/>
    <x v="1"/>
    <s v="HOM-752"/>
    <x v="2"/>
    <s v="UK"/>
    <x v="0"/>
    <s v="Vendor B"/>
    <n v="2264"/>
    <n v="0.18"/>
    <n v="1856.48"/>
    <n v="1634.4"/>
    <n v="2"/>
    <n v="48"/>
    <n v="0.36"/>
    <n v="3712.96"/>
    <n v="1682.4"/>
    <n v="3364.8"/>
    <n v="348.15999999999985"/>
    <x v="8"/>
    <n v="-0.26623114711712498"/>
    <x v="0"/>
    <x v="0"/>
  </r>
  <r>
    <x v="9"/>
    <d v="2024-03-15T00:00:00"/>
    <x v="3"/>
    <s v="APP-604"/>
    <x v="2"/>
    <s v="France"/>
    <x v="0"/>
    <s v="Vendor D"/>
    <n v="4974"/>
    <n v="0.3"/>
    <n v="3481.8"/>
    <n v="3348.81"/>
    <n v="1"/>
    <n v="140"/>
    <n v="0.32"/>
    <n v="3481.8"/>
    <n v="3488.81"/>
    <n v="3488.81"/>
    <n v="-7.0099999999997635"/>
    <x v="9"/>
    <n v="-0.32201332644034703"/>
    <x v="0"/>
    <x v="1"/>
  </r>
  <r>
    <x v="10"/>
    <d v="2024-03-28T00:00:00"/>
    <x v="0"/>
    <s v="ELE-248"/>
    <x v="1"/>
    <s v="Singapore"/>
    <x v="1"/>
    <s v="Vendor A"/>
    <n v="5079"/>
    <n v="0.18"/>
    <n v="4164.78"/>
    <n v="3507.72"/>
    <n v="1"/>
    <n v="182"/>
    <n v="0.28999999999999998"/>
    <n v="4164.78"/>
    <n v="3689.72"/>
    <n v="3689.72"/>
    <n v="475.05999999999995"/>
    <x v="10"/>
    <n v="-0.17593395089296399"/>
    <x v="0"/>
    <x v="0"/>
  </r>
  <r>
    <x v="11"/>
    <d v="2024-04-26T00:00:00"/>
    <x v="1"/>
    <s v="HOM-242"/>
    <x v="2"/>
    <s v="Germany"/>
    <x v="0"/>
    <s v="Vendor D"/>
    <n v="1300"/>
    <n v="0.26"/>
    <n v="962"/>
    <n v="614.41999999999996"/>
    <n v="1"/>
    <n v="56"/>
    <n v="0.32"/>
    <n v="962"/>
    <n v="670.42"/>
    <n v="670.42"/>
    <n v="291.58000000000004"/>
    <x v="11"/>
    <n v="-1.6902286902287001E-2"/>
    <x v="0"/>
    <x v="1"/>
  </r>
  <r>
    <x v="12"/>
    <d v="2024-04-09T00:00:00"/>
    <x v="0"/>
    <s v="ELE-767"/>
    <x v="1"/>
    <s v="India"/>
    <x v="0"/>
    <s v="Vendor C"/>
    <n v="2753"/>
    <n v="0.27"/>
    <n v="2009.69"/>
    <n v="1994.76"/>
    <n v="2"/>
    <n v="83"/>
    <n v="0.36"/>
    <n v="4019.38"/>
    <n v="2077.7600000000002"/>
    <n v="4155.5200000000004"/>
    <n v="-136.14000000000033"/>
    <x v="12"/>
    <n v="-0.39387089551124799"/>
    <x v="0"/>
    <x v="1"/>
  </r>
  <r>
    <x v="13"/>
    <d v="2024-04-13T00:00:00"/>
    <x v="3"/>
    <s v="APP-601"/>
    <x v="0"/>
    <s v="Canada"/>
    <x v="1"/>
    <s v="Vendor B"/>
    <n v="3769"/>
    <n v="0.16"/>
    <n v="3165.96"/>
    <n v="2355.9899999999998"/>
    <n v="1"/>
    <n v="110"/>
    <n v="0.32"/>
    <n v="3165.96"/>
    <n v="2465.9899999999998"/>
    <n v="2465.9899999999998"/>
    <n v="699.97000000000025"/>
    <x v="13"/>
    <n v="-9.8907503569217001E-2"/>
    <x v="0"/>
    <x v="0"/>
  </r>
  <r>
    <x v="14"/>
    <d v="2024-05-31T00:00:00"/>
    <x v="0"/>
    <s v="ELE-693"/>
    <x v="1"/>
    <s v="India"/>
    <x v="1"/>
    <s v="Vendor D"/>
    <n v="2558"/>
    <n v="0.26"/>
    <n v="1892.92"/>
    <n v="1275.8900000000001"/>
    <n v="3"/>
    <n v="55"/>
    <n v="0.42"/>
    <n v="5678.76"/>
    <n v="1330.89"/>
    <n v="3992.67"/>
    <n v="1686.0900000000001"/>
    <x v="14"/>
    <n v="-0.123088350273651"/>
    <x v="0"/>
    <x v="1"/>
  </r>
  <r>
    <x v="15"/>
    <d v="2024-05-10T00:00:00"/>
    <x v="0"/>
    <s v="ELE-900"/>
    <x v="1"/>
    <s v="Singapore"/>
    <x v="0"/>
    <s v="Vendor B"/>
    <n v="59"/>
    <n v="0.33"/>
    <n v="39.53"/>
    <n v="41.88"/>
    <n v="1"/>
    <n v="118"/>
    <n v="0.28000000000000003"/>
    <n v="39.53"/>
    <n v="159.88"/>
    <n v="159.88"/>
    <n v="-120.35"/>
    <x v="15"/>
    <n v="-3.32452314697698"/>
    <x v="1"/>
    <x v="1"/>
  </r>
  <r>
    <x v="16"/>
    <d v="2024-05-29T00:00:00"/>
    <x v="3"/>
    <s v="APP-560"/>
    <x v="2"/>
    <s v="Germany"/>
    <x v="0"/>
    <s v="Vendor A"/>
    <n v="5948"/>
    <n v="0.23"/>
    <n v="4579.96"/>
    <n v="3356.26"/>
    <n v="3"/>
    <n v="95"/>
    <n v="0.42"/>
    <n v="13739.880000000001"/>
    <n v="3451.26"/>
    <n v="10353.780000000001"/>
    <n v="3386.1000000000004"/>
    <x v="16"/>
    <n v="-0.17355679962270401"/>
    <x v="0"/>
    <x v="1"/>
  </r>
  <r>
    <x v="17"/>
    <d v="2024-02-22T00:00:00"/>
    <x v="0"/>
    <s v="ELE-536"/>
    <x v="0"/>
    <s v="Canada"/>
    <x v="1"/>
    <s v="Vendor A"/>
    <n v="454"/>
    <n v="7.0000000000000007E-2"/>
    <n v="422.22"/>
    <n v="322.08"/>
    <n v="1"/>
    <n v="104"/>
    <n v="0.45"/>
    <n v="422.22"/>
    <n v="426.08"/>
    <n v="426.08"/>
    <n v="-3.8599999999999568"/>
    <x v="17"/>
    <n v="-0.459142153379755"/>
    <x v="0"/>
    <x v="2"/>
  </r>
  <r>
    <x v="18"/>
    <d v="2024-01-02T00:00:00"/>
    <x v="0"/>
    <s v="ELE-816"/>
    <x v="1"/>
    <s v="India"/>
    <x v="0"/>
    <s v="Vendor B"/>
    <n v="4228"/>
    <n v="0.12"/>
    <n v="3720.64"/>
    <n v="2474.0700000000002"/>
    <n v="1"/>
    <n v="119"/>
    <n v="0.44"/>
    <n v="3720.64"/>
    <n v="2593.0700000000002"/>
    <n v="2593.0700000000002"/>
    <n v="1127.5699999999997"/>
    <x v="18"/>
    <n v="-0.13694192397006999"/>
    <x v="0"/>
    <x v="0"/>
  </r>
  <r>
    <x v="19"/>
    <d v="2024-03-28T00:00:00"/>
    <x v="0"/>
    <s v="ELE-990"/>
    <x v="2"/>
    <s v="Germany"/>
    <x v="0"/>
    <s v="Vendor B"/>
    <n v="3469"/>
    <n v="0.13"/>
    <n v="3018.03"/>
    <n v="1584.14"/>
    <n v="2"/>
    <n v="171"/>
    <n v="0.41"/>
    <n v="6036.06"/>
    <n v="1755.14"/>
    <n v="3510.28"/>
    <n v="2525.7800000000002"/>
    <x v="19"/>
    <n v="8.4484581001510496E-3"/>
    <x v="2"/>
    <x v="0"/>
  </r>
  <r>
    <x v="20"/>
    <d v="2024-06-06T00:00:00"/>
    <x v="3"/>
    <s v="APP-952"/>
    <x v="2"/>
    <s v="Germany"/>
    <x v="0"/>
    <s v="Vendor B"/>
    <n v="7951"/>
    <n v="0.28999999999999998"/>
    <n v="5645.21"/>
    <n v="4985.17"/>
    <n v="3"/>
    <n v="56"/>
    <n v="0.41"/>
    <n v="16935.63"/>
    <n v="5041.17"/>
    <n v="15123.51"/>
    <n v="1812.1200000000008"/>
    <x v="20"/>
    <n v="-0.30299955183243799"/>
    <x v="0"/>
    <x v="1"/>
  </r>
  <r>
    <x v="21"/>
    <d v="2024-02-07T00:00:00"/>
    <x v="1"/>
    <s v="HOM-958"/>
    <x v="2"/>
    <s v="France"/>
    <x v="1"/>
    <s v="Vendor B"/>
    <n v="7921"/>
    <n v="0.05"/>
    <n v="7524.95"/>
    <n v="4397.55"/>
    <n v="2"/>
    <n v="107"/>
    <n v="0.35"/>
    <n v="15049.9"/>
    <n v="4504.55"/>
    <n v="9009.1"/>
    <n v="6040.7999999999993"/>
    <x v="21"/>
    <n v="5.1384726808815999E-2"/>
    <x v="2"/>
    <x v="2"/>
  </r>
  <r>
    <x v="22"/>
    <d v="2024-05-09T00:00:00"/>
    <x v="3"/>
    <s v="APP-896"/>
    <x v="1"/>
    <s v="India"/>
    <x v="1"/>
    <s v="Vendor B"/>
    <n v="7698"/>
    <n v="0.28999999999999998"/>
    <n v="5465.58"/>
    <n v="4379.88"/>
    <n v="3"/>
    <n v="115"/>
    <n v="0.4"/>
    <n v="16396.739999999998"/>
    <n v="4494.88"/>
    <n v="13484.64"/>
    <n v="2912.0999999999985"/>
    <x v="22"/>
    <n v="-0.22239762294212201"/>
    <x v="0"/>
    <x v="1"/>
  </r>
  <r>
    <x v="23"/>
    <d v="2024-01-21T00:00:00"/>
    <x v="3"/>
    <s v="APP-982"/>
    <x v="2"/>
    <s v="Germany"/>
    <x v="0"/>
    <s v="Vendor D"/>
    <n v="3081"/>
    <n v="0.06"/>
    <n v="2896.14"/>
    <n v="1960.26"/>
    <n v="3"/>
    <n v="135"/>
    <n v="0.38"/>
    <n v="8688.42"/>
    <n v="2095.2600000000002"/>
    <n v="6285.7800000000007"/>
    <n v="2402.6399999999994"/>
    <x v="23"/>
    <n v="-0.103466407010711"/>
    <x v="0"/>
    <x v="2"/>
  </r>
  <r>
    <x v="24"/>
    <d v="2024-06-09T00:00:00"/>
    <x v="1"/>
    <s v="HOM-294"/>
    <x v="1"/>
    <s v="India"/>
    <x v="1"/>
    <s v="Vendor C"/>
    <n v="6140"/>
    <n v="0.09"/>
    <n v="5587.4"/>
    <n v="3943.49"/>
    <n v="1"/>
    <n v="113"/>
    <n v="0.43"/>
    <n v="5587.4"/>
    <n v="4056.49"/>
    <n v="4056.49"/>
    <n v="1530.9099999999999"/>
    <x v="24"/>
    <n v="-0.15600672942692501"/>
    <x v="0"/>
    <x v="2"/>
  </r>
  <r>
    <x v="25"/>
    <d v="2024-02-27T00:00:00"/>
    <x v="2"/>
    <s v="B2B-504"/>
    <x v="1"/>
    <s v="India"/>
    <x v="1"/>
    <s v="Vendor B"/>
    <n v="3172"/>
    <n v="0.06"/>
    <n v="2981.68"/>
    <n v="1588.16"/>
    <n v="2"/>
    <n v="101"/>
    <n v="0.31"/>
    <n v="5963.36"/>
    <n v="1689.16"/>
    <n v="3378.32"/>
    <n v="2585.0399999999995"/>
    <x v="25"/>
    <n v="0.12348716160017199"/>
    <x v="2"/>
    <x v="2"/>
  </r>
  <r>
    <x v="26"/>
    <d v="2024-01-22T00:00:00"/>
    <x v="0"/>
    <s v="ELE-348"/>
    <x v="2"/>
    <s v="Germany"/>
    <x v="1"/>
    <s v="Vendor B"/>
    <n v="3167"/>
    <n v="0.16"/>
    <n v="2660.28"/>
    <n v="1903.45"/>
    <n v="3"/>
    <n v="54"/>
    <n v="0.28999999999999998"/>
    <n v="7980.84"/>
    <n v="1957.45"/>
    <n v="5872.35"/>
    <n v="2108.4899999999998"/>
    <x v="26"/>
    <n v="-2.5806005382891999E-2"/>
    <x v="0"/>
    <x v="0"/>
  </r>
  <r>
    <x v="27"/>
    <d v="2024-03-29T00:00:00"/>
    <x v="3"/>
    <s v="APP-966"/>
    <x v="1"/>
    <s v="India"/>
    <x v="1"/>
    <s v="Vendor B"/>
    <n v="4252"/>
    <n v="0.33"/>
    <n v="2848.84"/>
    <n v="1991.31"/>
    <n v="1"/>
    <n v="35"/>
    <n v="0.28999999999999998"/>
    <n v="2848.84"/>
    <n v="2026.31"/>
    <n v="2026.31"/>
    <n v="822.5300000000002"/>
    <x v="27"/>
    <n v="-1.27546650566496E-3"/>
    <x v="0"/>
    <x v="1"/>
  </r>
  <r>
    <x v="28"/>
    <d v="2024-02-18T00:00:00"/>
    <x v="1"/>
    <s v="HOM-625"/>
    <x v="0"/>
    <s v="Canada"/>
    <x v="1"/>
    <s v="Vendor D"/>
    <n v="4871"/>
    <n v="0.12"/>
    <n v="4286.4799999999996"/>
    <n v="3302.47"/>
    <n v="2"/>
    <n v="87"/>
    <n v="0.41"/>
    <n v="8572.9599999999991"/>
    <n v="3389.47"/>
    <n v="6778.94"/>
    <n v="1794.0199999999995"/>
    <x v="28"/>
    <n v="-0.20073505533677999"/>
    <x v="0"/>
    <x v="0"/>
  </r>
  <r>
    <x v="29"/>
    <d v="2024-02-28T00:00:00"/>
    <x v="1"/>
    <s v="HOM-982"/>
    <x v="1"/>
    <s v="Singapore"/>
    <x v="0"/>
    <s v="Vendor C"/>
    <n v="968"/>
    <n v="0.2"/>
    <n v="774.4"/>
    <n v="590.13"/>
    <n v="2"/>
    <n v="27"/>
    <n v="0.34"/>
    <n v="1548.8"/>
    <n v="617.13"/>
    <n v="1234.26"/>
    <n v="314.53999999999996"/>
    <x v="29"/>
    <n v="-0.136913739669422"/>
    <x v="0"/>
    <x v="1"/>
  </r>
  <r>
    <x v="30"/>
    <d v="2024-06-18T00:00:00"/>
    <x v="0"/>
    <s v="ELE-636"/>
    <x v="1"/>
    <s v="Singapore"/>
    <x v="0"/>
    <s v="Vendor D"/>
    <n v="763"/>
    <n v="0.22"/>
    <n v="595.14"/>
    <n v="535.79"/>
    <n v="2"/>
    <n v="95"/>
    <n v="0.37"/>
    <n v="1190.28"/>
    <n v="630.79"/>
    <n v="1261.58"/>
    <n v="-71.299999999999955"/>
    <x v="30"/>
    <n v="-0.429901871828477"/>
    <x v="0"/>
    <x v="1"/>
  </r>
  <r>
    <x v="31"/>
    <d v="2024-01-15T00:00:00"/>
    <x v="2"/>
    <s v="B2B-875"/>
    <x v="0"/>
    <s v="USA"/>
    <x v="1"/>
    <s v="Vendor B"/>
    <n v="116"/>
    <n v="0.24"/>
    <n v="88.16"/>
    <n v="68.89"/>
    <n v="2"/>
    <n v="120"/>
    <n v="0.38"/>
    <n v="176.32"/>
    <n v="188.89"/>
    <n v="377.78"/>
    <n v="-201.45999999999998"/>
    <x v="31"/>
    <n v="-1.52258166969147"/>
    <x v="1"/>
    <x v="1"/>
  </r>
  <r>
    <x v="32"/>
    <d v="2024-06-23T00:00:00"/>
    <x v="1"/>
    <s v="HOM-840"/>
    <x v="0"/>
    <s v="Canada"/>
    <x v="1"/>
    <s v="Vendor A"/>
    <n v="5687"/>
    <n v="0.32"/>
    <n v="3867.16"/>
    <n v="3595.7"/>
    <n v="3"/>
    <n v="196"/>
    <n v="0.45"/>
    <n v="11601.48"/>
    <n v="3791.7"/>
    <n v="11375.099999999999"/>
    <n v="226.38000000000102"/>
    <x v="32"/>
    <n v="-0.430486972351803"/>
    <x v="0"/>
    <x v="1"/>
  </r>
  <r>
    <x v="33"/>
    <d v="2024-02-20T00:00:00"/>
    <x v="0"/>
    <s v="ELE-706"/>
    <x v="0"/>
    <s v="USA"/>
    <x v="1"/>
    <s v="Vendor B"/>
    <n v="1655"/>
    <n v="0.12"/>
    <n v="1456.4"/>
    <n v="824.53"/>
    <n v="2"/>
    <n v="84"/>
    <n v="0.33"/>
    <n v="2912.8"/>
    <n v="908.53"/>
    <n v="1817.06"/>
    <n v="1095.7400000000002"/>
    <x v="33"/>
    <n v="4.6180994232354E-2"/>
    <x v="2"/>
    <x v="0"/>
  </r>
  <r>
    <x v="34"/>
    <d v="2024-04-17T00:00:00"/>
    <x v="1"/>
    <s v="HOM-174"/>
    <x v="1"/>
    <s v="India"/>
    <x v="1"/>
    <s v="Vendor C"/>
    <n v="1113"/>
    <n v="0.26"/>
    <n v="823.62"/>
    <n v="833.83"/>
    <n v="2"/>
    <n v="15"/>
    <n v="0.38"/>
    <n v="1647.24"/>
    <n v="848.83"/>
    <n v="1697.66"/>
    <n v="-50.420000000000073"/>
    <x v="34"/>
    <n v="-0.41060877589179501"/>
    <x v="0"/>
    <x v="1"/>
  </r>
  <r>
    <x v="35"/>
    <d v="2024-02-24T00:00:00"/>
    <x v="3"/>
    <s v="APP-534"/>
    <x v="1"/>
    <s v="Singapore"/>
    <x v="1"/>
    <s v="Vendor D"/>
    <n v="6167"/>
    <n v="0.25"/>
    <n v="4625.25"/>
    <n v="4494.59"/>
    <n v="3"/>
    <n v="88"/>
    <n v="0.38"/>
    <n v="13875.75"/>
    <n v="4582.59"/>
    <n v="13747.77"/>
    <n v="127.97999999999956"/>
    <x v="35"/>
    <n v="-0.370776714772174"/>
    <x v="0"/>
    <x v="1"/>
  </r>
  <r>
    <x v="36"/>
    <d v="2024-03-04T00:00:00"/>
    <x v="0"/>
    <s v="ELE-753"/>
    <x v="0"/>
    <s v="Canada"/>
    <x v="1"/>
    <s v="Vendor B"/>
    <n v="7029"/>
    <n v="0.18"/>
    <n v="5763.78"/>
    <n v="4233.45"/>
    <n v="3"/>
    <n v="122"/>
    <n v="0.4"/>
    <n v="17291.34"/>
    <n v="4355.45"/>
    <n v="13066.349999999999"/>
    <n v="4224.9900000000016"/>
    <x v="36"/>
    <n v="-0.155658612924157"/>
    <x v="0"/>
    <x v="0"/>
  </r>
  <r>
    <x v="37"/>
    <d v="2024-05-10T00:00:00"/>
    <x v="3"/>
    <s v="APP-749"/>
    <x v="2"/>
    <s v="Germany"/>
    <x v="1"/>
    <s v="Vendor D"/>
    <n v="7038"/>
    <n v="0.21"/>
    <n v="5560.02"/>
    <n v="3276.52"/>
    <n v="2"/>
    <n v="187"/>
    <n v="0.37"/>
    <n v="11120.04"/>
    <n v="3463.52"/>
    <n v="6927.04"/>
    <n v="4193.0000000000009"/>
    <x v="37"/>
    <n v="7.066988967666E-3"/>
    <x v="2"/>
    <x v="1"/>
  </r>
  <r>
    <x v="38"/>
    <d v="2024-02-20T00:00:00"/>
    <x v="2"/>
    <s v="B2B-705"/>
    <x v="2"/>
    <s v="Germany"/>
    <x v="0"/>
    <s v="Vendor A"/>
    <n v="1392"/>
    <n v="0.25"/>
    <n v="1044"/>
    <n v="943.87"/>
    <n v="2"/>
    <n v="152"/>
    <n v="0.35"/>
    <n v="2088"/>
    <n v="1095.8699999999999"/>
    <n v="2191.7399999999998"/>
    <n v="-103.73999999999978"/>
    <x v="38"/>
    <n v="-0.39968390804597698"/>
    <x v="0"/>
    <x v="1"/>
  </r>
  <r>
    <x v="39"/>
    <d v="2024-05-14T00:00:00"/>
    <x v="0"/>
    <s v="ELE-646"/>
    <x v="1"/>
    <s v="India"/>
    <x v="0"/>
    <s v="Vendor D"/>
    <n v="2019"/>
    <n v="0.09"/>
    <n v="1837.29"/>
    <n v="1351.24"/>
    <n v="2"/>
    <n v="146"/>
    <n v="0.31"/>
    <n v="3674.58"/>
    <n v="1497.24"/>
    <n v="2994.48"/>
    <n v="680.09999999999991"/>
    <x v="39"/>
    <n v="-0.124917623238574"/>
    <x v="0"/>
    <x v="2"/>
  </r>
  <r>
    <x v="40"/>
    <d v="2024-01-21T00:00:00"/>
    <x v="2"/>
    <s v="B2B-264"/>
    <x v="0"/>
    <s v="Canada"/>
    <x v="1"/>
    <s v="Vendor D"/>
    <n v="5518"/>
    <n v="0.09"/>
    <n v="5021.38"/>
    <n v="3799.59"/>
    <n v="2"/>
    <n v="23"/>
    <n v="0.42"/>
    <n v="10042.76"/>
    <n v="3822.59"/>
    <n v="7645.18"/>
    <n v="2397.58"/>
    <x v="40"/>
    <n v="-0.181262840095751"/>
    <x v="0"/>
    <x v="2"/>
  </r>
  <r>
    <x v="41"/>
    <d v="2024-03-13T00:00:00"/>
    <x v="1"/>
    <s v="HOM-899"/>
    <x v="0"/>
    <s v="USA"/>
    <x v="0"/>
    <s v="Vendor B"/>
    <n v="4277"/>
    <n v="0.14000000000000001"/>
    <n v="3678.22"/>
    <n v="2679.51"/>
    <n v="3"/>
    <n v="155"/>
    <n v="0.4"/>
    <n v="11034.66"/>
    <n v="2834.51"/>
    <n v="8503.5300000000007"/>
    <n v="2531.1299999999992"/>
    <x v="41"/>
    <n v="-0.17062002816579799"/>
    <x v="0"/>
    <x v="0"/>
  </r>
  <r>
    <x v="42"/>
    <d v="2024-06-15T00:00:00"/>
    <x v="3"/>
    <s v="APP-297"/>
    <x v="1"/>
    <s v="India"/>
    <x v="1"/>
    <s v="Vendor C"/>
    <n v="2240"/>
    <n v="0.22"/>
    <n v="1747.2"/>
    <n v="1246.8"/>
    <n v="3"/>
    <n v="62"/>
    <n v="0.37"/>
    <n v="5241.6000000000004"/>
    <n v="1308.8"/>
    <n v="3926.3999999999996"/>
    <n v="1315.2000000000007"/>
    <x v="42"/>
    <n v="-0.119084249084249"/>
    <x v="0"/>
    <x v="1"/>
  </r>
  <r>
    <x v="43"/>
    <d v="2024-01-18T00:00:00"/>
    <x v="1"/>
    <s v="HOM-519"/>
    <x v="2"/>
    <s v="UK"/>
    <x v="0"/>
    <s v="Vendor B"/>
    <n v="5617"/>
    <n v="0.1"/>
    <n v="5055.3"/>
    <n v="4008.23"/>
    <n v="2"/>
    <n v="42"/>
    <n v="0.43"/>
    <n v="10110.6"/>
    <n v="4050.23"/>
    <n v="8100.46"/>
    <n v="2010.1400000000003"/>
    <x v="43"/>
    <n v="-0.231184895060629"/>
    <x v="0"/>
    <x v="0"/>
  </r>
  <r>
    <x v="44"/>
    <d v="2024-05-11T00:00:00"/>
    <x v="0"/>
    <s v="ELE-734"/>
    <x v="0"/>
    <s v="Canada"/>
    <x v="1"/>
    <s v="Vendor A"/>
    <n v="7628"/>
    <n v="0.27"/>
    <n v="5568.44"/>
    <n v="3509.34"/>
    <n v="2"/>
    <n v="95"/>
    <n v="0.41"/>
    <n v="11136.88"/>
    <n v="3604.34"/>
    <n v="7208.68"/>
    <n v="3928.1999999999989"/>
    <x v="44"/>
    <n v="-5.7280028158693999E-2"/>
    <x v="0"/>
    <x v="1"/>
  </r>
  <r>
    <x v="45"/>
    <d v="2024-03-29T00:00:00"/>
    <x v="3"/>
    <s v="APP-360"/>
    <x v="2"/>
    <s v="Germany"/>
    <x v="0"/>
    <s v="Vendor C"/>
    <n v="4960"/>
    <n v="0.3"/>
    <n v="3472"/>
    <n v="2421.6999999999998"/>
    <n v="3"/>
    <n v="193"/>
    <n v="0.42"/>
    <n v="10416"/>
    <n v="2614.6999999999998"/>
    <n v="7844.0999999999995"/>
    <n v="2571.9000000000005"/>
    <x v="45"/>
    <n v="-0.17308179723502301"/>
    <x v="0"/>
    <x v="1"/>
  </r>
  <r>
    <x v="46"/>
    <d v="2024-02-29T00:00:00"/>
    <x v="2"/>
    <s v="B2B-168"/>
    <x v="0"/>
    <s v="USA"/>
    <x v="0"/>
    <s v="Vendor B"/>
    <n v="7628"/>
    <n v="0.24"/>
    <n v="5797.28"/>
    <n v="5020.63"/>
    <n v="2"/>
    <n v="45"/>
    <n v="0.32"/>
    <n v="11594.56"/>
    <n v="5065.63"/>
    <n v="10131.26"/>
    <n v="1463.2999999999993"/>
    <x v="46"/>
    <n v="-0.19379426213672599"/>
    <x v="0"/>
    <x v="1"/>
  </r>
  <r>
    <x v="47"/>
    <d v="2024-01-14T00:00:00"/>
    <x v="3"/>
    <s v="APP-309"/>
    <x v="1"/>
    <s v="Singapore"/>
    <x v="1"/>
    <s v="Vendor B"/>
    <n v="4857"/>
    <n v="0.18"/>
    <n v="3982.74"/>
    <n v="2605.19"/>
    <n v="2"/>
    <n v="116"/>
    <n v="0.38"/>
    <n v="7965.48"/>
    <n v="2721.19"/>
    <n v="5442.38"/>
    <n v="2523.0999999999995"/>
    <x v="47"/>
    <n v="-6.3245705218015993E-2"/>
    <x v="0"/>
    <x v="0"/>
  </r>
  <r>
    <x v="48"/>
    <d v="2024-01-09T00:00:00"/>
    <x v="1"/>
    <s v="HOM-205"/>
    <x v="0"/>
    <s v="USA"/>
    <x v="0"/>
    <s v="Vendor C"/>
    <n v="3581"/>
    <n v="0.08"/>
    <n v="3294.52"/>
    <n v="2598.46"/>
    <n v="1"/>
    <n v="142"/>
    <n v="0.4"/>
    <n v="3294.52"/>
    <n v="2740.46"/>
    <n v="2740.46"/>
    <n v="554.05999999999995"/>
    <x v="48"/>
    <n v="-0.231823755812683"/>
    <x v="0"/>
    <x v="2"/>
  </r>
  <r>
    <x v="49"/>
    <d v="2024-03-30T00:00:00"/>
    <x v="1"/>
    <s v="HOM-712"/>
    <x v="0"/>
    <s v="Canada"/>
    <x v="0"/>
    <s v="Vendor B"/>
    <n v="4196"/>
    <n v="0.27"/>
    <n v="3063.08"/>
    <n v="3064.38"/>
    <n v="3"/>
    <n v="20"/>
    <n v="0.3"/>
    <n v="9189.24"/>
    <n v="3084.38"/>
    <n v="9253.14"/>
    <n v="-63.899999999999636"/>
    <x v="49"/>
    <n v="-0.30695378507907101"/>
    <x v="0"/>
    <x v="1"/>
  </r>
  <r>
    <x v="50"/>
    <d v="2024-02-22T00:00:00"/>
    <x v="3"/>
    <s v="APP-408"/>
    <x v="0"/>
    <s v="Canada"/>
    <x v="1"/>
    <s v="Vendor C"/>
    <n v="2922"/>
    <n v="0.15"/>
    <n v="2483.6999999999998"/>
    <n v="1587.91"/>
    <n v="3"/>
    <n v="124"/>
    <n v="0.35"/>
    <n v="7451.0999999999995"/>
    <n v="1711.91"/>
    <n v="5135.7300000000005"/>
    <n v="2315.369999999999"/>
    <x v="50"/>
    <n v="-3.9257961911664002E-2"/>
    <x v="0"/>
    <x v="0"/>
  </r>
  <r>
    <x v="51"/>
    <d v="2024-05-09T00:00:00"/>
    <x v="2"/>
    <s v="B2B-309"/>
    <x v="0"/>
    <s v="Canada"/>
    <x v="0"/>
    <s v="Vendor B"/>
    <n v="5082"/>
    <n v="0.08"/>
    <n v="4675.4399999999996"/>
    <n v="2918.85"/>
    <n v="3"/>
    <n v="99"/>
    <n v="0.44"/>
    <n v="14026.32"/>
    <n v="3017.85"/>
    <n v="9053.5499999999993"/>
    <n v="4972.7700000000004"/>
    <x v="51"/>
    <n v="-8.5468661773010005E-2"/>
    <x v="0"/>
    <x v="2"/>
  </r>
  <r>
    <x v="52"/>
    <d v="2024-03-24T00:00:00"/>
    <x v="1"/>
    <s v="HOM-809"/>
    <x v="1"/>
    <s v="Singapore"/>
    <x v="1"/>
    <s v="Vendor C"/>
    <n v="1004"/>
    <n v="0.19"/>
    <n v="813.24"/>
    <n v="494.23"/>
    <n v="1"/>
    <n v="161"/>
    <n v="0.36"/>
    <n v="813.24"/>
    <n v="655.23"/>
    <n v="655.23"/>
    <n v="158.01"/>
    <x v="52"/>
    <n v="-0.16570311347203801"/>
    <x v="0"/>
    <x v="0"/>
  </r>
  <r>
    <x v="53"/>
    <d v="2024-04-01T00:00:00"/>
    <x v="0"/>
    <s v="ELE-460"/>
    <x v="0"/>
    <s v="Canada"/>
    <x v="1"/>
    <s v="Vendor C"/>
    <n v="5148"/>
    <n v="0.24"/>
    <n v="3912.48"/>
    <n v="2336.8200000000002"/>
    <n v="3"/>
    <n v="58"/>
    <n v="0.45"/>
    <n v="11737.44"/>
    <n v="2394.8200000000002"/>
    <n v="7184.4600000000009"/>
    <n v="4552.9799999999996"/>
    <x v="53"/>
    <n v="-6.2097697624013001E-2"/>
    <x v="0"/>
    <x v="1"/>
  </r>
  <r>
    <x v="54"/>
    <d v="2024-04-20T00:00:00"/>
    <x v="3"/>
    <s v="APP-990"/>
    <x v="0"/>
    <s v="Canada"/>
    <x v="0"/>
    <s v="Vendor C"/>
    <n v="1774"/>
    <n v="0.11"/>
    <n v="1578.86"/>
    <n v="957.74"/>
    <n v="2"/>
    <n v="150"/>
    <n v="0.41"/>
    <n v="3157.72"/>
    <n v="1107.74"/>
    <n v="2215.48"/>
    <n v="942.23999999999978"/>
    <x v="54"/>
    <n v="-0.111607488947722"/>
    <x v="0"/>
    <x v="0"/>
  </r>
  <r>
    <x v="55"/>
    <d v="2024-06-20T00:00:00"/>
    <x v="2"/>
    <s v="B2B-470"/>
    <x v="1"/>
    <s v="Singapore"/>
    <x v="1"/>
    <s v="Vendor A"/>
    <n v="4574"/>
    <n v="0.16"/>
    <n v="3842.16"/>
    <n v="3206.23"/>
    <n v="2"/>
    <n v="28"/>
    <n v="0.33"/>
    <n v="7684.32"/>
    <n v="3234.23"/>
    <n v="6468.46"/>
    <n v="1215.8599999999997"/>
    <x v="55"/>
    <n v="-0.17177389801570001"/>
    <x v="0"/>
    <x v="0"/>
  </r>
  <r>
    <x v="56"/>
    <d v="2024-01-08T00:00:00"/>
    <x v="3"/>
    <s v="APP-154"/>
    <x v="1"/>
    <s v="Singapore"/>
    <x v="1"/>
    <s v="Vendor A"/>
    <n v="2211"/>
    <n v="0.2"/>
    <n v="1768.8"/>
    <n v="1502.61"/>
    <n v="1"/>
    <n v="141"/>
    <n v="0.34"/>
    <n v="1768.8"/>
    <n v="1643.61"/>
    <n v="1643.61"/>
    <n v="125.19000000000005"/>
    <x v="56"/>
    <n v="-0.26922320217096302"/>
    <x v="0"/>
    <x v="1"/>
  </r>
  <r>
    <x v="57"/>
    <d v="2024-06-23T00:00:00"/>
    <x v="2"/>
    <s v="B2B-107"/>
    <x v="1"/>
    <s v="India"/>
    <x v="1"/>
    <s v="Vendor C"/>
    <n v="1951"/>
    <n v="0.21"/>
    <n v="1541.29"/>
    <n v="1346.63"/>
    <n v="2"/>
    <n v="64"/>
    <n v="0.43"/>
    <n v="3082.58"/>
    <n v="1410.63"/>
    <n v="2821.26"/>
    <n v="261.31999999999971"/>
    <x v="57"/>
    <n v="-0.345226855426299"/>
    <x v="0"/>
    <x v="1"/>
  </r>
  <r>
    <x v="58"/>
    <d v="2024-02-04T00:00:00"/>
    <x v="1"/>
    <s v="HOM-363"/>
    <x v="0"/>
    <s v="USA"/>
    <x v="1"/>
    <s v="Vendor C"/>
    <n v="2540"/>
    <n v="0.2"/>
    <n v="2032"/>
    <n v="1596.43"/>
    <n v="3"/>
    <n v="76"/>
    <n v="0.39"/>
    <n v="6096"/>
    <n v="1672.43"/>
    <n v="5017.29"/>
    <n v="1078.71"/>
    <x v="58"/>
    <n v="-0.21304625984252001"/>
    <x v="0"/>
    <x v="1"/>
  </r>
  <r>
    <x v="59"/>
    <d v="2024-03-21T00:00:00"/>
    <x v="2"/>
    <s v="B2B-834"/>
    <x v="2"/>
    <s v="UK"/>
    <x v="0"/>
    <s v="Vendor D"/>
    <n v="3241"/>
    <n v="0.28999999999999998"/>
    <n v="2301.11"/>
    <n v="2394.4299999999998"/>
    <n v="2"/>
    <n v="174"/>
    <n v="0.31"/>
    <n v="4602.22"/>
    <n v="2568.4299999999998"/>
    <n v="5136.8599999999997"/>
    <n v="-534.63999999999942"/>
    <x v="59"/>
    <n v="-0.42617002229358902"/>
    <x v="0"/>
    <x v="1"/>
  </r>
  <r>
    <x v="60"/>
    <d v="2024-06-12T00:00:00"/>
    <x v="3"/>
    <s v="APP-799"/>
    <x v="1"/>
    <s v="Singapore"/>
    <x v="1"/>
    <s v="Vendor C"/>
    <n v="7890"/>
    <n v="0.11"/>
    <n v="7022.1"/>
    <n v="3613.3"/>
    <n v="3"/>
    <n v="134"/>
    <n v="0.38"/>
    <n v="21066.300000000003"/>
    <n v="3747.3"/>
    <n v="11241.900000000001"/>
    <n v="9824.4000000000015"/>
    <x v="60"/>
    <n v="8.6356218225317E-2"/>
    <x v="2"/>
    <x v="0"/>
  </r>
  <r>
    <x v="61"/>
    <d v="2024-02-19T00:00:00"/>
    <x v="0"/>
    <s v="ELE-355"/>
    <x v="2"/>
    <s v="France"/>
    <x v="0"/>
    <s v="Vendor D"/>
    <n v="3644"/>
    <n v="0.13"/>
    <n v="3170.28"/>
    <n v="2054.88"/>
    <n v="1"/>
    <n v="128"/>
    <n v="0.34"/>
    <n v="3170.28"/>
    <n v="2182.88"/>
    <n v="2182.88"/>
    <n v="987.40000000000009"/>
    <x v="61"/>
    <n v="-2.854486039088E-2"/>
    <x v="0"/>
    <x v="0"/>
  </r>
  <r>
    <x v="62"/>
    <d v="2024-04-13T00:00:00"/>
    <x v="3"/>
    <s v="APP-158"/>
    <x v="2"/>
    <s v="Germany"/>
    <x v="0"/>
    <s v="Vendor C"/>
    <n v="5669"/>
    <n v="0.34"/>
    <n v="3741.54"/>
    <n v="3877.19"/>
    <n v="2"/>
    <n v="90"/>
    <n v="0.38"/>
    <n v="7483.08"/>
    <n v="3967.19"/>
    <n v="7934.38"/>
    <n v="-451.30000000000018"/>
    <x v="62"/>
    <n v="-0.44030939132015201"/>
    <x v="0"/>
    <x v="1"/>
  </r>
  <r>
    <x v="63"/>
    <d v="2024-05-11T00:00:00"/>
    <x v="2"/>
    <s v="B2B-377"/>
    <x v="2"/>
    <s v="UK"/>
    <x v="1"/>
    <s v="Vendor B"/>
    <n v="3236"/>
    <n v="0.2"/>
    <n v="2588.8000000000002"/>
    <n v="2176.23"/>
    <n v="3"/>
    <n v="34"/>
    <n v="0.32"/>
    <n v="7766.4000000000005"/>
    <n v="2210.23"/>
    <n v="6630.6900000000005"/>
    <n v="1135.71"/>
    <x v="63"/>
    <n v="-0.17376622373300399"/>
    <x v="0"/>
    <x v="1"/>
  </r>
  <r>
    <x v="64"/>
    <d v="2024-01-02T00:00:00"/>
    <x v="2"/>
    <s v="B2B-141"/>
    <x v="1"/>
    <s v="Singapore"/>
    <x v="1"/>
    <s v="Vendor A"/>
    <n v="3230"/>
    <n v="0.26"/>
    <n v="2390.1999999999998"/>
    <n v="2115.5100000000002"/>
    <n v="2"/>
    <n v="79"/>
    <n v="0.37"/>
    <n v="4780.3999999999996"/>
    <n v="2194.5100000000002"/>
    <n v="4389.0200000000004"/>
    <n v="391.3799999999992"/>
    <x v="64"/>
    <n v="-0.28812819010961399"/>
    <x v="0"/>
    <x v="1"/>
  </r>
  <r>
    <x v="65"/>
    <d v="2024-05-13T00:00:00"/>
    <x v="3"/>
    <s v="APP-924"/>
    <x v="0"/>
    <s v="Canada"/>
    <x v="1"/>
    <s v="Vendor A"/>
    <n v="7191"/>
    <n v="0.3"/>
    <n v="5033.7"/>
    <n v="3681.26"/>
    <n v="2"/>
    <n v="115"/>
    <n v="0.3"/>
    <n v="10067.4"/>
    <n v="3796.26"/>
    <n v="7592.52"/>
    <n v="2474.8799999999992"/>
    <x v="65"/>
    <n v="-5.4168901603194999E-2"/>
    <x v="0"/>
    <x v="1"/>
  </r>
  <r>
    <x v="66"/>
    <d v="2024-02-23T00:00:00"/>
    <x v="1"/>
    <s v="HOM-575"/>
    <x v="1"/>
    <s v="Singapore"/>
    <x v="1"/>
    <s v="Vendor D"/>
    <n v="5918"/>
    <n v="0.25"/>
    <n v="4438.5"/>
    <n v="2974.45"/>
    <n v="1"/>
    <n v="182"/>
    <n v="0.35"/>
    <n v="4438.5"/>
    <n v="3156.45"/>
    <n v="3156.45"/>
    <n v="1282.0500000000002"/>
    <x v="66"/>
    <n v="-6.1152416356877001E-2"/>
    <x v="0"/>
    <x v="1"/>
  </r>
  <r>
    <x v="67"/>
    <d v="2024-04-15T00:00:00"/>
    <x v="3"/>
    <s v="APP-248"/>
    <x v="2"/>
    <s v="France"/>
    <x v="1"/>
    <s v="Vendor D"/>
    <n v="5991"/>
    <n v="0.27"/>
    <n v="4373.43"/>
    <n v="2844.76"/>
    <n v="3"/>
    <n v="45"/>
    <n v="0.32"/>
    <n v="13120.29"/>
    <n v="2889.76"/>
    <n v="8669.2800000000007"/>
    <n v="4451.01"/>
    <x v="67"/>
    <n v="1.9246312390961001E-2"/>
    <x v="2"/>
    <x v="1"/>
  </r>
  <r>
    <x v="68"/>
    <d v="2024-01-04T00:00:00"/>
    <x v="1"/>
    <s v="HOM-857"/>
    <x v="1"/>
    <s v="Singapore"/>
    <x v="1"/>
    <s v="Vendor A"/>
    <n v="236"/>
    <n v="0.14000000000000001"/>
    <n v="202.96"/>
    <n v="146.30000000000001"/>
    <n v="3"/>
    <n v="107"/>
    <n v="0.39"/>
    <n v="608.88"/>
    <n v="253.3"/>
    <n v="759.90000000000009"/>
    <n v="-151.0200000000001"/>
    <x v="68"/>
    <n v="-0.63802916830902701"/>
    <x v="1"/>
    <x v="0"/>
  </r>
  <r>
    <x v="69"/>
    <d v="2024-02-23T00:00:00"/>
    <x v="2"/>
    <s v="B2B-581"/>
    <x v="2"/>
    <s v="Germany"/>
    <x v="1"/>
    <s v="Vendor D"/>
    <n v="800"/>
    <n v="0.13"/>
    <n v="696"/>
    <n v="502.82"/>
    <n v="2"/>
    <n v="90"/>
    <n v="0.44"/>
    <n v="1392"/>
    <n v="592.81999999999994"/>
    <n v="1185.6399999999999"/>
    <n v="206.36000000000013"/>
    <x v="69"/>
    <n v="-0.291752873563218"/>
    <x v="0"/>
    <x v="0"/>
  </r>
  <r>
    <x v="70"/>
    <d v="2024-05-25T00:00:00"/>
    <x v="3"/>
    <s v="APP-902"/>
    <x v="0"/>
    <s v="Canada"/>
    <x v="1"/>
    <s v="Vendor A"/>
    <n v="2393"/>
    <n v="0.27"/>
    <n v="1746.89"/>
    <n v="1432.56"/>
    <n v="2"/>
    <n v="180"/>
    <n v="0.36"/>
    <n v="3493.78"/>
    <n v="1612.56"/>
    <n v="3225.12"/>
    <n v="268.66000000000031"/>
    <x v="70"/>
    <n v="-0.28310334365644102"/>
    <x v="0"/>
    <x v="1"/>
  </r>
  <r>
    <x v="71"/>
    <d v="2024-02-13T00:00:00"/>
    <x v="0"/>
    <s v="ELE-116"/>
    <x v="1"/>
    <s v="Singapore"/>
    <x v="1"/>
    <s v="Vendor C"/>
    <n v="3599"/>
    <n v="0.05"/>
    <n v="3419.05"/>
    <n v="1730.86"/>
    <n v="3"/>
    <n v="110"/>
    <n v="0.44"/>
    <n v="10257.150000000001"/>
    <n v="1840.86"/>
    <n v="5522.58"/>
    <n v="4734.5700000000015"/>
    <x v="71"/>
    <n v="2.1587283017212001E-2"/>
    <x v="2"/>
    <x v="2"/>
  </r>
  <r>
    <x v="72"/>
    <d v="2024-06-10T00:00:00"/>
    <x v="1"/>
    <s v="HOM-473"/>
    <x v="2"/>
    <s v="Germany"/>
    <x v="1"/>
    <s v="Vendor D"/>
    <n v="1391"/>
    <n v="0.34"/>
    <n v="918.06"/>
    <n v="942.43"/>
    <n v="1"/>
    <n v="158"/>
    <n v="0.39"/>
    <n v="918.06"/>
    <n v="1100.4299999999998"/>
    <n v="1100.4299999999998"/>
    <n v="-182.36999999999989"/>
    <x v="72"/>
    <n v="-0.588647147245278"/>
    <x v="1"/>
    <x v="1"/>
  </r>
  <r>
    <x v="73"/>
    <d v="2024-01-14T00:00:00"/>
    <x v="3"/>
    <s v="APP-500"/>
    <x v="2"/>
    <s v="Germany"/>
    <x v="1"/>
    <s v="Vendor C"/>
    <n v="3692"/>
    <n v="0.35"/>
    <n v="2399.8000000000002"/>
    <n v="2707.04"/>
    <n v="2"/>
    <n v="56"/>
    <n v="0.38"/>
    <n v="4799.6000000000004"/>
    <n v="2763.04"/>
    <n v="5526.08"/>
    <n v="-726.47999999999956"/>
    <x v="73"/>
    <n v="-0.53136261355112901"/>
    <x v="1"/>
    <x v="1"/>
  </r>
  <r>
    <x v="74"/>
    <d v="2024-04-04T00:00:00"/>
    <x v="0"/>
    <s v="ELE-576"/>
    <x v="1"/>
    <s v="Singapore"/>
    <x v="1"/>
    <s v="Vendor C"/>
    <n v="3903"/>
    <n v="0.09"/>
    <n v="3551.73"/>
    <n v="2612.31"/>
    <n v="2"/>
    <n v="124"/>
    <n v="0.35"/>
    <n v="7103.46"/>
    <n v="2736.31"/>
    <n v="5472.62"/>
    <n v="1630.8400000000001"/>
    <x v="74"/>
    <n v="-0.120416107080212"/>
    <x v="0"/>
    <x v="2"/>
  </r>
  <r>
    <x v="75"/>
    <d v="2024-02-17T00:00:00"/>
    <x v="3"/>
    <s v="APP-719"/>
    <x v="2"/>
    <s v="UK"/>
    <x v="1"/>
    <s v="Vendor C"/>
    <n v="4547"/>
    <n v="0.21"/>
    <n v="3592.13"/>
    <n v="2925.38"/>
    <n v="3"/>
    <n v="23"/>
    <n v="0.34"/>
    <n v="10776.39"/>
    <n v="2948.38"/>
    <n v="8845.14"/>
    <n v="1931.25"/>
    <x v="75"/>
    <n v="-0.160788779916094"/>
    <x v="0"/>
    <x v="1"/>
  </r>
  <r>
    <x v="76"/>
    <d v="2024-01-15T00:00:00"/>
    <x v="1"/>
    <s v="HOM-496"/>
    <x v="0"/>
    <s v="Canada"/>
    <x v="0"/>
    <s v="Vendor D"/>
    <n v="7179"/>
    <n v="0.27"/>
    <n v="5240.67"/>
    <n v="3371.31"/>
    <n v="1"/>
    <n v="24"/>
    <n v="0.37"/>
    <n v="5240.67"/>
    <n v="3395.31"/>
    <n v="3395.31"/>
    <n v="1845.3600000000001"/>
    <x v="76"/>
    <n v="-1.7877084418595E-2"/>
    <x v="0"/>
    <x v="1"/>
  </r>
  <r>
    <x v="77"/>
    <d v="2024-02-09T00:00:00"/>
    <x v="2"/>
    <s v="B2B-880"/>
    <x v="2"/>
    <s v="Germany"/>
    <x v="1"/>
    <s v="Vendor D"/>
    <n v="7087"/>
    <n v="0.18"/>
    <n v="5811.34"/>
    <n v="4171.29"/>
    <n v="2"/>
    <n v="43"/>
    <n v="0.28000000000000003"/>
    <n v="11622.68"/>
    <n v="4214.29"/>
    <n v="8428.58"/>
    <n v="3194.1000000000004"/>
    <x v="77"/>
    <n v="-5.18386465083803E-3"/>
    <x v="0"/>
    <x v="0"/>
  </r>
  <r>
    <x v="78"/>
    <d v="2024-03-22T00:00:00"/>
    <x v="2"/>
    <s v="B2B-371"/>
    <x v="0"/>
    <s v="Canada"/>
    <x v="0"/>
    <s v="Vendor C"/>
    <n v="7256"/>
    <n v="0.05"/>
    <n v="6893.2"/>
    <n v="3379.88"/>
    <n v="1"/>
    <n v="71"/>
    <n v="0.36"/>
    <n v="6893.2"/>
    <n v="3450.88"/>
    <n v="3450.88"/>
    <n v="3442.3199999999997"/>
    <x v="78"/>
    <n v="0.13937909824174599"/>
    <x v="2"/>
    <x v="2"/>
  </r>
  <r>
    <x v="79"/>
    <d v="2024-04-20T00:00:00"/>
    <x v="3"/>
    <s v="APP-475"/>
    <x v="1"/>
    <s v="India"/>
    <x v="1"/>
    <s v="Vendor C"/>
    <n v="3480"/>
    <n v="0.21"/>
    <n v="2749.2"/>
    <n v="2330.4899999999998"/>
    <n v="3"/>
    <n v="186"/>
    <n v="0.36"/>
    <n v="8247.5999999999985"/>
    <n v="2516.4899999999998"/>
    <n v="7549.4699999999993"/>
    <n v="698.1299999999992"/>
    <x v="79"/>
    <n v="-0.27535355739851602"/>
    <x v="0"/>
    <x v="1"/>
  </r>
  <r>
    <x v="80"/>
    <d v="2024-02-22T00:00:00"/>
    <x v="2"/>
    <s v="B2B-443"/>
    <x v="2"/>
    <s v="France"/>
    <x v="0"/>
    <s v="Vendor A"/>
    <n v="7882"/>
    <n v="0.13"/>
    <n v="6857.34"/>
    <n v="5699.49"/>
    <n v="3"/>
    <n v="82"/>
    <n v="0.35"/>
    <n v="20572.02"/>
    <n v="5781.49"/>
    <n v="17344.47"/>
    <n v="3227.5499999999993"/>
    <x v="80"/>
    <n v="-0.19310971892891399"/>
    <x v="0"/>
    <x v="0"/>
  </r>
  <r>
    <x v="81"/>
    <d v="2024-01-24T00:00:00"/>
    <x v="0"/>
    <s v="ELE-325"/>
    <x v="1"/>
    <s v="Singapore"/>
    <x v="0"/>
    <s v="Vendor C"/>
    <n v="7597"/>
    <n v="0.18"/>
    <n v="6229.54"/>
    <n v="5422.25"/>
    <n v="3"/>
    <n v="55"/>
    <n v="0.43"/>
    <n v="18688.62"/>
    <n v="5477.25"/>
    <n v="16431.75"/>
    <n v="2256.869999999999"/>
    <x v="81"/>
    <n v="-0.30923827441512503"/>
    <x v="0"/>
    <x v="0"/>
  </r>
  <r>
    <x v="82"/>
    <d v="2024-06-02T00:00:00"/>
    <x v="2"/>
    <s v="B2B-924"/>
    <x v="0"/>
    <s v="USA"/>
    <x v="1"/>
    <s v="Vendor D"/>
    <n v="7877"/>
    <n v="0.3"/>
    <n v="5513.9"/>
    <n v="4089.51"/>
    <n v="2"/>
    <n v="119"/>
    <n v="0.28999999999999998"/>
    <n v="11027.8"/>
    <n v="4208.51"/>
    <n v="8417.02"/>
    <n v="2610.7799999999988"/>
    <x v="82"/>
    <n v="-5.3254683617766002E-2"/>
    <x v="0"/>
    <x v="1"/>
  </r>
  <r>
    <x v="83"/>
    <d v="2024-05-03T00:00:00"/>
    <x v="0"/>
    <s v="ELE-989"/>
    <x v="2"/>
    <s v="Germany"/>
    <x v="0"/>
    <s v="Vendor D"/>
    <n v="3895"/>
    <n v="0.28999999999999998"/>
    <n v="2765.45"/>
    <n v="2488.65"/>
    <n v="1"/>
    <n v="186"/>
    <n v="0.44"/>
    <n v="2765.45"/>
    <n v="2674.65"/>
    <n v="2674.65"/>
    <n v="90.799999999999727"/>
    <x v="83"/>
    <n v="-0.407166283968251"/>
    <x v="0"/>
    <x v="1"/>
  </r>
  <r>
    <x v="84"/>
    <d v="2024-02-10T00:00:00"/>
    <x v="1"/>
    <s v="HOM-219"/>
    <x v="0"/>
    <s v="USA"/>
    <x v="1"/>
    <s v="Vendor B"/>
    <n v="899"/>
    <n v="0.26"/>
    <n v="665.26"/>
    <n v="446.06"/>
    <n v="3"/>
    <n v="169"/>
    <n v="0.32"/>
    <n v="1995.78"/>
    <n v="615.05999999999995"/>
    <n v="1845.1799999999998"/>
    <n v="150.60000000000014"/>
    <x v="84"/>
    <n v="-0.244540781048011"/>
    <x v="0"/>
    <x v="1"/>
  </r>
  <r>
    <x v="85"/>
    <d v="2024-06-05T00:00:00"/>
    <x v="0"/>
    <s v="ELE-748"/>
    <x v="0"/>
    <s v="USA"/>
    <x v="1"/>
    <s v="Vendor B"/>
    <n v="1430"/>
    <n v="0.08"/>
    <n v="1315.6"/>
    <n v="1019.93"/>
    <n v="3"/>
    <n v="76"/>
    <n v="0.3"/>
    <n v="3946.7999999999997"/>
    <n v="1095.9299999999998"/>
    <n v="3287.7899999999995"/>
    <n v="659.01000000000022"/>
    <x v="85"/>
    <n v="-0.13302675585284299"/>
    <x v="0"/>
    <x v="2"/>
  </r>
  <r>
    <x v="86"/>
    <d v="2024-01-15T00:00:00"/>
    <x v="3"/>
    <s v="APP-137"/>
    <x v="1"/>
    <s v="India"/>
    <x v="0"/>
    <s v="Vendor A"/>
    <n v="5632"/>
    <n v="0.25"/>
    <n v="4224"/>
    <n v="3465.13"/>
    <n v="2"/>
    <n v="196"/>
    <n v="0.35"/>
    <n v="8448"/>
    <n v="3661.13"/>
    <n v="7322.26"/>
    <n v="1125.7399999999998"/>
    <x v="86"/>
    <n v="-0.21674479166666699"/>
    <x v="0"/>
    <x v="1"/>
  </r>
  <r>
    <x v="87"/>
    <d v="2024-02-14T00:00:00"/>
    <x v="2"/>
    <s v="B2B-323"/>
    <x v="1"/>
    <s v="India"/>
    <x v="1"/>
    <s v="Vendor B"/>
    <n v="86"/>
    <n v="0.12"/>
    <n v="75.680000000000007"/>
    <n v="56.33"/>
    <n v="2"/>
    <n v="90"/>
    <n v="0.36"/>
    <n v="151.36000000000001"/>
    <n v="146.32999999999998"/>
    <n v="292.65999999999997"/>
    <n v="-141.29999999999995"/>
    <x v="87"/>
    <n v="-1.29353594080338"/>
    <x v="1"/>
    <x v="0"/>
  </r>
  <r>
    <x v="88"/>
    <d v="2024-03-05T00:00:00"/>
    <x v="1"/>
    <s v="HOM-435"/>
    <x v="2"/>
    <s v="Germany"/>
    <x v="0"/>
    <s v="Vendor D"/>
    <n v="3161"/>
    <n v="0.25"/>
    <n v="2370.75"/>
    <n v="1958.93"/>
    <n v="2"/>
    <n v="42"/>
    <n v="0.37"/>
    <n v="4741.5"/>
    <n v="2000.93"/>
    <n v="4001.86"/>
    <n v="739.63999999999987"/>
    <x v="88"/>
    <n v="-0.214007170726563"/>
    <x v="0"/>
    <x v="1"/>
  </r>
  <r>
    <x v="89"/>
    <d v="2024-03-29T00:00:00"/>
    <x v="1"/>
    <s v="HOM-799"/>
    <x v="0"/>
    <s v="USA"/>
    <x v="1"/>
    <s v="Vendor A"/>
    <n v="412"/>
    <n v="0.12"/>
    <n v="362.56"/>
    <n v="300.36"/>
    <n v="3"/>
    <n v="109"/>
    <n v="0.4"/>
    <n v="1087.68"/>
    <n v="409.36"/>
    <n v="1228.08"/>
    <n v="-140.39999999999986"/>
    <x v="89"/>
    <n v="-0.52908208296557802"/>
    <x v="1"/>
    <x v="0"/>
  </r>
  <r>
    <x v="90"/>
    <d v="2024-03-11T00:00:00"/>
    <x v="1"/>
    <s v="HOM-181"/>
    <x v="1"/>
    <s v="India"/>
    <x v="0"/>
    <s v="Vendor A"/>
    <n v="5200"/>
    <n v="0.3"/>
    <n v="3640"/>
    <n v="2541.04"/>
    <n v="1"/>
    <n v="116"/>
    <n v="0.41"/>
    <n v="3640"/>
    <n v="2657.04"/>
    <n v="2657.04"/>
    <n v="982.96"/>
    <x v="90"/>
    <n v="-0.139956043956044"/>
    <x v="0"/>
    <x v="1"/>
  </r>
  <r>
    <x v="91"/>
    <d v="2024-01-09T00:00:00"/>
    <x v="0"/>
    <s v="ELE-322"/>
    <x v="2"/>
    <s v="France"/>
    <x v="1"/>
    <s v="Vendor C"/>
    <n v="2035"/>
    <n v="0.14000000000000001"/>
    <n v="1750.1"/>
    <n v="1292.3800000000001"/>
    <n v="1"/>
    <n v="122"/>
    <n v="0.39"/>
    <n v="1750.1"/>
    <n v="1414.38"/>
    <n v="1414.38"/>
    <n v="335.7199999999998"/>
    <x v="91"/>
    <n v="-0.19817096165933401"/>
    <x v="0"/>
    <x v="0"/>
  </r>
  <r>
    <x v="92"/>
    <d v="2024-03-28T00:00:00"/>
    <x v="1"/>
    <s v="HOM-377"/>
    <x v="2"/>
    <s v="Germany"/>
    <x v="1"/>
    <s v="Vendor C"/>
    <n v="6607"/>
    <n v="0.06"/>
    <n v="6210.58"/>
    <n v="3829.89"/>
    <n v="3"/>
    <n v="72"/>
    <n v="0.44"/>
    <n v="18631.739999999998"/>
    <n v="3901.89"/>
    <n v="11705.67"/>
    <n v="6926.0699999999979"/>
    <x v="92"/>
    <n v="-6.826499296362E-2"/>
    <x v="0"/>
    <x v="2"/>
  </r>
  <r>
    <x v="93"/>
    <d v="2024-05-08T00:00:00"/>
    <x v="2"/>
    <s v="B2B-369"/>
    <x v="2"/>
    <s v="UK"/>
    <x v="0"/>
    <s v="Vendor B"/>
    <n v="6594"/>
    <n v="0.22"/>
    <n v="5143.32"/>
    <n v="3651.53"/>
    <n v="3"/>
    <n v="129"/>
    <n v="0.42"/>
    <n v="15429.96"/>
    <n v="3780.53"/>
    <n v="11341.59"/>
    <n v="4088.369999999999"/>
    <x v="93"/>
    <n v="-0.15503690223435501"/>
    <x v="0"/>
    <x v="1"/>
  </r>
  <r>
    <x v="94"/>
    <d v="2024-05-15T00:00:00"/>
    <x v="2"/>
    <s v="B2B-178"/>
    <x v="1"/>
    <s v="India"/>
    <x v="0"/>
    <s v="Vendor C"/>
    <n v="5093"/>
    <n v="0.28000000000000003"/>
    <n v="3666.96"/>
    <n v="2329.42"/>
    <n v="1"/>
    <n v="148"/>
    <n v="0.34"/>
    <n v="3666.96"/>
    <n v="2477.42"/>
    <n v="2477.42"/>
    <n v="1189.54"/>
    <x v="94"/>
    <n v="-1.5605951523878E-2"/>
    <x v="0"/>
    <x v="1"/>
  </r>
  <r>
    <x v="95"/>
    <d v="2024-03-03T00:00:00"/>
    <x v="3"/>
    <s v="APP-370"/>
    <x v="1"/>
    <s v="India"/>
    <x v="1"/>
    <s v="Vendor B"/>
    <n v="1503"/>
    <n v="0.19"/>
    <n v="1217.43"/>
    <n v="1102.1400000000001"/>
    <n v="1"/>
    <n v="108"/>
    <n v="0.43"/>
    <n v="1217.43"/>
    <n v="1210.1400000000001"/>
    <n v="1210.1400000000001"/>
    <n v="7.2899999999999636"/>
    <x v="95"/>
    <n v="-0.42401197604790403"/>
    <x v="0"/>
    <x v="0"/>
  </r>
  <r>
    <x v="96"/>
    <d v="2024-05-18T00:00:00"/>
    <x v="0"/>
    <s v="ELE-847"/>
    <x v="1"/>
    <s v="India"/>
    <x v="1"/>
    <s v="Vendor D"/>
    <n v="3251"/>
    <n v="0.28000000000000003"/>
    <n v="2340.7199999999998"/>
    <n v="1687.32"/>
    <n v="3"/>
    <n v="36"/>
    <n v="0.44"/>
    <n v="7022.16"/>
    <n v="1723.32"/>
    <n v="5169.96"/>
    <n v="1852.1999999999998"/>
    <x v="96"/>
    <n v="-0.17623500461396499"/>
    <x v="0"/>
    <x v="1"/>
  </r>
  <r>
    <x v="97"/>
    <d v="2024-03-21T00:00:00"/>
    <x v="1"/>
    <s v="HOM-991"/>
    <x v="0"/>
    <s v="USA"/>
    <x v="1"/>
    <s v="Vendor C"/>
    <n v="4229"/>
    <n v="0.17"/>
    <n v="3510.07"/>
    <n v="2250.9499999999998"/>
    <n v="3"/>
    <n v="140"/>
    <n v="0.35"/>
    <n v="10530.210000000001"/>
    <n v="2390.9499999999998"/>
    <n v="7172.8499999999995"/>
    <n v="3357.3600000000015"/>
    <x v="97"/>
    <n v="-3.1168751620338001E-2"/>
    <x v="0"/>
    <x v="0"/>
  </r>
  <r>
    <x v="98"/>
    <d v="2024-05-15T00:00:00"/>
    <x v="3"/>
    <s v="APP-529"/>
    <x v="2"/>
    <s v="UK"/>
    <x v="1"/>
    <s v="Vendor D"/>
    <n v="3106"/>
    <n v="0.25"/>
    <n v="2329.5"/>
    <n v="1741.09"/>
    <n v="3"/>
    <n v="24"/>
    <n v="0.44"/>
    <n v="6988.5"/>
    <n v="1765.09"/>
    <n v="5295.2699999999995"/>
    <n v="1693.2300000000005"/>
    <x v="98"/>
    <n v="-0.19771195535522601"/>
    <x v="0"/>
    <x v="1"/>
  </r>
  <r>
    <x v="99"/>
    <d v="2024-06-11T00:00:00"/>
    <x v="0"/>
    <s v="ELE-792"/>
    <x v="0"/>
    <s v="USA"/>
    <x v="0"/>
    <s v="Vendor C"/>
    <n v="1100"/>
    <n v="0.3"/>
    <n v="770"/>
    <n v="746.14"/>
    <n v="1"/>
    <n v="140"/>
    <n v="0.3"/>
    <n v="770"/>
    <n v="886.14"/>
    <n v="886.14"/>
    <n v="-116.13999999999999"/>
    <x v="99"/>
    <n v="-0.45083116883116903"/>
    <x v="0"/>
    <x v="1"/>
  </r>
  <r>
    <x v="100"/>
    <d v="2024-06-11T00:00:00"/>
    <x v="2"/>
    <s v="B2B-930"/>
    <x v="2"/>
    <s v="UK"/>
    <x v="0"/>
    <s v="Vendor A"/>
    <n v="6927"/>
    <n v="0.09"/>
    <n v="6303.57"/>
    <n v="3377.3"/>
    <n v="1"/>
    <n v="93"/>
    <n v="0.31"/>
    <n v="6303.57"/>
    <n v="3470.3"/>
    <n v="3470.3"/>
    <n v="2833.2699999999995"/>
    <x v="100"/>
    <n v="0.13947069676389701"/>
    <x v="2"/>
    <x v="2"/>
  </r>
  <r>
    <x v="101"/>
    <d v="2024-02-02T00:00:00"/>
    <x v="0"/>
    <s v="ELE-419"/>
    <x v="2"/>
    <s v="France"/>
    <x v="1"/>
    <s v="Vendor D"/>
    <n v="633"/>
    <n v="0.14000000000000001"/>
    <n v="544.38"/>
    <n v="371.3"/>
    <n v="1"/>
    <n v="81"/>
    <n v="0.28999999999999998"/>
    <n v="544.38"/>
    <n v="452.3"/>
    <n v="452.3"/>
    <n v="92.079999999999984"/>
    <x v="101"/>
    <n v="-0.120853447959146"/>
    <x v="0"/>
    <x v="0"/>
  </r>
  <r>
    <x v="102"/>
    <d v="2024-05-02T00:00:00"/>
    <x v="1"/>
    <s v="HOM-313"/>
    <x v="2"/>
    <s v="France"/>
    <x v="0"/>
    <s v="Vendor D"/>
    <n v="6204"/>
    <n v="0.26"/>
    <n v="4590.96"/>
    <n v="4392.66"/>
    <n v="1"/>
    <n v="111"/>
    <n v="0.28999999999999998"/>
    <n v="4590.96"/>
    <n v="4503.66"/>
    <n v="4503.66"/>
    <n v="87.300000000000182"/>
    <x v="102"/>
    <n v="-0.27098436928224201"/>
    <x v="0"/>
    <x v="1"/>
  </r>
  <r>
    <x v="103"/>
    <d v="2024-01-05T00:00:00"/>
    <x v="0"/>
    <s v="ELE-341"/>
    <x v="1"/>
    <s v="Singapore"/>
    <x v="1"/>
    <s v="Vendor A"/>
    <n v="3167"/>
    <n v="0.09"/>
    <n v="2881.97"/>
    <n v="1899.14"/>
    <n v="1"/>
    <n v="95"/>
    <n v="0.38"/>
    <n v="2881.97"/>
    <n v="1994.14"/>
    <n v="1994.14"/>
    <n v="887.8299999999997"/>
    <x v="103"/>
    <n v="-7.1936418491517995E-2"/>
    <x v="0"/>
    <x v="2"/>
  </r>
  <r>
    <x v="104"/>
    <d v="2024-02-10T00:00:00"/>
    <x v="0"/>
    <s v="ELE-970"/>
    <x v="0"/>
    <s v="Canada"/>
    <x v="1"/>
    <s v="Vendor A"/>
    <n v="1999"/>
    <n v="0.06"/>
    <n v="1879.06"/>
    <n v="946.67"/>
    <n v="3"/>
    <n v="159"/>
    <n v="0.3"/>
    <n v="5637.18"/>
    <n v="1105.67"/>
    <n v="3317.01"/>
    <n v="2320.17"/>
    <x v="104"/>
    <n v="0.111583451300118"/>
    <x v="2"/>
    <x v="2"/>
  </r>
  <r>
    <x v="105"/>
    <d v="2024-01-28T00:00:00"/>
    <x v="3"/>
    <s v="APP-108"/>
    <x v="2"/>
    <s v="France"/>
    <x v="0"/>
    <s v="Vendor B"/>
    <n v="155"/>
    <n v="0.1"/>
    <n v="139.5"/>
    <n v="74.61"/>
    <n v="3"/>
    <n v="70"/>
    <n v="0.43"/>
    <n v="418.5"/>
    <n v="144.61000000000001"/>
    <n v="433.83000000000004"/>
    <n v="-15.330000000000041"/>
    <x v="105"/>
    <n v="-0.46663082437275999"/>
    <x v="0"/>
    <x v="0"/>
  </r>
  <r>
    <x v="106"/>
    <d v="2024-05-14T00:00:00"/>
    <x v="1"/>
    <s v="HOM-210"/>
    <x v="2"/>
    <s v="Germany"/>
    <x v="0"/>
    <s v="Vendor A"/>
    <n v="7587"/>
    <n v="0.33"/>
    <n v="5083.29"/>
    <n v="5570.41"/>
    <n v="2"/>
    <n v="101"/>
    <n v="0.41"/>
    <n v="10166.58"/>
    <n v="5671.41"/>
    <n v="11342.82"/>
    <n v="-1176.2399999999998"/>
    <x v="106"/>
    <n v="-0.52569672397207301"/>
    <x v="1"/>
    <x v="1"/>
  </r>
  <r>
    <x v="107"/>
    <d v="2024-03-12T00:00:00"/>
    <x v="1"/>
    <s v="HOM-799"/>
    <x v="1"/>
    <s v="India"/>
    <x v="0"/>
    <s v="Vendor D"/>
    <n v="949"/>
    <n v="0.23"/>
    <n v="730.73"/>
    <n v="650.21"/>
    <n v="3"/>
    <n v="136"/>
    <n v="0.28999999999999998"/>
    <n v="2192.19"/>
    <n v="786.21"/>
    <n v="2358.63"/>
    <n v="-166.44000000000005"/>
    <x v="107"/>
    <n v="-0.365924075924076"/>
    <x v="0"/>
    <x v="1"/>
  </r>
  <r>
    <x v="108"/>
    <d v="2024-01-12T00:00:00"/>
    <x v="1"/>
    <s v="HOM-455"/>
    <x v="2"/>
    <s v="France"/>
    <x v="0"/>
    <s v="Vendor D"/>
    <n v="2184"/>
    <n v="0.25"/>
    <n v="1638"/>
    <n v="1296.82"/>
    <n v="3"/>
    <n v="131"/>
    <n v="0.45"/>
    <n v="4914"/>
    <n v="1427.82"/>
    <n v="4283.46"/>
    <n v="630.54"/>
    <x v="108"/>
    <n v="-0.321684981684982"/>
    <x v="0"/>
    <x v="1"/>
  </r>
  <r>
    <x v="109"/>
    <d v="2024-06-10T00:00:00"/>
    <x v="0"/>
    <s v="ELE-451"/>
    <x v="0"/>
    <s v="Canada"/>
    <x v="0"/>
    <s v="Vendor C"/>
    <n v="2385"/>
    <n v="0.2"/>
    <n v="1908"/>
    <n v="1470.61"/>
    <n v="3"/>
    <n v="155"/>
    <n v="0.32"/>
    <n v="5724"/>
    <n v="1625.61"/>
    <n v="4876.83"/>
    <n v="847.17000000000007"/>
    <x v="109"/>
    <n v="-0.171996855345912"/>
    <x v="0"/>
    <x v="1"/>
  </r>
  <r>
    <x v="110"/>
    <d v="2024-02-02T00:00:00"/>
    <x v="1"/>
    <s v="HOM-961"/>
    <x v="0"/>
    <s v="USA"/>
    <x v="1"/>
    <s v="Vendor C"/>
    <n v="4180"/>
    <n v="0.12"/>
    <n v="3678.4"/>
    <n v="2405.67"/>
    <n v="3"/>
    <n v="106"/>
    <n v="0.36"/>
    <n v="11035.2"/>
    <n v="2511.67"/>
    <n v="7535.01"/>
    <n v="3500.1900000000005"/>
    <x v="110"/>
    <n v="-4.2815898216616001E-2"/>
    <x v="0"/>
    <x v="0"/>
  </r>
  <r>
    <x v="111"/>
    <d v="2024-02-17T00:00:00"/>
    <x v="3"/>
    <s v="APP-707"/>
    <x v="0"/>
    <s v="USA"/>
    <x v="0"/>
    <s v="Vendor D"/>
    <n v="6998"/>
    <n v="0.15"/>
    <n v="5948.3"/>
    <n v="3928.06"/>
    <n v="2"/>
    <n v="29"/>
    <n v="0.43"/>
    <n v="11896.6"/>
    <n v="3957.06"/>
    <n v="7914.12"/>
    <n v="3982.4800000000005"/>
    <x v="111"/>
    <n v="-9.5242170031774001E-2"/>
    <x v="0"/>
    <x v="0"/>
  </r>
  <r>
    <x v="112"/>
    <d v="2024-05-30T00:00:00"/>
    <x v="3"/>
    <s v="APP-470"/>
    <x v="0"/>
    <s v="Canada"/>
    <x v="0"/>
    <s v="Vendor D"/>
    <n v="3861"/>
    <n v="0.31"/>
    <n v="2664.09"/>
    <n v="2780.73"/>
    <n v="3"/>
    <n v="15"/>
    <n v="0.33"/>
    <n v="7992.27"/>
    <n v="2795.73"/>
    <n v="8387.19"/>
    <n v="-394.92000000000007"/>
    <x v="112"/>
    <n v="-0.37941274506491901"/>
    <x v="0"/>
    <x v="1"/>
  </r>
  <r>
    <x v="113"/>
    <d v="2024-03-02T00:00:00"/>
    <x v="0"/>
    <s v="ELE-851"/>
    <x v="2"/>
    <s v="France"/>
    <x v="1"/>
    <s v="Vendor A"/>
    <n v="579"/>
    <n v="0.24"/>
    <n v="440.04"/>
    <n v="387.89"/>
    <n v="2"/>
    <n v="108"/>
    <n v="0.4"/>
    <n v="880.08"/>
    <n v="495.89"/>
    <n v="991.78"/>
    <n v="-111.69999999999993"/>
    <x v="113"/>
    <n v="-0.52692027997454804"/>
    <x v="1"/>
    <x v="1"/>
  </r>
  <r>
    <x v="114"/>
    <d v="2024-02-06T00:00:00"/>
    <x v="3"/>
    <s v="APP-480"/>
    <x v="2"/>
    <s v="UK"/>
    <x v="1"/>
    <s v="Vendor B"/>
    <n v="51"/>
    <n v="0.1"/>
    <n v="45.9"/>
    <n v="36.020000000000003"/>
    <n v="2"/>
    <n v="50"/>
    <n v="0.3"/>
    <n v="91.8"/>
    <n v="86.02000000000001"/>
    <n v="172.04000000000002"/>
    <n v="-80.240000000000023"/>
    <x v="114"/>
    <n v="-1.1740740740740701"/>
    <x v="1"/>
    <x v="0"/>
  </r>
  <r>
    <x v="115"/>
    <d v="2024-04-08T00:00:00"/>
    <x v="2"/>
    <s v="B2B-262"/>
    <x v="1"/>
    <s v="Singapore"/>
    <x v="1"/>
    <s v="Vendor D"/>
    <n v="179"/>
    <n v="0.08"/>
    <n v="164.68"/>
    <n v="115.57"/>
    <n v="1"/>
    <n v="98"/>
    <n v="0.35"/>
    <n v="164.68"/>
    <n v="213.57"/>
    <n v="213.57"/>
    <n v="-48.889999999999986"/>
    <x v="115"/>
    <n v="-0.64687879523925196"/>
    <x v="1"/>
    <x v="2"/>
  </r>
  <r>
    <x v="116"/>
    <d v="2024-06-20T00:00:00"/>
    <x v="1"/>
    <s v="HOM-729"/>
    <x v="0"/>
    <s v="USA"/>
    <x v="1"/>
    <s v="Vendor D"/>
    <n v="4073"/>
    <n v="0.17"/>
    <n v="3380.59"/>
    <n v="2122.4699999999998"/>
    <n v="3"/>
    <n v="40"/>
    <n v="0.43"/>
    <n v="10141.77"/>
    <n v="2162.4699999999998"/>
    <n v="6487.41"/>
    <n v="3654.3600000000006"/>
    <x v="116"/>
    <n v="-6.9672364883053006E-2"/>
    <x v="0"/>
    <x v="0"/>
  </r>
  <r>
    <x v="117"/>
    <d v="2024-04-13T00:00:00"/>
    <x v="0"/>
    <s v="ELE-985"/>
    <x v="2"/>
    <s v="France"/>
    <x v="1"/>
    <s v="Vendor B"/>
    <n v="3482"/>
    <n v="0.18"/>
    <n v="2855.24"/>
    <n v="1826.71"/>
    <n v="1"/>
    <n v="180"/>
    <n v="0.32"/>
    <n v="2855.24"/>
    <n v="2006.71"/>
    <n v="2006.71"/>
    <n v="848.52999999999975"/>
    <x v="117"/>
    <n v="-2.2816575839508999E-2"/>
    <x v="0"/>
    <x v="0"/>
  </r>
  <r>
    <x v="118"/>
    <d v="2024-02-04T00:00:00"/>
    <x v="0"/>
    <s v="ELE-719"/>
    <x v="0"/>
    <s v="USA"/>
    <x v="1"/>
    <s v="Vendor D"/>
    <n v="2262"/>
    <n v="0.28000000000000003"/>
    <n v="1628.64"/>
    <n v="1496.57"/>
    <n v="3"/>
    <n v="65"/>
    <n v="0.43"/>
    <n v="4885.92"/>
    <n v="1561.57"/>
    <n v="4684.71"/>
    <n v="201.21000000000004"/>
    <x v="118"/>
    <n v="-0.38881840062874501"/>
    <x v="0"/>
    <x v="1"/>
  </r>
  <r>
    <x v="119"/>
    <d v="2024-04-10T00:00:00"/>
    <x v="2"/>
    <s v="B2B-297"/>
    <x v="1"/>
    <s v="India"/>
    <x v="1"/>
    <s v="Vendor B"/>
    <n v="1018"/>
    <n v="0.21"/>
    <n v="804.22"/>
    <n v="744.14"/>
    <n v="1"/>
    <n v="38"/>
    <n v="0.3"/>
    <n v="804.22"/>
    <n v="782.14"/>
    <n v="782.14"/>
    <n v="22.080000000000041"/>
    <x v="119"/>
    <n v="-0.27254482604262498"/>
    <x v="0"/>
    <x v="1"/>
  </r>
  <r>
    <x v="120"/>
    <d v="2024-06-23T00:00:00"/>
    <x v="1"/>
    <s v="HOM-910"/>
    <x v="0"/>
    <s v="USA"/>
    <x v="1"/>
    <s v="Vendor A"/>
    <n v="6884"/>
    <n v="0.06"/>
    <n v="6470.96"/>
    <n v="3404.16"/>
    <n v="2"/>
    <n v="190"/>
    <n v="0.44"/>
    <n v="12941.92"/>
    <n v="3594.16"/>
    <n v="7188.32"/>
    <n v="5753.6"/>
    <x v="120"/>
    <n v="4.5708210219200197E-3"/>
    <x v="2"/>
    <x v="2"/>
  </r>
  <r>
    <x v="121"/>
    <d v="2024-05-10T00:00:00"/>
    <x v="0"/>
    <s v="ELE-951"/>
    <x v="2"/>
    <s v="France"/>
    <x v="0"/>
    <s v="Vendor A"/>
    <n v="7256"/>
    <n v="0.19"/>
    <n v="5877.36"/>
    <n v="4387.55"/>
    <n v="3"/>
    <n v="187"/>
    <n v="0.39"/>
    <n v="17632.079999999998"/>
    <n v="4574.55"/>
    <n v="13723.650000000001"/>
    <n v="3908.4299999999967"/>
    <x v="121"/>
    <n v="-0.16833415002654301"/>
    <x v="0"/>
    <x v="0"/>
  </r>
  <r>
    <x v="122"/>
    <d v="2024-01-01T00:00:00"/>
    <x v="3"/>
    <s v="APP-768"/>
    <x v="1"/>
    <s v="Singapore"/>
    <x v="1"/>
    <s v="Vendor D"/>
    <n v="2019"/>
    <n v="0.11"/>
    <n v="1796.91"/>
    <n v="1316.45"/>
    <n v="1"/>
    <n v="94"/>
    <n v="0.4"/>
    <n v="1796.91"/>
    <n v="1410.45"/>
    <n v="1410.45"/>
    <n v="386.46000000000004"/>
    <x v="122"/>
    <n v="-0.18493079786967601"/>
    <x v="0"/>
    <x v="0"/>
  </r>
  <r>
    <x v="123"/>
    <d v="2024-01-05T00:00:00"/>
    <x v="1"/>
    <s v="HOM-637"/>
    <x v="2"/>
    <s v="Germany"/>
    <x v="1"/>
    <s v="Vendor B"/>
    <n v="7410"/>
    <n v="0.3"/>
    <n v="5187"/>
    <n v="5434.38"/>
    <n v="2"/>
    <n v="167"/>
    <n v="0.32"/>
    <n v="10374"/>
    <n v="5601.38"/>
    <n v="11202.76"/>
    <n v="-828.76000000000022"/>
    <x v="123"/>
    <n v="-0.399888181993445"/>
    <x v="0"/>
    <x v="1"/>
  </r>
  <r>
    <x v="124"/>
    <d v="2024-05-21T00:00:00"/>
    <x v="0"/>
    <s v="ELE-152"/>
    <x v="1"/>
    <s v="Singapore"/>
    <x v="1"/>
    <s v="Vendor D"/>
    <n v="4490"/>
    <n v="0.26"/>
    <n v="3322.6"/>
    <n v="2931.76"/>
    <n v="3"/>
    <n v="156"/>
    <n v="0.39"/>
    <n v="9967.7999999999993"/>
    <n v="3087.76"/>
    <n v="9263.2800000000007"/>
    <n v="704.51999999999862"/>
    <x v="124"/>
    <n v="-0.31932041172575698"/>
    <x v="0"/>
    <x v="1"/>
  </r>
  <r>
    <x v="125"/>
    <d v="2024-04-12T00:00:00"/>
    <x v="3"/>
    <s v="APP-880"/>
    <x v="0"/>
    <s v="USA"/>
    <x v="1"/>
    <s v="Vendor B"/>
    <n v="5155"/>
    <n v="0.23"/>
    <n v="3969.35"/>
    <n v="2811.71"/>
    <n v="1"/>
    <n v="170"/>
    <n v="0.45"/>
    <n v="3969.35"/>
    <n v="2981.71"/>
    <n v="2981.71"/>
    <n v="987.63999999999987"/>
    <x v="125"/>
    <n v="-0.20118344313300701"/>
    <x v="0"/>
    <x v="1"/>
  </r>
  <r>
    <x v="126"/>
    <d v="2024-01-27T00:00:00"/>
    <x v="0"/>
    <s v="ELE-581"/>
    <x v="0"/>
    <s v="USA"/>
    <x v="1"/>
    <s v="Vendor C"/>
    <n v="1397"/>
    <n v="0.25"/>
    <n v="1047.75"/>
    <n v="949.34"/>
    <n v="2"/>
    <n v="141"/>
    <n v="0.35"/>
    <n v="2095.5"/>
    <n v="1090.3400000000001"/>
    <n v="2180.6800000000003"/>
    <n v="-85.180000000000291"/>
    <x v="126"/>
    <n v="-0.39064900978286798"/>
    <x v="0"/>
    <x v="1"/>
  </r>
  <r>
    <x v="127"/>
    <d v="2024-05-16T00:00:00"/>
    <x v="0"/>
    <s v="ELE-175"/>
    <x v="2"/>
    <s v="Germany"/>
    <x v="1"/>
    <s v="Vendor A"/>
    <n v="5500"/>
    <n v="0.16"/>
    <n v="4620"/>
    <n v="2964.83"/>
    <n v="1"/>
    <n v="98"/>
    <n v="0.34"/>
    <n v="4620"/>
    <n v="3062.83"/>
    <n v="3062.83"/>
    <n v="1557.17"/>
    <x v="127"/>
    <n v="-2.9502164502160401E-3"/>
    <x v="0"/>
    <x v="0"/>
  </r>
  <r>
    <x v="128"/>
    <d v="2024-01-15T00:00:00"/>
    <x v="1"/>
    <s v="HOM-966"/>
    <x v="2"/>
    <s v="UK"/>
    <x v="0"/>
    <s v="Vendor D"/>
    <n v="6798"/>
    <n v="0.18"/>
    <n v="5574.36"/>
    <n v="3543.55"/>
    <n v="2"/>
    <n v="44"/>
    <n v="0.28999999999999998"/>
    <n v="11148.72"/>
    <n v="3587.55"/>
    <n v="7175.1"/>
    <n v="3973.619999999999"/>
    <x v="128"/>
    <n v="6.6419391643166001E-2"/>
    <x v="2"/>
    <x v="0"/>
  </r>
  <r>
    <x v="129"/>
    <d v="2024-03-30T00:00:00"/>
    <x v="3"/>
    <s v="APP-764"/>
    <x v="2"/>
    <s v="France"/>
    <x v="0"/>
    <s v="Vendor A"/>
    <n v="1076"/>
    <n v="0.21"/>
    <n v="850.04"/>
    <n v="791.34"/>
    <n v="1"/>
    <n v="165"/>
    <n v="0.42"/>
    <n v="850.04"/>
    <n v="956.34"/>
    <n v="956.34"/>
    <n v="-106.30000000000007"/>
    <x v="129"/>
    <n v="-0.54505293868523796"/>
    <x v="1"/>
    <x v="1"/>
  </r>
  <r>
    <x v="130"/>
    <d v="2024-02-11T00:00:00"/>
    <x v="2"/>
    <s v="B2B-990"/>
    <x v="0"/>
    <s v="Canada"/>
    <x v="1"/>
    <s v="Vendor D"/>
    <n v="5909"/>
    <n v="0.23"/>
    <n v="4549.93"/>
    <n v="4014.96"/>
    <n v="2"/>
    <n v="79"/>
    <n v="0.4"/>
    <n v="9099.86"/>
    <n v="4093.96"/>
    <n v="8187.92"/>
    <n v="911.94000000000051"/>
    <x v="130"/>
    <n v="-0.29978527142175798"/>
    <x v="0"/>
    <x v="1"/>
  </r>
  <r>
    <x v="131"/>
    <d v="2024-05-03T00:00:00"/>
    <x v="0"/>
    <s v="ELE-423"/>
    <x v="1"/>
    <s v="India"/>
    <x v="1"/>
    <s v="Vendor C"/>
    <n v="4481"/>
    <n v="0.24"/>
    <n v="3405.56"/>
    <n v="3223.67"/>
    <n v="3"/>
    <n v="34"/>
    <n v="0.34"/>
    <n v="10216.68"/>
    <n v="3257.67"/>
    <n v="9773.01"/>
    <n v="443.67000000000007"/>
    <x v="131"/>
    <n v="-0.29657395553154298"/>
    <x v="0"/>
    <x v="1"/>
  </r>
  <r>
    <x v="132"/>
    <d v="2024-06-27T00:00:00"/>
    <x v="3"/>
    <s v="APP-390"/>
    <x v="0"/>
    <s v="USA"/>
    <x v="1"/>
    <s v="Vendor B"/>
    <n v="6062"/>
    <n v="0.24"/>
    <n v="4607.12"/>
    <n v="3679.18"/>
    <n v="1"/>
    <n v="36"/>
    <n v="0.42"/>
    <n v="4607.12"/>
    <n v="3715.18"/>
    <n v="3715.18"/>
    <n v="891.94"/>
    <x v="132"/>
    <n v="-0.226399659657226"/>
    <x v="0"/>
    <x v="1"/>
  </r>
  <r>
    <x v="133"/>
    <d v="2024-03-03T00:00:00"/>
    <x v="3"/>
    <s v="APP-138"/>
    <x v="2"/>
    <s v="France"/>
    <x v="1"/>
    <s v="Vendor A"/>
    <n v="6837"/>
    <n v="0.3"/>
    <n v="4785.8999999999996"/>
    <n v="4148.3100000000004"/>
    <n v="3"/>
    <n v="16"/>
    <n v="0.43"/>
    <n v="14357.699999999999"/>
    <n v="4164.3100000000004"/>
    <n v="12492.93"/>
    <n v="1864.7699999999986"/>
    <x v="133"/>
    <n v="-0.30012056248563501"/>
    <x v="0"/>
    <x v="1"/>
  </r>
  <r>
    <x v="134"/>
    <d v="2024-04-05T00:00:00"/>
    <x v="1"/>
    <s v="HOM-271"/>
    <x v="0"/>
    <s v="USA"/>
    <x v="1"/>
    <s v="Vendor A"/>
    <n v="494"/>
    <n v="0.13"/>
    <n v="429.78"/>
    <n v="365.01"/>
    <n v="3"/>
    <n v="127"/>
    <n v="0.42"/>
    <n v="1289.3399999999999"/>
    <n v="492.01"/>
    <n v="1476.03"/>
    <n v="-186.69000000000005"/>
    <x v="134"/>
    <n v="-0.56479501140118205"/>
    <x v="1"/>
    <x v="0"/>
  </r>
  <r>
    <x v="135"/>
    <d v="2024-02-21T00:00:00"/>
    <x v="1"/>
    <s v="HOM-477"/>
    <x v="0"/>
    <s v="Canada"/>
    <x v="0"/>
    <s v="Vendor C"/>
    <n v="7335"/>
    <n v="0.2"/>
    <n v="5868"/>
    <n v="4606.83"/>
    <n v="1"/>
    <n v="35"/>
    <n v="0.39"/>
    <n v="5868"/>
    <n v="4641.83"/>
    <n v="4641.83"/>
    <n v="1226.17"/>
    <x v="135"/>
    <n v="-0.18104124062713001"/>
    <x v="0"/>
    <x v="1"/>
  </r>
  <r>
    <x v="136"/>
    <d v="2024-04-05T00:00:00"/>
    <x v="3"/>
    <s v="APP-266"/>
    <x v="0"/>
    <s v="USA"/>
    <x v="0"/>
    <s v="Vendor D"/>
    <n v="1122"/>
    <n v="0.12"/>
    <n v="987.36"/>
    <n v="767.62"/>
    <n v="3"/>
    <n v="59"/>
    <n v="0.42"/>
    <n v="2962.08"/>
    <n v="826.62"/>
    <n v="2479.86"/>
    <n v="482.2199999999998"/>
    <x v="136"/>
    <n v="-0.25720223626640698"/>
    <x v="0"/>
    <x v="0"/>
  </r>
  <r>
    <x v="137"/>
    <d v="2024-05-11T00:00:00"/>
    <x v="3"/>
    <s v="APP-772"/>
    <x v="2"/>
    <s v="Germany"/>
    <x v="0"/>
    <s v="Vendor B"/>
    <n v="3090"/>
    <n v="0.18"/>
    <n v="2533.8000000000002"/>
    <n v="1532.32"/>
    <n v="3"/>
    <n v="58"/>
    <n v="0.43"/>
    <n v="7601.4000000000005"/>
    <n v="1590.32"/>
    <n v="4770.96"/>
    <n v="2830.4400000000005"/>
    <x v="137"/>
    <n v="-5.7642276422763997E-2"/>
    <x v="0"/>
    <x v="0"/>
  </r>
  <r>
    <x v="138"/>
    <d v="2024-05-30T00:00:00"/>
    <x v="0"/>
    <s v="ELE-176"/>
    <x v="1"/>
    <s v="India"/>
    <x v="1"/>
    <s v="Vendor A"/>
    <n v="7872"/>
    <n v="0.12"/>
    <n v="6927.36"/>
    <n v="4029.33"/>
    <n v="2"/>
    <n v="20"/>
    <n v="0.32"/>
    <n v="13854.72"/>
    <n v="4049.33"/>
    <n v="8098.66"/>
    <n v="5756.0599999999995"/>
    <x v="138"/>
    <n v="9.5458414172210002E-2"/>
    <x v="2"/>
    <x v="0"/>
  </r>
  <r>
    <x v="139"/>
    <d v="2024-05-22T00:00:00"/>
    <x v="3"/>
    <s v="APP-852"/>
    <x v="0"/>
    <s v="USA"/>
    <x v="1"/>
    <s v="Vendor D"/>
    <n v="5972"/>
    <n v="0.23"/>
    <n v="4598.4399999999996"/>
    <n v="3898.24"/>
    <n v="2"/>
    <n v="51"/>
    <n v="0.36"/>
    <n v="9196.8799999999992"/>
    <n v="3949.24"/>
    <n v="7898.48"/>
    <n v="1298.3999999999996"/>
    <x v="139"/>
    <n v="-0.218821687354842"/>
    <x v="0"/>
    <x v="1"/>
  </r>
  <r>
    <x v="140"/>
    <d v="2024-06-19T00:00:00"/>
    <x v="2"/>
    <s v="B2B-843"/>
    <x v="1"/>
    <s v="India"/>
    <x v="1"/>
    <s v="Vendor C"/>
    <n v="5749"/>
    <n v="0.27"/>
    <n v="4196.7700000000004"/>
    <n v="3584.59"/>
    <n v="1"/>
    <n v="176"/>
    <n v="0.28999999999999998"/>
    <n v="4196.7700000000004"/>
    <n v="3760.59"/>
    <n v="3760.59"/>
    <n v="436.18000000000029"/>
    <x v="140"/>
    <n v="-0.18606769015218799"/>
    <x v="0"/>
    <x v="1"/>
  </r>
  <r>
    <x v="141"/>
    <d v="2024-01-29T00:00:00"/>
    <x v="2"/>
    <s v="B2B-616"/>
    <x v="0"/>
    <s v="USA"/>
    <x v="1"/>
    <s v="Vendor D"/>
    <n v="5522"/>
    <n v="0.12"/>
    <n v="4859.3599999999997"/>
    <n v="3072.99"/>
    <n v="1"/>
    <n v="22"/>
    <n v="0.42"/>
    <n v="4859.3599999999997"/>
    <n v="3094.99"/>
    <n v="3094.99"/>
    <n v="1764.37"/>
    <x v="141"/>
    <n v="-5.6913091435909002E-2"/>
    <x v="0"/>
    <x v="0"/>
  </r>
  <r>
    <x v="142"/>
    <d v="2024-02-05T00:00:00"/>
    <x v="0"/>
    <s v="ELE-229"/>
    <x v="1"/>
    <s v="Singapore"/>
    <x v="1"/>
    <s v="Vendor D"/>
    <n v="1635"/>
    <n v="0.25"/>
    <n v="1226.25"/>
    <n v="848.97"/>
    <n v="3"/>
    <n v="67"/>
    <n v="0.31"/>
    <n v="3678.75"/>
    <n v="915.97"/>
    <n v="2747.91"/>
    <n v="930.84000000000015"/>
    <x v="142"/>
    <n v="-5.6968399592253E-2"/>
    <x v="0"/>
    <x v="1"/>
  </r>
  <r>
    <x v="143"/>
    <d v="2024-01-13T00:00:00"/>
    <x v="3"/>
    <s v="APP-944"/>
    <x v="1"/>
    <s v="Singapore"/>
    <x v="1"/>
    <s v="Vendor C"/>
    <n v="2451"/>
    <n v="0.18"/>
    <n v="2009.82"/>
    <n v="1348.22"/>
    <n v="2"/>
    <n v="159"/>
    <n v="0.44"/>
    <n v="4019.64"/>
    <n v="1507.22"/>
    <n v="3014.44"/>
    <n v="1005.1999999999998"/>
    <x v="143"/>
    <n v="-0.18992785423570299"/>
    <x v="0"/>
    <x v="0"/>
  </r>
  <r>
    <x v="144"/>
    <d v="2024-06-08T00:00:00"/>
    <x v="1"/>
    <s v="HOM-747"/>
    <x v="0"/>
    <s v="USA"/>
    <x v="1"/>
    <s v="Vendor D"/>
    <n v="2715"/>
    <n v="0.08"/>
    <n v="2497.8000000000002"/>
    <n v="1588.58"/>
    <n v="1"/>
    <n v="153"/>
    <n v="0.33"/>
    <n v="2497.8000000000002"/>
    <n v="1741.58"/>
    <n v="1741.58"/>
    <n v="756.22000000000025"/>
    <x v="144"/>
    <n v="-2.7245576106974E-2"/>
    <x v="0"/>
    <x v="2"/>
  </r>
  <r>
    <x v="145"/>
    <d v="2024-03-11T00:00:00"/>
    <x v="3"/>
    <s v="APP-248"/>
    <x v="1"/>
    <s v="Singapore"/>
    <x v="1"/>
    <s v="Vendor D"/>
    <n v="6820"/>
    <n v="0.1"/>
    <n v="6138"/>
    <n v="5099.62"/>
    <n v="1"/>
    <n v="113"/>
    <n v="0.42"/>
    <n v="6138"/>
    <n v="5212.62"/>
    <n v="5212.62"/>
    <n v="925.38000000000011"/>
    <x v="145"/>
    <n v="-0.26923753665689099"/>
    <x v="0"/>
    <x v="0"/>
  </r>
  <r>
    <x v="146"/>
    <d v="2024-03-26T00:00:00"/>
    <x v="3"/>
    <s v="APP-848"/>
    <x v="2"/>
    <s v="France"/>
    <x v="0"/>
    <s v="Vendor D"/>
    <n v="5330"/>
    <n v="0.23"/>
    <n v="4104.1000000000004"/>
    <n v="3208.93"/>
    <n v="1"/>
    <n v="151"/>
    <n v="0.32"/>
    <n v="4104.1000000000004"/>
    <n v="3359.93"/>
    <n v="3359.93"/>
    <n v="744.17000000000053"/>
    <x v="146"/>
    <n v="-0.13867644550571401"/>
    <x v="0"/>
    <x v="1"/>
  </r>
  <r>
    <x v="147"/>
    <d v="2024-01-28T00:00:00"/>
    <x v="0"/>
    <s v="ELE-565"/>
    <x v="2"/>
    <s v="Germany"/>
    <x v="1"/>
    <s v="Vendor A"/>
    <n v="7162"/>
    <n v="0.2"/>
    <n v="5729.6"/>
    <n v="4996.1099999999997"/>
    <n v="3"/>
    <n v="199"/>
    <n v="0.44"/>
    <n v="17188.800000000003"/>
    <n v="5195.1099999999997"/>
    <n v="15585.329999999998"/>
    <n v="1603.4700000000048"/>
    <x v="147"/>
    <n v="-0.34671425579447102"/>
    <x v="0"/>
    <x v="1"/>
  </r>
  <r>
    <x v="148"/>
    <d v="2024-03-06T00:00:00"/>
    <x v="1"/>
    <s v="HOM-777"/>
    <x v="1"/>
    <s v="Singapore"/>
    <x v="0"/>
    <s v="Vendor C"/>
    <n v="4487"/>
    <n v="0.22"/>
    <n v="3499.86"/>
    <n v="2545.5300000000002"/>
    <n v="3"/>
    <n v="21"/>
    <n v="0.35"/>
    <n v="10499.58"/>
    <n v="2566.5300000000002"/>
    <n v="7699.59"/>
    <n v="2799.99"/>
    <x v="148"/>
    <n v="-8.3323618659031998E-2"/>
    <x v="0"/>
    <x v="1"/>
  </r>
  <r>
    <x v="149"/>
    <d v="2024-06-18T00:00:00"/>
    <x v="1"/>
    <s v="HOM-504"/>
    <x v="2"/>
    <s v="Germany"/>
    <x v="0"/>
    <s v="Vendor B"/>
    <n v="5839"/>
    <n v="0.27"/>
    <n v="4262.47"/>
    <n v="2875.03"/>
    <n v="2"/>
    <n v="16"/>
    <n v="0.28999999999999998"/>
    <n v="8524.94"/>
    <n v="2891.03"/>
    <n v="5782.06"/>
    <n v="2742.88"/>
    <x v="149"/>
    <n v="3.1747719045529997E-2"/>
    <x v="2"/>
    <x v="1"/>
  </r>
  <r>
    <x v="150"/>
    <d v="2024-02-14T00:00:00"/>
    <x v="1"/>
    <s v="HOM-921"/>
    <x v="1"/>
    <s v="Singapore"/>
    <x v="0"/>
    <s v="Vendor B"/>
    <n v="7423"/>
    <n v="0.34"/>
    <n v="4899.18"/>
    <n v="4767.7299999999996"/>
    <n v="2"/>
    <n v="34"/>
    <n v="0.3"/>
    <n v="9798.36"/>
    <n v="4801.7299999999996"/>
    <n v="9603.4599999999991"/>
    <n v="194.90000000000146"/>
    <x v="150"/>
    <n v="-0.280108916185974"/>
    <x v="0"/>
    <x v="1"/>
  </r>
  <r>
    <x v="151"/>
    <d v="2024-03-02T00:00:00"/>
    <x v="1"/>
    <s v="HOM-124"/>
    <x v="0"/>
    <s v="Canada"/>
    <x v="1"/>
    <s v="Vendor B"/>
    <n v="6529"/>
    <n v="0.28000000000000003"/>
    <n v="4700.88"/>
    <n v="3280.51"/>
    <n v="3"/>
    <n v="140"/>
    <n v="0.35"/>
    <n v="14102.64"/>
    <n v="3420.51"/>
    <n v="10261.530000000001"/>
    <n v="3841.1099999999988"/>
    <x v="151"/>
    <n v="-7.7631847654055994E-2"/>
    <x v="0"/>
    <x v="1"/>
  </r>
  <r>
    <x v="152"/>
    <d v="2024-05-13T00:00:00"/>
    <x v="3"/>
    <s v="APP-631"/>
    <x v="0"/>
    <s v="USA"/>
    <x v="1"/>
    <s v="Vendor B"/>
    <n v="1013"/>
    <n v="0.09"/>
    <n v="921.83"/>
    <n v="748.54"/>
    <n v="1"/>
    <n v="197"/>
    <n v="0.44"/>
    <n v="921.83"/>
    <n v="945.54"/>
    <n v="945.54"/>
    <n v="-23.709999999999923"/>
    <x v="152"/>
    <n v="-0.46572057754683599"/>
    <x v="0"/>
    <x v="2"/>
  </r>
  <r>
    <x v="153"/>
    <d v="2024-01-28T00:00:00"/>
    <x v="2"/>
    <s v="B2B-616"/>
    <x v="2"/>
    <s v="Germany"/>
    <x v="0"/>
    <s v="Vendor D"/>
    <n v="1934"/>
    <n v="0.06"/>
    <n v="1817.96"/>
    <n v="1219.9000000000001"/>
    <n v="3"/>
    <n v="160"/>
    <n v="0.35"/>
    <n v="5453.88"/>
    <n v="1379.9"/>
    <n v="4139.7000000000007"/>
    <n v="1314.1799999999994"/>
    <x v="153"/>
    <n v="-0.10903760258751601"/>
    <x v="0"/>
    <x v="2"/>
  </r>
  <r>
    <x v="154"/>
    <d v="2024-01-28T00:00:00"/>
    <x v="3"/>
    <s v="APP-428"/>
    <x v="1"/>
    <s v="Singapore"/>
    <x v="1"/>
    <s v="Vendor B"/>
    <n v="3900"/>
    <n v="0.28000000000000003"/>
    <n v="2808"/>
    <n v="2479.81"/>
    <n v="1"/>
    <n v="92"/>
    <n v="0.3"/>
    <n v="2808"/>
    <n v="2571.81"/>
    <n v="2571.81"/>
    <n v="236.19000000000005"/>
    <x v="154"/>
    <n v="-0.21588675213675201"/>
    <x v="0"/>
    <x v="1"/>
  </r>
  <r>
    <x v="155"/>
    <d v="2024-04-17T00:00:00"/>
    <x v="1"/>
    <s v="HOM-479"/>
    <x v="2"/>
    <s v="France"/>
    <x v="1"/>
    <s v="Vendor D"/>
    <n v="6957"/>
    <n v="0.24"/>
    <n v="5287.32"/>
    <n v="4452.18"/>
    <n v="1"/>
    <n v="49"/>
    <n v="0.32"/>
    <n v="5287.32"/>
    <n v="4501.18"/>
    <n v="4501.18"/>
    <n v="786.13999999999942"/>
    <x v="155"/>
    <n v="-0.171315978605418"/>
    <x v="0"/>
    <x v="1"/>
  </r>
  <r>
    <x v="156"/>
    <d v="2024-02-13T00:00:00"/>
    <x v="2"/>
    <s v="B2B-254"/>
    <x v="0"/>
    <s v="Canada"/>
    <x v="1"/>
    <s v="Vendor C"/>
    <n v="7907"/>
    <n v="0.09"/>
    <n v="7195.37"/>
    <n v="5661.26"/>
    <n v="1"/>
    <n v="71"/>
    <n v="0.34"/>
    <n v="7195.37"/>
    <n v="5732.26"/>
    <n v="5732.26"/>
    <n v="1463.1099999999997"/>
    <x v="156"/>
    <n v="-0.13665951855151301"/>
    <x v="0"/>
    <x v="2"/>
  </r>
  <r>
    <x v="157"/>
    <d v="2024-03-24T00:00:00"/>
    <x v="1"/>
    <s v="HOM-760"/>
    <x v="2"/>
    <s v="France"/>
    <x v="0"/>
    <s v="Vendor B"/>
    <n v="3766"/>
    <n v="0.05"/>
    <n v="3577.7"/>
    <n v="2164.87"/>
    <n v="2"/>
    <n v="158"/>
    <n v="0.41"/>
    <n v="7155.4"/>
    <n v="2322.87"/>
    <n v="4645.74"/>
    <n v="2509.66"/>
    <x v="157"/>
    <n v="-5.9263493305754998E-2"/>
    <x v="0"/>
    <x v="2"/>
  </r>
  <r>
    <x v="158"/>
    <d v="2024-01-30T00:00:00"/>
    <x v="3"/>
    <s v="APP-771"/>
    <x v="2"/>
    <s v="UK"/>
    <x v="1"/>
    <s v="Vendor A"/>
    <n v="6258"/>
    <n v="0.15"/>
    <n v="5319.3"/>
    <n v="4382.42"/>
    <n v="2"/>
    <n v="190"/>
    <n v="0.28999999999999998"/>
    <n v="10638.6"/>
    <n v="4572.42"/>
    <n v="9144.84"/>
    <n v="1493.7600000000002"/>
    <x v="158"/>
    <n v="-0.14959054762844701"/>
    <x v="0"/>
    <x v="0"/>
  </r>
  <r>
    <x v="159"/>
    <d v="2024-03-15T00:00:00"/>
    <x v="0"/>
    <s v="ELE-663"/>
    <x v="0"/>
    <s v="USA"/>
    <x v="1"/>
    <s v="Vendor C"/>
    <n v="6086"/>
    <n v="0.3"/>
    <n v="4260.2"/>
    <n v="2917.78"/>
    <n v="2"/>
    <n v="35"/>
    <n v="0.31"/>
    <n v="8520.4"/>
    <n v="2952.78"/>
    <n v="5905.56"/>
    <n v="2614.8399999999992"/>
    <x v="159"/>
    <n v="-3.1083047744239799E-3"/>
    <x v="0"/>
    <x v="1"/>
  </r>
  <r>
    <x v="160"/>
    <d v="2024-05-07T00:00:00"/>
    <x v="0"/>
    <s v="ELE-219"/>
    <x v="2"/>
    <s v="UK"/>
    <x v="0"/>
    <s v="Vendor A"/>
    <n v="3543"/>
    <n v="0.17"/>
    <n v="2940.69"/>
    <n v="2610.7199999999998"/>
    <n v="1"/>
    <n v="122"/>
    <n v="0.3"/>
    <n v="2940.69"/>
    <n v="2732.72"/>
    <n v="2732.72"/>
    <n v="207.97000000000025"/>
    <x v="160"/>
    <n v="-0.22927850266434099"/>
    <x v="0"/>
    <x v="0"/>
  </r>
  <r>
    <x v="161"/>
    <d v="2024-04-01T00:00:00"/>
    <x v="0"/>
    <s v="ELE-858"/>
    <x v="0"/>
    <s v="USA"/>
    <x v="0"/>
    <s v="Vendor D"/>
    <n v="6222"/>
    <n v="0.13"/>
    <n v="5413.14"/>
    <n v="4536.43"/>
    <n v="1"/>
    <n v="197"/>
    <n v="0.42"/>
    <n v="5413.14"/>
    <n v="4733.43"/>
    <n v="4733.43"/>
    <n v="679.71"/>
    <x v="161"/>
    <n v="-0.29443332335760802"/>
    <x v="0"/>
    <x v="0"/>
  </r>
  <r>
    <x v="162"/>
    <d v="2024-05-08T00:00:00"/>
    <x v="3"/>
    <s v="APP-107"/>
    <x v="2"/>
    <s v="UK"/>
    <x v="0"/>
    <s v="Vendor C"/>
    <n v="7149"/>
    <n v="0.19"/>
    <n v="5790.69"/>
    <n v="5109.66"/>
    <n v="1"/>
    <n v="78"/>
    <n v="0.36"/>
    <n v="5790.69"/>
    <n v="5187.66"/>
    <n v="5187.66"/>
    <n v="603.02999999999975"/>
    <x v="162"/>
    <n v="-0.25586215114261002"/>
    <x v="0"/>
    <x v="0"/>
  </r>
  <r>
    <x v="163"/>
    <d v="2024-04-30T00:00:00"/>
    <x v="0"/>
    <s v="ELE-331"/>
    <x v="0"/>
    <s v="Canada"/>
    <x v="0"/>
    <s v="Vendor A"/>
    <n v="7838"/>
    <n v="0.28999999999999998"/>
    <n v="5564.98"/>
    <n v="3774.86"/>
    <n v="1"/>
    <n v="26"/>
    <n v="0.37"/>
    <n v="5564.98"/>
    <n v="3800.86"/>
    <n v="3800.86"/>
    <n v="1764.1199999999994"/>
    <x v="163"/>
    <n v="-5.2996165305176E-2"/>
    <x v="0"/>
    <x v="1"/>
  </r>
  <r>
    <x v="164"/>
    <d v="2024-01-27T00:00:00"/>
    <x v="3"/>
    <s v="APP-872"/>
    <x v="2"/>
    <s v="UK"/>
    <x v="0"/>
    <s v="Vendor D"/>
    <n v="4544"/>
    <n v="0.33"/>
    <n v="3044.48"/>
    <n v="3113.33"/>
    <n v="3"/>
    <n v="60"/>
    <n v="0.35"/>
    <n v="9133.44"/>
    <n v="3173.33"/>
    <n v="9519.99"/>
    <n v="-386.54999999999927"/>
    <x v="164"/>
    <n v="-0.39232249842337602"/>
    <x v="0"/>
    <x v="1"/>
  </r>
  <r>
    <x v="165"/>
    <d v="2024-04-30T00:00:00"/>
    <x v="2"/>
    <s v="B2B-459"/>
    <x v="2"/>
    <s v="France"/>
    <x v="1"/>
    <s v="Vendor B"/>
    <n v="1623"/>
    <n v="7.0000000000000007E-2"/>
    <n v="1509.39"/>
    <n v="980.94"/>
    <n v="3"/>
    <n v="90"/>
    <n v="0.41"/>
    <n v="4528.17"/>
    <n v="1070.94"/>
    <n v="3212.82"/>
    <n v="1315.35"/>
    <x v="165"/>
    <n v="-0.119518414723829"/>
    <x v="0"/>
    <x v="2"/>
  </r>
  <r>
    <x v="166"/>
    <d v="2024-04-25T00:00:00"/>
    <x v="3"/>
    <s v="APP-218"/>
    <x v="0"/>
    <s v="USA"/>
    <x v="0"/>
    <s v="Vendor C"/>
    <n v="3682"/>
    <n v="0.13"/>
    <n v="3203.34"/>
    <n v="1944.88"/>
    <n v="1"/>
    <n v="114"/>
    <n v="0.44"/>
    <n v="3203.34"/>
    <n v="2058.88"/>
    <n v="2058.88"/>
    <n v="1144.46"/>
    <x v="166"/>
    <n v="-8.2729151448175997E-2"/>
    <x v="0"/>
    <x v="0"/>
  </r>
  <r>
    <x v="167"/>
    <d v="2024-01-03T00:00:00"/>
    <x v="3"/>
    <s v="APP-387"/>
    <x v="2"/>
    <s v="UK"/>
    <x v="1"/>
    <s v="Vendor D"/>
    <n v="701"/>
    <n v="0.19"/>
    <n v="567.80999999999995"/>
    <n v="339.42"/>
    <n v="1"/>
    <n v="22"/>
    <n v="0.44"/>
    <n v="567.80999999999995"/>
    <n v="361.42"/>
    <n v="361.42"/>
    <n v="206.38999999999993"/>
    <x v="167"/>
    <n v="-7.6515735897571005E-2"/>
    <x v="0"/>
    <x v="0"/>
  </r>
  <r>
    <x v="168"/>
    <d v="2024-04-12T00:00:00"/>
    <x v="3"/>
    <s v="APP-725"/>
    <x v="2"/>
    <s v="UK"/>
    <x v="1"/>
    <s v="Vendor D"/>
    <n v="7619"/>
    <n v="0.12"/>
    <n v="6704.72"/>
    <n v="4279.21"/>
    <n v="2"/>
    <n v="68"/>
    <n v="0.35"/>
    <n v="13409.44"/>
    <n v="4347.21"/>
    <n v="8694.42"/>
    <n v="4715.0200000000004"/>
    <x v="168"/>
    <n v="1.6194561443280101E-3"/>
    <x v="2"/>
    <x v="0"/>
  </r>
  <r>
    <x v="169"/>
    <d v="2024-06-03T00:00:00"/>
    <x v="2"/>
    <s v="B2B-596"/>
    <x v="2"/>
    <s v="France"/>
    <x v="1"/>
    <s v="Vendor D"/>
    <n v="7652"/>
    <n v="0.32"/>
    <n v="5203.3599999999997"/>
    <n v="4925.92"/>
    <n v="2"/>
    <n v="131"/>
    <n v="0.43"/>
    <n v="10406.719999999999"/>
    <n v="5056.92"/>
    <n v="10113.84"/>
    <n v="292.8799999999992"/>
    <x v="169"/>
    <n v="-0.40185664647458602"/>
    <x v="0"/>
    <x v="1"/>
  </r>
  <r>
    <x v="170"/>
    <d v="2024-05-16T00:00:00"/>
    <x v="3"/>
    <s v="APP-302"/>
    <x v="0"/>
    <s v="USA"/>
    <x v="0"/>
    <s v="Vendor B"/>
    <n v="2758"/>
    <n v="0.34"/>
    <n v="1820.28"/>
    <n v="1860.15"/>
    <n v="3"/>
    <n v="144"/>
    <n v="0.39"/>
    <n v="5460.84"/>
    <n v="2004.15"/>
    <n v="6012.4500000000007"/>
    <n v="-551.61000000000058"/>
    <x v="170"/>
    <n v="-0.49101193223020601"/>
    <x v="0"/>
    <x v="1"/>
  </r>
  <r>
    <x v="171"/>
    <d v="2024-03-02T00:00:00"/>
    <x v="1"/>
    <s v="HOM-562"/>
    <x v="2"/>
    <s v="France"/>
    <x v="1"/>
    <s v="Vendor D"/>
    <n v="3918"/>
    <n v="0.27"/>
    <n v="2860.14"/>
    <n v="1889.98"/>
    <n v="3"/>
    <n v="189"/>
    <n v="0.44"/>
    <n v="8580.42"/>
    <n v="2078.98"/>
    <n v="6236.9400000000005"/>
    <n v="2343.4799999999996"/>
    <x v="171"/>
    <n v="-0.16688050235303201"/>
    <x v="0"/>
    <x v="1"/>
  </r>
  <r>
    <x v="172"/>
    <d v="2024-06-13T00:00:00"/>
    <x v="2"/>
    <s v="B2B-122"/>
    <x v="1"/>
    <s v="India"/>
    <x v="1"/>
    <s v="Vendor B"/>
    <n v="3804"/>
    <n v="0.28000000000000003"/>
    <n v="2738.88"/>
    <n v="2560.1999999999998"/>
    <n v="3"/>
    <n v="12"/>
    <n v="0.3"/>
    <n v="8216.64"/>
    <n v="2572.1999999999998"/>
    <n v="7716.5999999999995"/>
    <n v="500.03999999999996"/>
    <x v="172"/>
    <n v="-0.23914300736067301"/>
    <x v="0"/>
    <x v="1"/>
  </r>
  <r>
    <x v="173"/>
    <d v="2024-02-20T00:00:00"/>
    <x v="1"/>
    <s v="HOM-614"/>
    <x v="0"/>
    <s v="Canada"/>
    <x v="1"/>
    <s v="Vendor A"/>
    <n v="7345"/>
    <n v="0.18"/>
    <n v="6022.9"/>
    <n v="3659.68"/>
    <n v="1"/>
    <n v="195"/>
    <n v="0.41"/>
    <n v="6022.9"/>
    <n v="3854.68"/>
    <n v="3854.68"/>
    <n v="2168.2199999999998"/>
    <x v="173"/>
    <n v="-5.0003984791379998E-2"/>
    <x v="0"/>
    <x v="0"/>
  </r>
  <r>
    <x v="174"/>
    <d v="2024-06-20T00:00:00"/>
    <x v="2"/>
    <s v="B2B-165"/>
    <x v="0"/>
    <s v="Canada"/>
    <x v="1"/>
    <s v="Vendor D"/>
    <n v="5019"/>
    <n v="0.25"/>
    <n v="3764.25"/>
    <n v="2726.72"/>
    <n v="2"/>
    <n v="158"/>
    <n v="0.38"/>
    <n v="7528.5"/>
    <n v="2884.72"/>
    <n v="5769.44"/>
    <n v="1759.0600000000004"/>
    <x v="174"/>
    <n v="-0.14634654977751199"/>
    <x v="0"/>
    <x v="1"/>
  </r>
  <r>
    <x v="175"/>
    <d v="2024-05-31T00:00:00"/>
    <x v="0"/>
    <s v="ELE-732"/>
    <x v="0"/>
    <s v="Canada"/>
    <x v="1"/>
    <s v="Vendor D"/>
    <n v="6791"/>
    <n v="0.3"/>
    <n v="4753.7"/>
    <n v="4767.21"/>
    <n v="1"/>
    <n v="21"/>
    <n v="0.28000000000000003"/>
    <n v="4753.7"/>
    <n v="4788.21"/>
    <n v="4788.21"/>
    <n v="-34.510000000000218"/>
    <x v="175"/>
    <n v="-0.28725960830510999"/>
    <x v="0"/>
    <x v="1"/>
  </r>
  <r>
    <x v="176"/>
    <d v="2024-02-28T00:00:00"/>
    <x v="0"/>
    <s v="ELE-480"/>
    <x v="2"/>
    <s v="Germany"/>
    <x v="0"/>
    <s v="Vendor D"/>
    <n v="1828"/>
    <n v="0.3"/>
    <n v="1279.5999999999999"/>
    <n v="1080.52"/>
    <n v="2"/>
    <n v="110"/>
    <n v="0.34"/>
    <n v="2559.1999999999998"/>
    <n v="1190.52"/>
    <n v="2381.04"/>
    <n v="178.15999999999985"/>
    <x v="176"/>
    <n v="-0.270384495154736"/>
    <x v="0"/>
    <x v="1"/>
  </r>
  <r>
    <x v="177"/>
    <d v="2024-04-27T00:00:00"/>
    <x v="1"/>
    <s v="HOM-156"/>
    <x v="2"/>
    <s v="France"/>
    <x v="1"/>
    <s v="Vendor B"/>
    <n v="5638"/>
    <n v="0.05"/>
    <n v="5356.1"/>
    <n v="2838.8"/>
    <n v="2"/>
    <n v="47"/>
    <n v="0.34"/>
    <n v="10712.2"/>
    <n v="2885.8"/>
    <n v="5771.6"/>
    <n v="4940.6000000000004"/>
    <x v="177"/>
    <n v="0.121212449356808"/>
    <x v="2"/>
    <x v="2"/>
  </r>
  <r>
    <x v="178"/>
    <d v="2024-06-08T00:00:00"/>
    <x v="0"/>
    <s v="ELE-987"/>
    <x v="0"/>
    <s v="Canada"/>
    <x v="1"/>
    <s v="Vendor D"/>
    <n v="3342"/>
    <n v="0.24"/>
    <n v="2539.92"/>
    <n v="1568.92"/>
    <n v="2"/>
    <n v="89"/>
    <n v="0.38"/>
    <n v="5079.84"/>
    <n v="1657.92"/>
    <n v="3315.84"/>
    <n v="1764"/>
    <x v="178"/>
    <n v="-3.274496834546E-2"/>
    <x v="0"/>
    <x v="1"/>
  </r>
  <r>
    <x v="179"/>
    <d v="2024-04-05T00:00:00"/>
    <x v="3"/>
    <s v="APP-208"/>
    <x v="2"/>
    <s v="France"/>
    <x v="0"/>
    <s v="Vendor C"/>
    <n v="3309"/>
    <n v="0.3"/>
    <n v="2316.3000000000002"/>
    <n v="1983.67"/>
    <n v="3"/>
    <n v="119"/>
    <n v="0.28999999999999998"/>
    <n v="6948.9000000000005"/>
    <n v="2102.67"/>
    <n v="6308.01"/>
    <n v="640.89000000000033"/>
    <x v="179"/>
    <n v="-0.19777101411734199"/>
    <x v="0"/>
    <x v="1"/>
  </r>
  <r>
    <x v="180"/>
    <d v="2024-06-28T00:00:00"/>
    <x v="3"/>
    <s v="APP-580"/>
    <x v="2"/>
    <s v="France"/>
    <x v="1"/>
    <s v="Vendor D"/>
    <n v="7921"/>
    <n v="0.21"/>
    <n v="6257.59"/>
    <n v="4451.91"/>
    <n v="3"/>
    <n v="103"/>
    <n v="0.41"/>
    <n v="18772.77"/>
    <n v="4554.91"/>
    <n v="13664.73"/>
    <n v="5108.0400000000009"/>
    <x v="180"/>
    <n v="-0.137901636252934"/>
    <x v="0"/>
    <x v="1"/>
  </r>
  <r>
    <x v="181"/>
    <d v="2024-04-22T00:00:00"/>
    <x v="2"/>
    <s v="B2B-297"/>
    <x v="2"/>
    <s v="UK"/>
    <x v="1"/>
    <s v="Vendor D"/>
    <n v="2860"/>
    <n v="0.28000000000000003"/>
    <n v="2059.1999999999998"/>
    <n v="1916.44"/>
    <n v="1"/>
    <n v="127"/>
    <n v="0.31"/>
    <n v="2059.1999999999998"/>
    <n v="2043.44"/>
    <n v="2043.44"/>
    <n v="15.759999999999764"/>
    <x v="181"/>
    <n v="-0.30234654234654201"/>
    <x v="0"/>
    <x v="1"/>
  </r>
  <r>
    <x v="182"/>
    <d v="2024-03-02T00:00:00"/>
    <x v="1"/>
    <s v="HOM-672"/>
    <x v="1"/>
    <s v="India"/>
    <x v="1"/>
    <s v="Vendor B"/>
    <n v="2221"/>
    <n v="0.17"/>
    <n v="1843.43"/>
    <n v="1380.49"/>
    <n v="1"/>
    <n v="153"/>
    <n v="0.31"/>
    <n v="1843.43"/>
    <n v="1533.49"/>
    <n v="1533.49"/>
    <n v="309.94000000000005"/>
    <x v="182"/>
    <n v="-0.141867768236385"/>
    <x v="0"/>
    <x v="0"/>
  </r>
  <r>
    <x v="183"/>
    <d v="2024-02-21T00:00:00"/>
    <x v="1"/>
    <s v="HOM-856"/>
    <x v="2"/>
    <s v="France"/>
    <x v="1"/>
    <s v="Vendor A"/>
    <n v="1935"/>
    <n v="0.3"/>
    <n v="1354.5"/>
    <n v="1029.27"/>
    <n v="3"/>
    <n v="90"/>
    <n v="0.33"/>
    <n v="4063.5"/>
    <n v="1119.27"/>
    <n v="3357.81"/>
    <n v="705.69"/>
    <x v="183"/>
    <n v="-0.15633444075304501"/>
    <x v="0"/>
    <x v="1"/>
  </r>
  <r>
    <x v="184"/>
    <d v="2024-01-12T00:00:00"/>
    <x v="1"/>
    <s v="HOM-360"/>
    <x v="1"/>
    <s v="Singapore"/>
    <x v="1"/>
    <s v="Vendor C"/>
    <n v="4726"/>
    <n v="0.3"/>
    <n v="3308.2"/>
    <n v="2390.5500000000002"/>
    <n v="1"/>
    <n v="58"/>
    <n v="0.36"/>
    <n v="3308.2"/>
    <n v="2448.5500000000002"/>
    <n v="2448.5500000000002"/>
    <n v="859.64999999999964"/>
    <x v="184"/>
    <n v="-0.100145698567197"/>
    <x v="0"/>
    <x v="1"/>
  </r>
  <r>
    <x v="185"/>
    <d v="2024-02-08T00:00:00"/>
    <x v="2"/>
    <s v="B2B-785"/>
    <x v="2"/>
    <s v="France"/>
    <x v="1"/>
    <s v="Vendor C"/>
    <n v="5155"/>
    <n v="0.32"/>
    <n v="3505.4"/>
    <n v="3526.35"/>
    <n v="2"/>
    <n v="109"/>
    <n v="0.28999999999999998"/>
    <n v="7010.8"/>
    <n v="3635.35"/>
    <n v="7270.7"/>
    <n v="-259.89999999999964"/>
    <x v="185"/>
    <n v="-0.32707137559194399"/>
    <x v="0"/>
    <x v="1"/>
  </r>
  <r>
    <x v="186"/>
    <d v="2024-05-09T00:00:00"/>
    <x v="2"/>
    <s v="B2B-262"/>
    <x v="0"/>
    <s v="USA"/>
    <x v="0"/>
    <s v="Vendor D"/>
    <n v="6918"/>
    <n v="7.0000000000000007E-2"/>
    <n v="6433.74"/>
    <n v="3231.51"/>
    <n v="2"/>
    <n v="167"/>
    <n v="0.32"/>
    <n v="12867.48"/>
    <n v="3398.51"/>
    <n v="6797.02"/>
    <n v="6070.4599999999991"/>
    <x v="186"/>
    <n v="0.15176758774833901"/>
    <x v="2"/>
    <x v="2"/>
  </r>
  <r>
    <x v="187"/>
    <d v="2024-05-10T00:00:00"/>
    <x v="3"/>
    <s v="APP-795"/>
    <x v="1"/>
    <s v="Singapore"/>
    <x v="1"/>
    <s v="Vendor D"/>
    <n v="3521"/>
    <n v="0.28000000000000003"/>
    <n v="2535.12"/>
    <n v="2059.5100000000002"/>
    <n v="1"/>
    <n v="79"/>
    <n v="0.36"/>
    <n v="2535.12"/>
    <n v="2138.5100000000002"/>
    <n v="2138.5100000000002"/>
    <n v="396.60999999999967"/>
    <x v="187"/>
    <n v="-0.20355375682413501"/>
    <x v="0"/>
    <x v="1"/>
  </r>
  <r>
    <x v="188"/>
    <d v="2024-04-22T00:00:00"/>
    <x v="3"/>
    <s v="APP-771"/>
    <x v="1"/>
    <s v="Singapore"/>
    <x v="0"/>
    <s v="Vendor A"/>
    <n v="7750"/>
    <n v="0.21"/>
    <n v="6122.5"/>
    <n v="4443.3"/>
    <n v="2"/>
    <n v="16"/>
    <n v="0.43"/>
    <n v="12245"/>
    <n v="4459.3"/>
    <n v="8918.6"/>
    <n v="3326.3999999999996"/>
    <x v="188"/>
    <n v="-0.158346263781135"/>
    <x v="0"/>
    <x v="1"/>
  </r>
  <r>
    <x v="189"/>
    <d v="2024-04-10T00:00:00"/>
    <x v="2"/>
    <s v="B2B-120"/>
    <x v="1"/>
    <s v="Singapore"/>
    <x v="1"/>
    <s v="Vendor C"/>
    <n v="1499"/>
    <n v="0.3"/>
    <n v="1049.3"/>
    <n v="1028.78"/>
    <n v="1"/>
    <n v="151"/>
    <n v="0.36"/>
    <n v="1049.3"/>
    <n v="1179.78"/>
    <n v="1179.78"/>
    <n v="-130.48000000000002"/>
    <x v="189"/>
    <n v="-0.48434956637758497"/>
    <x v="0"/>
    <x v="1"/>
  </r>
  <r>
    <x v="190"/>
    <d v="2024-04-22T00:00:00"/>
    <x v="1"/>
    <s v="HOM-260"/>
    <x v="2"/>
    <s v="Germany"/>
    <x v="0"/>
    <s v="Vendor A"/>
    <n v="7177"/>
    <n v="0.15"/>
    <n v="6100.45"/>
    <n v="3894.31"/>
    <n v="1"/>
    <n v="94"/>
    <n v="0.31"/>
    <n v="6100.45"/>
    <n v="3988.31"/>
    <n v="3988.31"/>
    <n v="2112.14"/>
    <x v="190"/>
    <n v="3.6226917686399997E-2"/>
    <x v="2"/>
    <x v="0"/>
  </r>
  <r>
    <x v="191"/>
    <d v="2024-03-21T00:00:00"/>
    <x v="2"/>
    <s v="B2B-127"/>
    <x v="2"/>
    <s v="Germany"/>
    <x v="1"/>
    <s v="Vendor A"/>
    <n v="6520"/>
    <n v="0.26"/>
    <n v="4824.8"/>
    <n v="4000.23"/>
    <n v="1"/>
    <n v="161"/>
    <n v="0.32"/>
    <n v="4824.8"/>
    <n v="4161.2299999999996"/>
    <n v="4161.2299999999996"/>
    <n v="663.57000000000062"/>
    <x v="191"/>
    <n v="-0.18246683800364799"/>
    <x v="0"/>
    <x v="1"/>
  </r>
  <r>
    <x v="192"/>
    <d v="2024-04-22T00:00:00"/>
    <x v="0"/>
    <s v="ELE-616"/>
    <x v="2"/>
    <s v="UK"/>
    <x v="0"/>
    <s v="Vendor A"/>
    <n v="4674"/>
    <n v="0.23"/>
    <n v="3598.98"/>
    <n v="2420.4"/>
    <n v="1"/>
    <n v="107"/>
    <n v="0.35"/>
    <n v="3598.98"/>
    <n v="2527.4"/>
    <n v="2527.4"/>
    <n v="1071.58"/>
    <x v="192"/>
    <n v="-5.2254527671729001E-2"/>
    <x v="0"/>
    <x v="1"/>
  </r>
  <r>
    <x v="193"/>
    <d v="2024-01-02T00:00:00"/>
    <x v="2"/>
    <s v="B2B-393"/>
    <x v="2"/>
    <s v="France"/>
    <x v="1"/>
    <s v="Vendor B"/>
    <n v="147"/>
    <n v="0.31"/>
    <n v="101.43"/>
    <n v="86.44"/>
    <n v="2"/>
    <n v="176"/>
    <n v="0.33"/>
    <n v="202.86"/>
    <n v="262.44"/>
    <n v="524.88"/>
    <n v="-322.02"/>
    <x v="193"/>
    <n v="-1.91740017746229"/>
    <x v="1"/>
    <x v="1"/>
  </r>
  <r>
    <x v="194"/>
    <d v="2024-05-09T00:00:00"/>
    <x v="1"/>
    <s v="HOM-977"/>
    <x v="1"/>
    <s v="Singapore"/>
    <x v="1"/>
    <s v="Vendor C"/>
    <n v="2658"/>
    <n v="0.11"/>
    <n v="2365.62"/>
    <n v="1402.32"/>
    <n v="2"/>
    <n v="29"/>
    <n v="0.34"/>
    <n v="4731.24"/>
    <n v="1431.32"/>
    <n v="2862.64"/>
    <n v="1868.6"/>
    <x v="194"/>
    <n v="5.4949315612820002E-2"/>
    <x v="2"/>
    <x v="0"/>
  </r>
  <r>
    <x v="195"/>
    <d v="2024-02-23T00:00:00"/>
    <x v="2"/>
    <s v="B2B-895"/>
    <x v="2"/>
    <s v="UK"/>
    <x v="1"/>
    <s v="Vendor C"/>
    <n v="1799"/>
    <n v="0.1"/>
    <n v="1619.1"/>
    <n v="947.44"/>
    <n v="1"/>
    <n v="134"/>
    <n v="0.38"/>
    <n v="1619.1"/>
    <n v="1081.44"/>
    <n v="1081.44"/>
    <n v="537.65999999999985"/>
    <x v="195"/>
    <n v="-4.792662590328E-2"/>
    <x v="0"/>
    <x v="0"/>
  </r>
  <r>
    <x v="196"/>
    <d v="2024-03-27T00:00:00"/>
    <x v="1"/>
    <s v="HOM-535"/>
    <x v="2"/>
    <s v="Germany"/>
    <x v="1"/>
    <s v="Vendor D"/>
    <n v="5423"/>
    <n v="0.15"/>
    <n v="4609.55"/>
    <n v="2899.84"/>
    <n v="3"/>
    <n v="51"/>
    <n v="0.3"/>
    <n v="13828.650000000001"/>
    <n v="2950.84"/>
    <n v="8852.52"/>
    <n v="4976.130000000001"/>
    <x v="196"/>
    <n v="5.9842067013048998E-2"/>
    <x v="2"/>
    <x v="0"/>
  </r>
  <r>
    <x v="197"/>
    <d v="2024-05-08T00:00:00"/>
    <x v="1"/>
    <s v="HOM-696"/>
    <x v="1"/>
    <s v="India"/>
    <x v="1"/>
    <s v="Vendor C"/>
    <n v="6902"/>
    <n v="0.34"/>
    <n v="4555.32"/>
    <n v="3527.82"/>
    <n v="1"/>
    <n v="83"/>
    <n v="0.38"/>
    <n v="4555.32"/>
    <n v="3610.82"/>
    <n v="3610.82"/>
    <n v="944.49999999999955"/>
    <x v="197"/>
    <n v="-0.172660010712749"/>
    <x v="0"/>
    <x v="1"/>
  </r>
  <r>
    <x v="198"/>
    <d v="2024-05-26T00:00:00"/>
    <x v="1"/>
    <s v="HOM-486"/>
    <x v="1"/>
    <s v="India"/>
    <x v="1"/>
    <s v="Vendor B"/>
    <n v="5273"/>
    <n v="0.21"/>
    <n v="4165.67"/>
    <n v="3080.91"/>
    <n v="2"/>
    <n v="21"/>
    <n v="0.33"/>
    <n v="8331.34"/>
    <n v="3101.91"/>
    <n v="6203.82"/>
    <n v="2127.5200000000004"/>
    <x v="198"/>
    <n v="-7.4636517054880003E-2"/>
    <x v="0"/>
    <x v="1"/>
  </r>
  <r>
    <x v="199"/>
    <d v="2024-05-05T00:00:00"/>
    <x v="1"/>
    <s v="HOM-787"/>
    <x v="0"/>
    <s v="USA"/>
    <x v="1"/>
    <s v="Vendor D"/>
    <n v="6679"/>
    <n v="0.09"/>
    <n v="6077.89"/>
    <n v="3410.33"/>
    <n v="1"/>
    <n v="17"/>
    <n v="0.4"/>
    <n v="6077.89"/>
    <n v="3427.33"/>
    <n v="3427.33"/>
    <n v="2650.5600000000004"/>
    <x v="199"/>
    <n v="3.6098711888501001E-2"/>
    <x v="2"/>
    <x v="2"/>
  </r>
  <r>
    <x v="200"/>
    <d v="2024-05-09T00:00:00"/>
    <x v="2"/>
    <s v="B2B-228"/>
    <x v="1"/>
    <s v="India"/>
    <x v="0"/>
    <s v="Vendor B"/>
    <n v="1831"/>
    <n v="0.31"/>
    <n v="1263.3900000000001"/>
    <n v="888.57"/>
    <n v="2"/>
    <n v="148"/>
    <n v="0.33"/>
    <n v="2526.7800000000002"/>
    <n v="1036.5700000000002"/>
    <n v="2073.1400000000003"/>
    <n v="453.63999999999987"/>
    <x v="200"/>
    <n v="-0.15046715582678399"/>
    <x v="0"/>
    <x v="1"/>
  </r>
  <r>
    <x v="201"/>
    <d v="2024-02-22T00:00:00"/>
    <x v="1"/>
    <s v="HOM-936"/>
    <x v="1"/>
    <s v="India"/>
    <x v="1"/>
    <s v="Vendor B"/>
    <n v="4414"/>
    <n v="0.15"/>
    <n v="3751.9"/>
    <n v="3306.63"/>
    <n v="3"/>
    <n v="68"/>
    <n v="0.3"/>
    <n v="11255.7"/>
    <n v="3374.63"/>
    <n v="10123.89"/>
    <n v="1131.8100000000013"/>
    <x v="201"/>
    <n v="-0.199445614222127"/>
    <x v="0"/>
    <x v="0"/>
  </r>
  <r>
    <x v="202"/>
    <d v="2024-06-20T00:00:00"/>
    <x v="0"/>
    <s v="ELE-585"/>
    <x v="0"/>
    <s v="USA"/>
    <x v="1"/>
    <s v="Vendor D"/>
    <n v="5075"/>
    <n v="0.11"/>
    <n v="4516.75"/>
    <n v="2860.82"/>
    <n v="1"/>
    <n v="198"/>
    <n v="0.33"/>
    <n v="4516.75"/>
    <n v="3058.82"/>
    <n v="3058.82"/>
    <n v="1457.9299999999998"/>
    <x v="202"/>
    <n v="-7.2170255161340098E-3"/>
    <x v="0"/>
    <x v="0"/>
  </r>
  <r>
    <x v="203"/>
    <d v="2024-06-08T00:00:00"/>
    <x v="1"/>
    <s v="HOM-376"/>
    <x v="2"/>
    <s v="France"/>
    <x v="0"/>
    <s v="Vendor A"/>
    <n v="5564"/>
    <n v="0.32"/>
    <n v="3783.52"/>
    <n v="3591.56"/>
    <n v="2"/>
    <n v="140"/>
    <n v="0.31"/>
    <n v="7567.04"/>
    <n v="3731.56"/>
    <n v="7463.12"/>
    <n v="103.92000000000007"/>
    <x v="203"/>
    <n v="-0.29626675688248"/>
    <x v="0"/>
    <x v="1"/>
  </r>
  <r>
    <x v="204"/>
    <d v="2024-06-08T00:00:00"/>
    <x v="0"/>
    <s v="ELE-275"/>
    <x v="2"/>
    <s v="France"/>
    <x v="1"/>
    <s v="Vendor D"/>
    <n v="2643"/>
    <n v="0.15"/>
    <n v="2246.5500000000002"/>
    <n v="1546.43"/>
    <n v="3"/>
    <n v="67"/>
    <n v="0.39"/>
    <n v="6739.6500000000005"/>
    <n v="1613.43"/>
    <n v="4840.29"/>
    <n v="1899.3600000000006"/>
    <x v="204"/>
    <n v="-0.108181211190492"/>
    <x v="0"/>
    <x v="0"/>
  </r>
  <r>
    <x v="205"/>
    <d v="2024-03-08T00:00:00"/>
    <x v="0"/>
    <s v="ELE-347"/>
    <x v="2"/>
    <s v="Germany"/>
    <x v="0"/>
    <s v="Vendor B"/>
    <n v="980"/>
    <n v="0.06"/>
    <n v="921.2"/>
    <n v="658.35"/>
    <n v="2"/>
    <n v="171"/>
    <n v="0.33"/>
    <n v="1842.4"/>
    <n v="829.35"/>
    <n v="1658.7"/>
    <n v="183.70000000000005"/>
    <x v="205"/>
    <n v="-0.23029309596178901"/>
    <x v="0"/>
    <x v="2"/>
  </r>
  <r>
    <x v="206"/>
    <d v="2024-05-02T00:00:00"/>
    <x v="3"/>
    <s v="APP-905"/>
    <x v="1"/>
    <s v="India"/>
    <x v="0"/>
    <s v="Vendor D"/>
    <n v="6194"/>
    <n v="0.3"/>
    <n v="4335.8"/>
    <n v="3306.25"/>
    <n v="2"/>
    <n v="76"/>
    <n v="0.37"/>
    <n v="8671.6"/>
    <n v="3382.25"/>
    <n v="6764.5"/>
    <n v="1907.1000000000004"/>
    <x v="206"/>
    <n v="-0.150075187969925"/>
    <x v="0"/>
    <x v="1"/>
  </r>
  <r>
    <x v="207"/>
    <d v="2024-05-24T00:00:00"/>
    <x v="0"/>
    <s v="ELE-863"/>
    <x v="1"/>
    <s v="India"/>
    <x v="1"/>
    <s v="Vendor A"/>
    <n v="998"/>
    <n v="0.25"/>
    <n v="748.5"/>
    <n v="730.03"/>
    <n v="3"/>
    <n v="154"/>
    <n v="0.42"/>
    <n v="2245.5"/>
    <n v="884.03"/>
    <n v="2652.09"/>
    <n v="-406.59000000000015"/>
    <x v="207"/>
    <n v="-0.60106880427521703"/>
    <x v="1"/>
    <x v="1"/>
  </r>
  <r>
    <x v="208"/>
    <d v="2024-02-07T00:00:00"/>
    <x v="3"/>
    <s v="APP-711"/>
    <x v="0"/>
    <s v="USA"/>
    <x v="0"/>
    <s v="Vendor B"/>
    <n v="7468"/>
    <n v="0.05"/>
    <n v="7094.6"/>
    <n v="3739.41"/>
    <n v="2"/>
    <n v="107"/>
    <n v="0.36"/>
    <n v="14189.2"/>
    <n v="3846.41"/>
    <n v="7692.82"/>
    <n v="6496.380000000001"/>
    <x v="208"/>
    <n v="9.7839765455417005E-2"/>
    <x v="2"/>
    <x v="2"/>
  </r>
  <r>
    <x v="209"/>
    <d v="2024-01-24T00:00:00"/>
    <x v="3"/>
    <s v="APP-826"/>
    <x v="0"/>
    <s v="Canada"/>
    <x v="1"/>
    <s v="Vendor B"/>
    <n v="6192"/>
    <n v="0.08"/>
    <n v="5696.64"/>
    <n v="3571.33"/>
    <n v="2"/>
    <n v="34"/>
    <n v="0.44"/>
    <n v="11393.28"/>
    <n v="3605.33"/>
    <n v="7210.66"/>
    <n v="4182.6200000000008"/>
    <x v="209"/>
    <n v="-7.2887105381418002E-2"/>
    <x v="0"/>
    <x v="2"/>
  </r>
  <r>
    <x v="210"/>
    <d v="2024-03-09T00:00:00"/>
    <x v="1"/>
    <s v="HOM-172"/>
    <x v="2"/>
    <s v="Germany"/>
    <x v="0"/>
    <s v="Vendor C"/>
    <n v="1499"/>
    <n v="0.26"/>
    <n v="1109.26"/>
    <n v="1052.06"/>
    <n v="3"/>
    <n v="182"/>
    <n v="0.39"/>
    <n v="3327.7799999999997"/>
    <n v="1234.06"/>
    <n v="3702.18"/>
    <n v="-374.40000000000009"/>
    <x v="210"/>
    <n v="-0.50250743739069303"/>
    <x v="1"/>
    <x v="1"/>
  </r>
  <r>
    <x v="211"/>
    <d v="2024-04-25T00:00:00"/>
    <x v="1"/>
    <s v="HOM-564"/>
    <x v="1"/>
    <s v="Singapore"/>
    <x v="1"/>
    <s v="Vendor C"/>
    <n v="3040"/>
    <n v="0.18"/>
    <n v="2492.8000000000002"/>
    <n v="1567.22"/>
    <n v="1"/>
    <n v="190"/>
    <n v="0.28999999999999998"/>
    <n v="2492.8000000000002"/>
    <n v="1757.22"/>
    <n v="1757.22"/>
    <n v="735.58000000000015"/>
    <x v="211"/>
    <n v="5.0818356867779997E-3"/>
    <x v="2"/>
    <x v="0"/>
  </r>
  <r>
    <x v="212"/>
    <d v="2024-04-07T00:00:00"/>
    <x v="2"/>
    <s v="B2B-807"/>
    <x v="2"/>
    <s v="Germany"/>
    <x v="1"/>
    <s v="Vendor D"/>
    <n v="6282"/>
    <n v="0.3"/>
    <n v="4397.3999999999996"/>
    <n v="2966.81"/>
    <n v="2"/>
    <n v="196"/>
    <n v="0.41"/>
    <n v="8794.7999999999993"/>
    <n v="3162.81"/>
    <n v="6325.62"/>
    <n v="2469.1799999999994"/>
    <x v="212"/>
    <n v="-0.12924546322827099"/>
    <x v="0"/>
    <x v="1"/>
  </r>
  <r>
    <x v="213"/>
    <d v="2024-05-18T00:00:00"/>
    <x v="2"/>
    <s v="B2B-576"/>
    <x v="1"/>
    <s v="Singapore"/>
    <x v="0"/>
    <s v="Vendor A"/>
    <n v="7854"/>
    <n v="0.23"/>
    <n v="6047.58"/>
    <n v="5636.74"/>
    <n v="3"/>
    <n v="136"/>
    <n v="0.28999999999999998"/>
    <n v="18142.739999999998"/>
    <n v="5772.74"/>
    <n v="17318.22"/>
    <n v="824.5199999999968"/>
    <x v="213"/>
    <n v="-0.24455372231537301"/>
    <x v="0"/>
    <x v="1"/>
  </r>
  <r>
    <x v="214"/>
    <d v="2024-05-23T00:00:00"/>
    <x v="2"/>
    <s v="B2B-968"/>
    <x v="2"/>
    <s v="Germany"/>
    <x v="1"/>
    <s v="Vendor C"/>
    <n v="828"/>
    <n v="0.35"/>
    <n v="538.20000000000005"/>
    <n v="585.15"/>
    <n v="1"/>
    <n v="158"/>
    <n v="0.32"/>
    <n v="538.20000000000005"/>
    <n v="743.15"/>
    <n v="743.15"/>
    <n v="-204.94999999999993"/>
    <x v="214"/>
    <n v="-0.70080639167595704"/>
    <x v="1"/>
    <x v="1"/>
  </r>
  <r>
    <x v="215"/>
    <d v="2024-04-06T00:00:00"/>
    <x v="0"/>
    <s v="ELE-523"/>
    <x v="1"/>
    <s v="Singapore"/>
    <x v="0"/>
    <s v="Vendor A"/>
    <n v="3566"/>
    <n v="0.06"/>
    <n v="3352.04"/>
    <n v="2533.88"/>
    <n v="1"/>
    <n v="74"/>
    <n v="0.4"/>
    <n v="3352.04"/>
    <n v="2607.88"/>
    <n v="2607.88"/>
    <n v="744.15999999999985"/>
    <x v="215"/>
    <n v="-0.177997875920335"/>
    <x v="0"/>
    <x v="2"/>
  </r>
  <r>
    <x v="216"/>
    <d v="2024-05-03T00:00:00"/>
    <x v="1"/>
    <s v="HOM-604"/>
    <x v="2"/>
    <s v="France"/>
    <x v="1"/>
    <s v="Vendor C"/>
    <n v="2123"/>
    <n v="0.1"/>
    <n v="1910.7"/>
    <n v="1063.99"/>
    <n v="3"/>
    <n v="30"/>
    <n v="0.36"/>
    <n v="5732.1"/>
    <n v="1093.99"/>
    <n v="3281.9700000000003"/>
    <n v="2450.13"/>
    <x v="216"/>
    <n v="6.7440205160412006E-2"/>
    <x v="2"/>
    <x v="0"/>
  </r>
  <r>
    <x v="217"/>
    <d v="2024-03-10T00:00:00"/>
    <x v="2"/>
    <s v="B2B-261"/>
    <x v="0"/>
    <s v="USA"/>
    <x v="0"/>
    <s v="Vendor D"/>
    <n v="6733"/>
    <n v="0.12"/>
    <n v="5925.04"/>
    <n v="4619.01"/>
    <n v="2"/>
    <n v="76"/>
    <n v="0.32"/>
    <n v="11850.08"/>
    <n v="4695.01"/>
    <n v="9390.02"/>
    <n v="2460.0599999999995"/>
    <x v="217"/>
    <n v="-0.112401401509526"/>
    <x v="0"/>
    <x v="0"/>
  </r>
  <r>
    <x v="218"/>
    <d v="2024-04-02T00:00:00"/>
    <x v="0"/>
    <s v="ELE-829"/>
    <x v="1"/>
    <s v="India"/>
    <x v="1"/>
    <s v="Vendor C"/>
    <n v="4055"/>
    <n v="7.0000000000000007E-2"/>
    <n v="3771.15"/>
    <n v="2134.2199999999998"/>
    <n v="1"/>
    <n v="154"/>
    <n v="0.36"/>
    <n v="3771.15"/>
    <n v="2288.2199999999998"/>
    <n v="2288.2199999999998"/>
    <n v="1482.9300000000003"/>
    <x v="218"/>
    <n v="3.3230181774790001E-2"/>
    <x v="2"/>
    <x v="2"/>
  </r>
  <r>
    <x v="219"/>
    <d v="2024-01-03T00:00:00"/>
    <x v="1"/>
    <s v="HOM-848"/>
    <x v="1"/>
    <s v="Singapore"/>
    <x v="1"/>
    <s v="Vendor A"/>
    <n v="4586"/>
    <n v="0.15"/>
    <n v="3898.1"/>
    <n v="2726.89"/>
    <n v="2"/>
    <n v="177"/>
    <n v="0.38"/>
    <n v="7796.2"/>
    <n v="2903.89"/>
    <n v="5807.78"/>
    <n v="1988.42"/>
    <x v="219"/>
    <n v="-0.12495010389677"/>
    <x v="0"/>
    <x v="0"/>
  </r>
  <r>
    <x v="220"/>
    <d v="2024-05-27T00:00:00"/>
    <x v="0"/>
    <s v="ELE-440"/>
    <x v="0"/>
    <s v="USA"/>
    <x v="1"/>
    <s v="Vendor B"/>
    <n v="5026"/>
    <n v="0.12"/>
    <n v="4422.88"/>
    <n v="2317.0700000000002"/>
    <n v="1"/>
    <n v="133"/>
    <n v="0.34"/>
    <n v="4422.88"/>
    <n v="2450.0700000000002"/>
    <n v="2450.0700000000002"/>
    <n v="1972.81"/>
    <x v="220"/>
    <n v="0.10604646746011601"/>
    <x v="2"/>
    <x v="0"/>
  </r>
  <r>
    <x v="221"/>
    <d v="2024-06-12T00:00:00"/>
    <x v="2"/>
    <s v="B2B-888"/>
    <x v="0"/>
    <s v="USA"/>
    <x v="1"/>
    <s v="Vendor C"/>
    <n v="2479"/>
    <n v="0.13"/>
    <n v="2156.73"/>
    <n v="1722.92"/>
    <n v="1"/>
    <n v="58"/>
    <n v="0.42"/>
    <n v="2156.73"/>
    <n v="1780.92"/>
    <n v="1780.92"/>
    <n v="375.80999999999995"/>
    <x v="221"/>
    <n v="-0.245750093892142"/>
    <x v="0"/>
    <x v="0"/>
  </r>
  <r>
    <x v="222"/>
    <d v="2024-05-26T00:00:00"/>
    <x v="1"/>
    <s v="HOM-656"/>
    <x v="1"/>
    <s v="India"/>
    <x v="1"/>
    <s v="Vendor C"/>
    <n v="4542"/>
    <n v="0.25"/>
    <n v="3406.5"/>
    <n v="2105.02"/>
    <n v="1"/>
    <n v="148"/>
    <n v="0.44"/>
    <n v="3406.5"/>
    <n v="2253.02"/>
    <n v="2253.02"/>
    <n v="1153.48"/>
    <x v="222"/>
    <n v="-0.101388521943344"/>
    <x v="0"/>
    <x v="1"/>
  </r>
  <r>
    <x v="223"/>
    <d v="2024-03-30T00:00:00"/>
    <x v="2"/>
    <s v="B2B-202"/>
    <x v="0"/>
    <s v="Canada"/>
    <x v="0"/>
    <s v="Vendor D"/>
    <n v="4601"/>
    <n v="0.25"/>
    <n v="3450.75"/>
    <n v="2426.81"/>
    <n v="1"/>
    <n v="198"/>
    <n v="0.42"/>
    <n v="3450.75"/>
    <n v="2624.81"/>
    <n v="2624.81"/>
    <n v="825.94"/>
    <x v="223"/>
    <n v="-0.18064913424617801"/>
    <x v="0"/>
    <x v="1"/>
  </r>
  <r>
    <x v="224"/>
    <d v="2024-05-26T00:00:00"/>
    <x v="2"/>
    <s v="B2B-757"/>
    <x v="2"/>
    <s v="Germany"/>
    <x v="0"/>
    <s v="Vendor B"/>
    <n v="5512"/>
    <n v="0.27"/>
    <n v="4023.76"/>
    <n v="3852.21"/>
    <n v="3"/>
    <n v="186"/>
    <n v="0.43"/>
    <n v="12071.28"/>
    <n v="4038.21"/>
    <n v="12114.630000000001"/>
    <n v="-43.350000000000364"/>
    <x v="224"/>
    <n v="-0.43359116845935203"/>
    <x v="0"/>
    <x v="1"/>
  </r>
  <r>
    <x v="225"/>
    <d v="2024-05-27T00:00:00"/>
    <x v="0"/>
    <s v="ELE-477"/>
    <x v="2"/>
    <s v="France"/>
    <x v="1"/>
    <s v="Vendor B"/>
    <n v="6678"/>
    <n v="0.09"/>
    <n v="6076.98"/>
    <n v="3844.42"/>
    <n v="1"/>
    <n v="93"/>
    <n v="0.28999999999999998"/>
    <n v="6076.98"/>
    <n v="3937.42"/>
    <n v="3937.42"/>
    <n v="2139.5599999999995"/>
    <x v="225"/>
    <n v="6.2076195741963998E-2"/>
    <x v="2"/>
    <x v="2"/>
  </r>
  <r>
    <x v="226"/>
    <d v="2024-04-05T00:00:00"/>
    <x v="0"/>
    <s v="ELE-309"/>
    <x v="1"/>
    <s v="India"/>
    <x v="0"/>
    <s v="Vendor C"/>
    <n v="3918"/>
    <n v="0.25"/>
    <n v="2938.5"/>
    <n v="2188.5"/>
    <n v="1"/>
    <n v="84"/>
    <n v="0.28000000000000003"/>
    <n v="2938.5"/>
    <n v="2272.5"/>
    <n v="2272.5"/>
    <n v="666"/>
    <x v="226"/>
    <n v="-5.3353751914241999E-2"/>
    <x v="0"/>
    <x v="1"/>
  </r>
  <r>
    <x v="227"/>
    <d v="2024-02-21T00:00:00"/>
    <x v="0"/>
    <s v="ELE-449"/>
    <x v="1"/>
    <s v="Singapore"/>
    <x v="0"/>
    <s v="Vendor D"/>
    <n v="820"/>
    <n v="0.27"/>
    <n v="598.6"/>
    <n v="398.66"/>
    <n v="1"/>
    <n v="11"/>
    <n v="0.28999999999999998"/>
    <n v="598.6"/>
    <n v="409.66"/>
    <n v="409.66"/>
    <n v="188.94"/>
    <x v="227"/>
    <n v="2.5636485131975001E-2"/>
    <x v="2"/>
    <x v="1"/>
  </r>
  <r>
    <x v="228"/>
    <d v="2024-06-09T00:00:00"/>
    <x v="0"/>
    <s v="ELE-226"/>
    <x v="2"/>
    <s v="Germany"/>
    <x v="1"/>
    <s v="Vendor C"/>
    <n v="2332"/>
    <n v="0.2"/>
    <n v="1865.6"/>
    <n v="1453.21"/>
    <n v="1"/>
    <n v="110"/>
    <n v="0.42"/>
    <n v="1865.6"/>
    <n v="1563.21"/>
    <n v="1563.21"/>
    <n v="302.38999999999987"/>
    <x v="228"/>
    <n v="-0.257912735849057"/>
    <x v="0"/>
    <x v="1"/>
  </r>
  <r>
    <x v="229"/>
    <d v="2024-06-16T00:00:00"/>
    <x v="1"/>
    <s v="HOM-172"/>
    <x v="1"/>
    <s v="India"/>
    <x v="0"/>
    <s v="Vendor B"/>
    <n v="1869"/>
    <n v="0.17"/>
    <n v="1551.27"/>
    <n v="1318.68"/>
    <n v="3"/>
    <n v="173"/>
    <n v="0.28999999999999998"/>
    <n v="4653.8099999999995"/>
    <n v="1491.68"/>
    <n v="4475.04"/>
    <n v="178.76999999999953"/>
    <x v="229"/>
    <n v="-0.25158631314987101"/>
    <x v="0"/>
    <x v="0"/>
  </r>
  <r>
    <x v="230"/>
    <d v="2024-05-07T00:00:00"/>
    <x v="3"/>
    <s v="APP-122"/>
    <x v="0"/>
    <s v="Canada"/>
    <x v="1"/>
    <s v="Vendor D"/>
    <n v="1939"/>
    <n v="0.17"/>
    <n v="1609.37"/>
    <n v="1134.3900000000001"/>
    <n v="3"/>
    <n v="181"/>
    <n v="0.41"/>
    <n v="4828.1099999999997"/>
    <n v="1315.39"/>
    <n v="3946.17"/>
    <n v="881.9399999999996"/>
    <x v="230"/>
    <n v="-0.227332248022518"/>
    <x v="0"/>
    <x v="0"/>
  </r>
  <r>
    <x v="231"/>
    <d v="2024-02-08T00:00:00"/>
    <x v="2"/>
    <s v="B2B-106"/>
    <x v="1"/>
    <s v="Singapore"/>
    <x v="1"/>
    <s v="Vendor A"/>
    <n v="1191"/>
    <n v="0.26"/>
    <n v="881.34"/>
    <n v="781.92"/>
    <n v="2"/>
    <n v="176"/>
    <n v="0.31"/>
    <n v="1762.68"/>
    <n v="957.92"/>
    <n v="1915.84"/>
    <n v="-153.15999999999985"/>
    <x v="231"/>
    <n v="-0.39689041686522802"/>
    <x v="0"/>
    <x v="1"/>
  </r>
  <r>
    <x v="232"/>
    <d v="2024-03-22T00:00:00"/>
    <x v="0"/>
    <s v="ELE-574"/>
    <x v="0"/>
    <s v="Canada"/>
    <x v="1"/>
    <s v="Vendor D"/>
    <n v="5956"/>
    <n v="0.06"/>
    <n v="5598.64"/>
    <n v="3834.16"/>
    <n v="3"/>
    <n v="172"/>
    <n v="0.35"/>
    <n v="16795.920000000002"/>
    <n v="4006.16"/>
    <n v="12018.48"/>
    <n v="4777.4400000000023"/>
    <x v="232"/>
    <n v="-6.5559493019733003E-2"/>
    <x v="0"/>
    <x v="2"/>
  </r>
  <r>
    <x v="233"/>
    <d v="2024-04-13T00:00:00"/>
    <x v="0"/>
    <s v="ELE-487"/>
    <x v="2"/>
    <s v="UK"/>
    <x v="1"/>
    <s v="Vendor D"/>
    <n v="6518"/>
    <n v="0.21"/>
    <n v="5149.22"/>
    <n v="4579.01"/>
    <n v="2"/>
    <n v="193"/>
    <n v="0.36"/>
    <n v="10298.44"/>
    <n v="4772.01"/>
    <n v="9544.02"/>
    <n v="754.42000000000007"/>
    <x v="233"/>
    <n v="-0.28674424475940002"/>
    <x v="0"/>
    <x v="1"/>
  </r>
  <r>
    <x v="234"/>
    <d v="2024-05-08T00:00:00"/>
    <x v="3"/>
    <s v="APP-462"/>
    <x v="0"/>
    <s v="USA"/>
    <x v="1"/>
    <s v="Vendor D"/>
    <n v="3465"/>
    <n v="0.2"/>
    <n v="2772"/>
    <n v="2561.35"/>
    <n v="2"/>
    <n v="13"/>
    <n v="0.28999999999999998"/>
    <n v="5544"/>
    <n v="2574.35"/>
    <n v="5148.7"/>
    <n v="395.30000000000018"/>
    <x v="234"/>
    <n v="-0.218697691197691"/>
    <x v="0"/>
    <x v="1"/>
  </r>
  <r>
    <x v="235"/>
    <d v="2024-01-11T00:00:00"/>
    <x v="1"/>
    <s v="HOM-223"/>
    <x v="1"/>
    <s v="Singapore"/>
    <x v="1"/>
    <s v="Vendor C"/>
    <n v="6318"/>
    <n v="0.19"/>
    <n v="5117.58"/>
    <n v="3391.33"/>
    <n v="1"/>
    <n v="131"/>
    <n v="0.34"/>
    <n v="5117.58"/>
    <n v="3522.33"/>
    <n v="3522.33"/>
    <n v="1595.25"/>
    <x v="235"/>
    <n v="-2.8280398156941E-2"/>
    <x v="0"/>
    <x v="0"/>
  </r>
  <r>
    <x v="236"/>
    <d v="2024-06-26T00:00:00"/>
    <x v="1"/>
    <s v="HOM-208"/>
    <x v="0"/>
    <s v="USA"/>
    <x v="1"/>
    <s v="Vendor B"/>
    <n v="6189"/>
    <n v="0.21"/>
    <n v="4889.3100000000004"/>
    <n v="2948.81"/>
    <n v="3"/>
    <n v="68"/>
    <n v="0.31"/>
    <n v="14667.93"/>
    <n v="3016.81"/>
    <n v="9050.43"/>
    <n v="5617.5"/>
    <x v="236"/>
    <n v="7.2978375271765997E-2"/>
    <x v="2"/>
    <x v="1"/>
  </r>
  <r>
    <x v="237"/>
    <d v="2024-05-30T00:00:00"/>
    <x v="0"/>
    <s v="ELE-453"/>
    <x v="2"/>
    <s v="Germany"/>
    <x v="1"/>
    <s v="Vendor A"/>
    <n v="2771"/>
    <n v="0.1"/>
    <n v="2493.9"/>
    <n v="1452.2"/>
    <n v="3"/>
    <n v="96"/>
    <n v="0.34"/>
    <n v="7481.7000000000007"/>
    <n v="1548.2"/>
    <n v="4644.6000000000004"/>
    <n v="2837.1000000000004"/>
    <x v="237"/>
    <n v="3.9205260836440999E-2"/>
    <x v="2"/>
    <x v="0"/>
  </r>
  <r>
    <x v="238"/>
    <d v="2024-06-07T00:00:00"/>
    <x v="3"/>
    <s v="APP-379"/>
    <x v="0"/>
    <s v="USA"/>
    <x v="1"/>
    <s v="Vendor B"/>
    <n v="432"/>
    <n v="0.13"/>
    <n v="375.84"/>
    <n v="319.64999999999998"/>
    <n v="3"/>
    <n v="112"/>
    <n v="0.31"/>
    <n v="1127.52"/>
    <n v="431.65"/>
    <n v="1294.9499999999998"/>
    <n v="-167.42999999999984"/>
    <x v="238"/>
    <n v="-0.45849404001702798"/>
    <x v="0"/>
    <x v="0"/>
  </r>
  <r>
    <x v="239"/>
    <d v="2024-02-11T00:00:00"/>
    <x v="0"/>
    <s v="ELE-861"/>
    <x v="0"/>
    <s v="USA"/>
    <x v="0"/>
    <s v="Vendor C"/>
    <n v="5141"/>
    <n v="0.17"/>
    <n v="4267.03"/>
    <n v="3846.26"/>
    <n v="2"/>
    <n v="91"/>
    <n v="0.38"/>
    <n v="8534.06"/>
    <n v="3937.26"/>
    <n v="7874.52"/>
    <n v="659.53999999999905"/>
    <x v="239"/>
    <n v="-0.302716737402831"/>
    <x v="0"/>
    <x v="0"/>
  </r>
  <r>
    <x v="240"/>
    <d v="2024-04-08T00:00:00"/>
    <x v="1"/>
    <s v="HOM-216"/>
    <x v="1"/>
    <s v="India"/>
    <x v="1"/>
    <s v="Vendor D"/>
    <n v="6710"/>
    <n v="0.19"/>
    <n v="5435.1"/>
    <n v="4112.6099999999997"/>
    <n v="3"/>
    <n v="156"/>
    <n v="0.44"/>
    <n v="16305.300000000001"/>
    <n v="4268.6099999999997"/>
    <n v="12805.829999999998"/>
    <n v="3499.470000000003"/>
    <x v="240"/>
    <n v="-0.225378373902964"/>
    <x v="0"/>
    <x v="0"/>
  </r>
  <r>
    <x v="241"/>
    <d v="2024-01-07T00:00:00"/>
    <x v="3"/>
    <s v="APP-657"/>
    <x v="2"/>
    <s v="UK"/>
    <x v="1"/>
    <s v="Vendor D"/>
    <n v="2343"/>
    <n v="0.09"/>
    <n v="2132.13"/>
    <n v="1610"/>
    <n v="1"/>
    <n v="14"/>
    <n v="0.4"/>
    <n v="2132.13"/>
    <n v="1624"/>
    <n v="1624"/>
    <n v="508.13000000000011"/>
    <x v="241"/>
    <n v="-0.161679634919072"/>
    <x v="0"/>
    <x v="2"/>
  </r>
  <r>
    <x v="242"/>
    <d v="2024-05-23T00:00:00"/>
    <x v="0"/>
    <s v="ELE-327"/>
    <x v="2"/>
    <s v="France"/>
    <x v="0"/>
    <s v="Vendor B"/>
    <n v="7521"/>
    <n v="0.08"/>
    <n v="6919.32"/>
    <n v="5087.1000000000004"/>
    <n v="3"/>
    <n v="79"/>
    <n v="0.33"/>
    <n v="20757.96"/>
    <n v="5166.1000000000004"/>
    <n v="15498.300000000001"/>
    <n v="5259.659999999998"/>
    <x v="242"/>
    <n v="-7.6619610019482004E-2"/>
    <x v="0"/>
    <x v="2"/>
  </r>
  <r>
    <x v="243"/>
    <d v="2024-03-30T00:00:00"/>
    <x v="0"/>
    <s v="ELE-181"/>
    <x v="2"/>
    <s v="UK"/>
    <x v="1"/>
    <s v="Vendor C"/>
    <n v="4544"/>
    <n v="0.23"/>
    <n v="3498.88"/>
    <n v="3297.22"/>
    <n v="1"/>
    <n v="188"/>
    <n v="0.45"/>
    <n v="3498.88"/>
    <n v="3485.22"/>
    <n v="3485.22"/>
    <n v="13.660000000000309"/>
    <x v="243"/>
    <n v="-0.44609589354307699"/>
    <x v="0"/>
    <x v="1"/>
  </r>
  <r>
    <x v="244"/>
    <d v="2024-04-21T00:00:00"/>
    <x v="1"/>
    <s v="HOM-980"/>
    <x v="1"/>
    <s v="India"/>
    <x v="1"/>
    <s v="Vendor C"/>
    <n v="414"/>
    <n v="0.19"/>
    <n v="335.34"/>
    <n v="310.02"/>
    <n v="1"/>
    <n v="81"/>
    <n v="0.35"/>
    <n v="335.34"/>
    <n v="391.02"/>
    <n v="391.02"/>
    <n v="-55.680000000000007"/>
    <x v="244"/>
    <n v="-0.51604043657183796"/>
    <x v="1"/>
    <x v="0"/>
  </r>
  <r>
    <x v="245"/>
    <d v="2024-02-29T00:00:00"/>
    <x v="2"/>
    <s v="B2B-213"/>
    <x v="0"/>
    <s v="Canada"/>
    <x v="1"/>
    <s v="Vendor B"/>
    <n v="5492"/>
    <n v="0.18"/>
    <n v="4503.4399999999996"/>
    <n v="3312.39"/>
    <n v="3"/>
    <n v="198"/>
    <n v="0.4"/>
    <n v="13510.32"/>
    <n v="3510.39"/>
    <n v="10531.17"/>
    <n v="2979.1499999999996"/>
    <x v="245"/>
    <n v="-0.17949078926331899"/>
    <x v="0"/>
    <x v="0"/>
  </r>
  <r>
    <x v="246"/>
    <d v="2024-04-22T00:00:00"/>
    <x v="3"/>
    <s v="APP-156"/>
    <x v="2"/>
    <s v="Germany"/>
    <x v="0"/>
    <s v="Vendor B"/>
    <n v="3003"/>
    <n v="0.09"/>
    <n v="2732.73"/>
    <n v="1621.08"/>
    <n v="3"/>
    <n v="178"/>
    <n v="0.32"/>
    <n v="8198.19"/>
    <n v="1799.08"/>
    <n v="5397.24"/>
    <n v="2800.9500000000007"/>
    <x v="246"/>
    <n v="2.1654682314023E-2"/>
    <x v="2"/>
    <x v="2"/>
  </r>
  <r>
    <x v="247"/>
    <d v="2024-01-02T00:00:00"/>
    <x v="1"/>
    <s v="HOM-124"/>
    <x v="2"/>
    <s v="UK"/>
    <x v="0"/>
    <s v="Vendor D"/>
    <n v="2891"/>
    <n v="0.3"/>
    <n v="2023.7"/>
    <n v="1556.47"/>
    <n v="3"/>
    <n v="144"/>
    <n v="0.41"/>
    <n v="6071.1"/>
    <n v="1700.47"/>
    <n v="5101.41"/>
    <n v="969.69000000000051"/>
    <x v="247"/>
    <n v="-0.25027770914661301"/>
    <x v="0"/>
    <x v="1"/>
  </r>
  <r>
    <x v="248"/>
    <d v="2024-05-08T00:00:00"/>
    <x v="1"/>
    <s v="HOM-293"/>
    <x v="0"/>
    <s v="USA"/>
    <x v="1"/>
    <s v="Vendor D"/>
    <n v="4793"/>
    <n v="0.28000000000000003"/>
    <n v="3450.96"/>
    <n v="3103.77"/>
    <n v="1"/>
    <n v="136"/>
    <n v="0.42"/>
    <n v="3450.96"/>
    <n v="3239.77"/>
    <n v="3239.77"/>
    <n v="211.19000000000005"/>
    <x v="248"/>
    <n v="-0.35880253610589502"/>
    <x v="0"/>
    <x v="1"/>
  </r>
  <r>
    <x v="249"/>
    <d v="2024-02-17T00:00:00"/>
    <x v="1"/>
    <s v="HOM-287"/>
    <x v="1"/>
    <s v="Singapore"/>
    <x v="1"/>
    <s v="Vendor B"/>
    <n v="7601"/>
    <n v="0.26"/>
    <n v="5624.74"/>
    <n v="3476.31"/>
    <n v="3"/>
    <n v="84"/>
    <n v="0.37"/>
    <n v="16874.22"/>
    <n v="3560.31"/>
    <n v="10680.93"/>
    <n v="6193.2900000000009"/>
    <x v="249"/>
    <n v="-2.97325743056598E-3"/>
    <x v="0"/>
    <x v="1"/>
  </r>
  <r>
    <x v="250"/>
    <d v="2024-05-19T00:00:00"/>
    <x v="2"/>
    <s v="B2B-845"/>
    <x v="0"/>
    <s v="USA"/>
    <x v="1"/>
    <s v="Vendor A"/>
    <n v="2180"/>
    <n v="0.21"/>
    <n v="1722.2"/>
    <n v="1176.92"/>
    <n v="1"/>
    <n v="177"/>
    <n v="0.37"/>
    <n v="1722.2"/>
    <n v="1353.92"/>
    <n v="1353.92"/>
    <n v="368.28"/>
    <x v="250"/>
    <n v="-0.15615724073859"/>
    <x v="0"/>
    <x v="1"/>
  </r>
  <r>
    <x v="251"/>
    <d v="2024-02-06T00:00:00"/>
    <x v="3"/>
    <s v="APP-993"/>
    <x v="2"/>
    <s v="France"/>
    <x v="0"/>
    <s v="Vendor D"/>
    <n v="2208"/>
    <n v="0.11"/>
    <n v="1965.12"/>
    <n v="1565.52"/>
    <n v="3"/>
    <n v="145"/>
    <n v="0.44"/>
    <n v="5895.36"/>
    <n v="1710.52"/>
    <n v="5131.5599999999995"/>
    <n v="763.80000000000018"/>
    <x v="251"/>
    <n v="-0.31044048200618801"/>
    <x v="0"/>
    <x v="0"/>
  </r>
  <r>
    <x v="252"/>
    <d v="2024-06-08T00:00:00"/>
    <x v="3"/>
    <s v="APP-152"/>
    <x v="1"/>
    <s v="India"/>
    <x v="1"/>
    <s v="Vendor A"/>
    <n v="3928"/>
    <n v="0.12"/>
    <n v="3456.64"/>
    <n v="2522.34"/>
    <n v="1"/>
    <n v="190"/>
    <n v="0.38"/>
    <n v="3456.64"/>
    <n v="2712.34"/>
    <n v="2712.34"/>
    <n v="744.29999999999973"/>
    <x v="252"/>
    <n v="-0.164675291612664"/>
    <x v="0"/>
    <x v="0"/>
  </r>
  <r>
    <x v="253"/>
    <d v="2024-01-09T00:00:00"/>
    <x v="0"/>
    <s v="ELE-259"/>
    <x v="1"/>
    <s v="India"/>
    <x v="1"/>
    <s v="Vendor A"/>
    <n v="232"/>
    <n v="0.2"/>
    <n v="185.6"/>
    <n v="135.66999999999999"/>
    <n v="2"/>
    <n v="19"/>
    <n v="0.28999999999999998"/>
    <n v="371.2"/>
    <n v="154.66999999999999"/>
    <n v="309.33999999999997"/>
    <n v="61.860000000000014"/>
    <x v="253"/>
    <n v="-0.123351293103448"/>
    <x v="0"/>
    <x v="1"/>
  </r>
  <r>
    <x v="254"/>
    <d v="2024-04-08T00:00:00"/>
    <x v="3"/>
    <s v="APP-875"/>
    <x v="2"/>
    <s v="France"/>
    <x v="0"/>
    <s v="Vendor D"/>
    <n v="102"/>
    <n v="0.28999999999999998"/>
    <n v="72.42"/>
    <n v="62.81"/>
    <n v="1"/>
    <n v="13"/>
    <n v="0.44"/>
    <n v="72.42"/>
    <n v="75.81"/>
    <n v="75.81"/>
    <n v="-3.3900000000000006"/>
    <x v="254"/>
    <n v="-0.486810273405137"/>
    <x v="0"/>
    <x v="1"/>
  </r>
  <r>
    <x v="255"/>
    <d v="2024-05-26T00:00:00"/>
    <x v="1"/>
    <s v="HOM-340"/>
    <x v="2"/>
    <s v="UK"/>
    <x v="1"/>
    <s v="Vendor B"/>
    <n v="7977"/>
    <n v="0.24"/>
    <n v="6062.52"/>
    <n v="3719.67"/>
    <n v="3"/>
    <n v="58"/>
    <n v="0.3"/>
    <n v="18187.560000000001"/>
    <n v="3777.67"/>
    <n v="11333.01"/>
    <n v="6854.5500000000011"/>
    <x v="255"/>
    <n v="7.6881230907279996E-2"/>
    <x v="2"/>
    <x v="1"/>
  </r>
  <r>
    <x v="256"/>
    <d v="2024-02-17T00:00:00"/>
    <x v="3"/>
    <s v="APP-988"/>
    <x v="2"/>
    <s v="Germany"/>
    <x v="0"/>
    <s v="Vendor B"/>
    <n v="2391"/>
    <n v="0.32"/>
    <n v="1625.88"/>
    <n v="1494.33"/>
    <n v="1"/>
    <n v="17"/>
    <n v="0.34"/>
    <n v="1625.88"/>
    <n v="1511.33"/>
    <n v="1511.33"/>
    <n v="114.55000000000018"/>
    <x v="256"/>
    <n v="-0.26954584594189002"/>
    <x v="0"/>
    <x v="1"/>
  </r>
  <r>
    <x v="257"/>
    <d v="2024-05-10T00:00:00"/>
    <x v="1"/>
    <s v="HOM-240"/>
    <x v="0"/>
    <s v="Canada"/>
    <x v="0"/>
    <s v="Vendor C"/>
    <n v="7876"/>
    <n v="0.22"/>
    <n v="6143.28"/>
    <n v="5591.68"/>
    <n v="2"/>
    <n v="109"/>
    <n v="0.43"/>
    <n v="12286.56"/>
    <n v="5700.68"/>
    <n v="11401.36"/>
    <n v="885.19999999999891"/>
    <x v="257"/>
    <n v="-0.357953796668881"/>
    <x v="0"/>
    <x v="1"/>
  </r>
  <r>
    <x v="258"/>
    <d v="2024-05-27T00:00:00"/>
    <x v="3"/>
    <s v="APP-828"/>
    <x v="1"/>
    <s v="India"/>
    <x v="1"/>
    <s v="Vendor D"/>
    <n v="6884"/>
    <n v="0.08"/>
    <n v="6333.28"/>
    <n v="4516.63"/>
    <n v="1"/>
    <n v="166"/>
    <n v="0.44"/>
    <n v="6333.28"/>
    <n v="4682.63"/>
    <n v="4682.63"/>
    <n v="1650.6499999999996"/>
    <x v="258"/>
    <n v="-0.17936885784301301"/>
    <x v="0"/>
    <x v="2"/>
  </r>
  <r>
    <x v="259"/>
    <d v="2024-05-31T00:00:00"/>
    <x v="1"/>
    <s v="HOM-530"/>
    <x v="1"/>
    <s v="Singapore"/>
    <x v="1"/>
    <s v="Vendor A"/>
    <n v="284"/>
    <n v="0.25"/>
    <n v="213"/>
    <n v="210.11"/>
    <n v="3"/>
    <n v="117"/>
    <n v="0.44"/>
    <n v="639"/>
    <n v="327.11"/>
    <n v="981.33"/>
    <n v="-342.33000000000004"/>
    <x v="259"/>
    <n v="-0.97572769953051597"/>
    <x v="1"/>
    <x v="1"/>
  </r>
  <r>
    <x v="260"/>
    <d v="2024-02-23T00:00:00"/>
    <x v="0"/>
    <s v="ELE-639"/>
    <x v="0"/>
    <s v="Canada"/>
    <x v="1"/>
    <s v="Vendor C"/>
    <n v="5892"/>
    <n v="0.24"/>
    <n v="4477.92"/>
    <n v="2736.57"/>
    <n v="2"/>
    <n v="110"/>
    <n v="0.44"/>
    <n v="8955.84"/>
    <n v="2846.57"/>
    <n v="5693.14"/>
    <n v="3262.7"/>
    <x v="260"/>
    <n v="-7.5690231178762002E-2"/>
    <x v="0"/>
    <x v="1"/>
  </r>
  <r>
    <x v="261"/>
    <d v="2024-04-29T00:00:00"/>
    <x v="1"/>
    <s v="HOM-199"/>
    <x v="0"/>
    <s v="USA"/>
    <x v="1"/>
    <s v="Vendor D"/>
    <n v="6143"/>
    <n v="0.28000000000000003"/>
    <n v="4422.96"/>
    <n v="2769.66"/>
    <n v="2"/>
    <n v="22"/>
    <n v="0.37"/>
    <n v="8845.92"/>
    <n v="2791.66"/>
    <n v="5583.32"/>
    <n v="3262.6000000000004"/>
    <x v="261"/>
    <n v="-1.174598006765E-3"/>
    <x v="0"/>
    <x v="1"/>
  </r>
  <r>
    <x v="262"/>
    <d v="2024-06-09T00:00:00"/>
    <x v="2"/>
    <s v="B2B-848"/>
    <x v="1"/>
    <s v="Singapore"/>
    <x v="1"/>
    <s v="Vendor B"/>
    <n v="5628"/>
    <n v="0.27"/>
    <n v="4108.4399999999996"/>
    <n v="3626.2"/>
    <n v="1"/>
    <n v="109"/>
    <n v="0.41"/>
    <n v="4108.4399999999996"/>
    <n v="3735.2"/>
    <n v="3735.2"/>
    <n v="373.23999999999978"/>
    <x v="262"/>
    <n v="-0.31915286580794699"/>
    <x v="0"/>
    <x v="1"/>
  </r>
  <r>
    <x v="263"/>
    <d v="2024-05-31T00:00:00"/>
    <x v="2"/>
    <s v="B2B-921"/>
    <x v="2"/>
    <s v="Germany"/>
    <x v="0"/>
    <s v="Vendor D"/>
    <n v="6467"/>
    <n v="0.27"/>
    <n v="4720.91"/>
    <n v="4800.96"/>
    <n v="1"/>
    <n v="181"/>
    <n v="0.4"/>
    <n v="4720.91"/>
    <n v="4981.96"/>
    <n v="4981.96"/>
    <n v="-261.05000000000018"/>
    <x v="263"/>
    <n v="-0.45529654240390099"/>
    <x v="0"/>
    <x v="1"/>
  </r>
  <r>
    <x v="264"/>
    <d v="2024-04-25T00:00:00"/>
    <x v="2"/>
    <s v="B2B-914"/>
    <x v="2"/>
    <s v="Germany"/>
    <x v="1"/>
    <s v="Vendor C"/>
    <n v="6420"/>
    <n v="0.25"/>
    <n v="4815"/>
    <n v="4474.6899999999996"/>
    <n v="2"/>
    <n v="63"/>
    <n v="0.37"/>
    <n v="9630"/>
    <n v="4537.6899999999996"/>
    <n v="9075.3799999999992"/>
    <n v="554.6200000000008"/>
    <x v="264"/>
    <n v="-0.31240706126687401"/>
    <x v="0"/>
    <x v="1"/>
  </r>
  <r>
    <x v="265"/>
    <d v="2024-03-15T00:00:00"/>
    <x v="3"/>
    <s v="APP-486"/>
    <x v="0"/>
    <s v="Canada"/>
    <x v="1"/>
    <s v="Vendor B"/>
    <n v="1865"/>
    <n v="0.3"/>
    <n v="1305.5"/>
    <n v="1236.1500000000001"/>
    <n v="2"/>
    <n v="151"/>
    <n v="0.28999999999999998"/>
    <n v="2611"/>
    <n v="1387.15"/>
    <n v="2774.3"/>
    <n v="-163.30000000000018"/>
    <x v="265"/>
    <n v="-0.35254308693987002"/>
    <x v="0"/>
    <x v="1"/>
  </r>
  <r>
    <x v="266"/>
    <d v="2024-04-22T00:00:00"/>
    <x v="0"/>
    <s v="ELE-951"/>
    <x v="1"/>
    <s v="Singapore"/>
    <x v="0"/>
    <s v="Vendor D"/>
    <n v="7753"/>
    <n v="0.27"/>
    <n v="5659.69"/>
    <n v="5530.17"/>
    <n v="2"/>
    <n v="131"/>
    <n v="0.4"/>
    <n v="11319.38"/>
    <n v="5661.17"/>
    <n v="11322.34"/>
    <n v="-2.9600000000009459"/>
    <x v="266"/>
    <n v="-0.40026149842129199"/>
    <x v="0"/>
    <x v="1"/>
  </r>
  <r>
    <x v="267"/>
    <d v="2024-06-12T00:00:00"/>
    <x v="2"/>
    <s v="B2B-833"/>
    <x v="1"/>
    <s v="Singapore"/>
    <x v="0"/>
    <s v="Vendor D"/>
    <n v="3725"/>
    <n v="0.34"/>
    <n v="2458.5"/>
    <n v="1816.55"/>
    <n v="2"/>
    <n v="190"/>
    <n v="0.41"/>
    <n v="4917"/>
    <n v="2006.55"/>
    <n v="4013.1"/>
    <n v="903.90000000000009"/>
    <x v="267"/>
    <n v="-0.22616839536302599"/>
    <x v="0"/>
    <x v="1"/>
  </r>
  <r>
    <x v="268"/>
    <d v="2024-06-14T00:00:00"/>
    <x v="0"/>
    <s v="ELE-737"/>
    <x v="0"/>
    <s v="Canada"/>
    <x v="1"/>
    <s v="Vendor D"/>
    <n v="5905"/>
    <n v="0.14000000000000001"/>
    <n v="5078.3"/>
    <n v="4026.87"/>
    <n v="3"/>
    <n v="195"/>
    <n v="0.34"/>
    <n v="15234.900000000001"/>
    <n v="4221.87"/>
    <n v="12665.61"/>
    <n v="2569.2900000000009"/>
    <x v="268"/>
    <n v="-0.17135498099757801"/>
    <x v="0"/>
    <x v="0"/>
  </r>
  <r>
    <x v="269"/>
    <d v="2024-04-13T00:00:00"/>
    <x v="2"/>
    <s v="B2B-603"/>
    <x v="1"/>
    <s v="India"/>
    <x v="1"/>
    <s v="Vendor D"/>
    <n v="6816"/>
    <n v="0.25"/>
    <n v="5112"/>
    <n v="4185.63"/>
    <n v="1"/>
    <n v="17"/>
    <n v="0.38"/>
    <n v="5112"/>
    <n v="4202.63"/>
    <n v="4202.63"/>
    <n v="909.36999999999989"/>
    <x v="269"/>
    <n v="-0.202110719874804"/>
    <x v="0"/>
    <x v="1"/>
  </r>
  <r>
    <x v="270"/>
    <d v="2024-03-24T00:00:00"/>
    <x v="1"/>
    <s v="HOM-570"/>
    <x v="0"/>
    <s v="Canada"/>
    <x v="1"/>
    <s v="Vendor C"/>
    <n v="4046"/>
    <n v="0.12"/>
    <n v="3560.48"/>
    <n v="2120.0300000000002"/>
    <n v="1"/>
    <n v="165"/>
    <n v="0.41"/>
    <n v="3560.48"/>
    <n v="2285.0300000000002"/>
    <n v="2285.0300000000002"/>
    <n v="1275.4499999999998"/>
    <x v="270"/>
    <n v="-5.1775827978249998E-2"/>
    <x v="0"/>
    <x v="0"/>
  </r>
  <r>
    <x v="271"/>
    <d v="2024-04-21T00:00:00"/>
    <x v="2"/>
    <s v="B2B-670"/>
    <x v="2"/>
    <s v="France"/>
    <x v="0"/>
    <s v="Vendor A"/>
    <n v="1897"/>
    <n v="0.35"/>
    <n v="1233.05"/>
    <n v="1163.51"/>
    <n v="2"/>
    <n v="152"/>
    <n v="0.34"/>
    <n v="2466.1"/>
    <n v="1315.51"/>
    <n v="2631.02"/>
    <n v="-164.92000000000007"/>
    <x v="271"/>
    <n v="-0.40687482259438001"/>
    <x v="0"/>
    <x v="1"/>
  </r>
  <r>
    <x v="272"/>
    <d v="2024-04-08T00:00:00"/>
    <x v="3"/>
    <s v="APP-590"/>
    <x v="2"/>
    <s v="UK"/>
    <x v="0"/>
    <s v="Vendor A"/>
    <n v="5563"/>
    <n v="0.14000000000000001"/>
    <n v="4784.18"/>
    <n v="2964.36"/>
    <n v="3"/>
    <n v="190"/>
    <n v="0.31"/>
    <n v="14352.54"/>
    <n v="3154.36"/>
    <n v="9463.08"/>
    <n v="4889.4600000000009"/>
    <x v="272"/>
    <n v="3.066862032783E-2"/>
    <x v="2"/>
    <x v="0"/>
  </r>
  <r>
    <x v="273"/>
    <d v="2024-06-01T00:00:00"/>
    <x v="1"/>
    <s v="HOM-981"/>
    <x v="0"/>
    <s v="USA"/>
    <x v="0"/>
    <s v="Vendor D"/>
    <n v="7655"/>
    <n v="0.19"/>
    <n v="6200.55"/>
    <n v="5488.96"/>
    <n v="2"/>
    <n v="183"/>
    <n v="0.4"/>
    <n v="12401.1"/>
    <n v="5671.96"/>
    <n v="11343.92"/>
    <n v="1057.1800000000003"/>
    <x v="273"/>
    <n v="-0.314751110788559"/>
    <x v="0"/>
    <x v="0"/>
  </r>
  <r>
    <x v="274"/>
    <d v="2024-04-02T00:00:00"/>
    <x v="2"/>
    <s v="B2B-657"/>
    <x v="0"/>
    <s v="Canada"/>
    <x v="1"/>
    <s v="Vendor D"/>
    <n v="5735"/>
    <n v="0.17"/>
    <n v="4760.05"/>
    <n v="3100.2"/>
    <n v="1"/>
    <n v="24"/>
    <n v="0.44"/>
    <n v="4760.05"/>
    <n v="3124.2"/>
    <n v="3124.2"/>
    <n v="1635.8500000000004"/>
    <x v="274"/>
    <n v="-9.6337643512148005E-2"/>
    <x v="0"/>
    <x v="0"/>
  </r>
  <r>
    <x v="275"/>
    <d v="2024-05-25T00:00:00"/>
    <x v="3"/>
    <s v="APP-619"/>
    <x v="0"/>
    <s v="Canada"/>
    <x v="0"/>
    <s v="Vendor B"/>
    <n v="6403"/>
    <n v="0.21"/>
    <n v="5058.37"/>
    <n v="3227.7"/>
    <n v="2"/>
    <n v="12"/>
    <n v="0.43"/>
    <n v="10116.74"/>
    <n v="3239.7"/>
    <n v="6479.4"/>
    <n v="3637.34"/>
    <x v="275"/>
    <n v="-7.0463232226982003E-2"/>
    <x v="0"/>
    <x v="1"/>
  </r>
  <r>
    <x v="276"/>
    <d v="2024-05-07T00:00:00"/>
    <x v="2"/>
    <s v="B2B-679"/>
    <x v="0"/>
    <s v="USA"/>
    <x v="0"/>
    <s v="Vendor D"/>
    <n v="6524"/>
    <n v="0.28999999999999998"/>
    <n v="4632.04"/>
    <n v="4606.83"/>
    <n v="2"/>
    <n v="165"/>
    <n v="0.3"/>
    <n v="9264.08"/>
    <n v="4771.83"/>
    <n v="9543.66"/>
    <n v="-279.57999999999993"/>
    <x v="276"/>
    <n v="-0.33017892764311202"/>
    <x v="0"/>
    <x v="1"/>
  </r>
  <r>
    <x v="277"/>
    <d v="2024-04-19T00:00:00"/>
    <x v="2"/>
    <s v="B2B-410"/>
    <x v="1"/>
    <s v="Singapore"/>
    <x v="1"/>
    <s v="Vendor C"/>
    <n v="7307"/>
    <n v="0.21"/>
    <n v="5772.53"/>
    <n v="3768.48"/>
    <n v="1"/>
    <n v="110"/>
    <n v="0.44"/>
    <n v="5772.53"/>
    <n v="3878.48"/>
    <n v="3878.48"/>
    <n v="1894.0499999999997"/>
    <x v="277"/>
    <n v="-0.111885637666673"/>
    <x v="0"/>
    <x v="1"/>
  </r>
  <r>
    <x v="278"/>
    <d v="2024-03-22T00:00:00"/>
    <x v="3"/>
    <s v="APP-344"/>
    <x v="2"/>
    <s v="France"/>
    <x v="0"/>
    <s v="Vendor D"/>
    <n v="669"/>
    <n v="0.28999999999999998"/>
    <n v="474.99"/>
    <n v="483.27"/>
    <n v="1"/>
    <n v="107"/>
    <n v="0.44"/>
    <n v="474.99"/>
    <n v="590.27"/>
    <n v="590.27"/>
    <n v="-115.27999999999997"/>
    <x v="278"/>
    <n v="-0.68269984631255398"/>
    <x v="1"/>
    <x v="1"/>
  </r>
  <r>
    <x v="279"/>
    <d v="2024-02-23T00:00:00"/>
    <x v="1"/>
    <s v="HOM-692"/>
    <x v="2"/>
    <s v="France"/>
    <x v="1"/>
    <s v="Vendor B"/>
    <n v="57"/>
    <n v="0.28000000000000003"/>
    <n v="41.04"/>
    <n v="30.95"/>
    <n v="1"/>
    <n v="103"/>
    <n v="0.36"/>
    <n v="41.04"/>
    <n v="133.94999999999999"/>
    <n v="133.94999999999999"/>
    <n v="-92.91"/>
    <x v="279"/>
    <n v="-2.62388888888889"/>
    <x v="1"/>
    <x v="1"/>
  </r>
  <r>
    <x v="280"/>
    <d v="2024-06-11T00:00:00"/>
    <x v="2"/>
    <s v="B2B-255"/>
    <x v="1"/>
    <s v="Singapore"/>
    <x v="0"/>
    <s v="Vendor A"/>
    <n v="135"/>
    <n v="0.23"/>
    <n v="103.95"/>
    <n v="94.58"/>
    <n v="1"/>
    <n v="45"/>
    <n v="0.34"/>
    <n v="103.95"/>
    <n v="139.57999999999998"/>
    <n v="139.57999999999998"/>
    <n v="-35.629999999999981"/>
    <x v="280"/>
    <n v="-0.68276094276094301"/>
    <x v="1"/>
    <x v="1"/>
  </r>
  <r>
    <x v="281"/>
    <d v="2024-06-17T00:00:00"/>
    <x v="1"/>
    <s v="HOM-254"/>
    <x v="2"/>
    <s v="UK"/>
    <x v="1"/>
    <s v="Vendor B"/>
    <n v="5933"/>
    <n v="0.1"/>
    <n v="5339.7"/>
    <n v="3585.94"/>
    <n v="3"/>
    <n v="185"/>
    <n v="0.32"/>
    <n v="16019.099999999999"/>
    <n v="3770.94"/>
    <n v="11312.82"/>
    <n v="4706.2799999999988"/>
    <x v="281"/>
    <n v="-2.6208213944604E-2"/>
    <x v="0"/>
    <x v="0"/>
  </r>
  <r>
    <x v="282"/>
    <d v="2024-06-09T00:00:00"/>
    <x v="1"/>
    <s v="HOM-771"/>
    <x v="0"/>
    <s v="USA"/>
    <x v="0"/>
    <s v="Vendor A"/>
    <n v="4155"/>
    <n v="0.32"/>
    <n v="2825.4"/>
    <n v="2061.4699999999998"/>
    <n v="2"/>
    <n v="164"/>
    <n v="0.45"/>
    <n v="5650.8"/>
    <n v="2225.4699999999998"/>
    <n v="4450.9399999999996"/>
    <n v="1199.8600000000006"/>
    <x v="282"/>
    <n v="-0.23766546329723201"/>
    <x v="0"/>
    <x v="1"/>
  </r>
  <r>
    <x v="283"/>
    <d v="2024-03-08T00:00:00"/>
    <x v="1"/>
    <s v="HOM-817"/>
    <x v="0"/>
    <s v="USA"/>
    <x v="1"/>
    <s v="Vendor D"/>
    <n v="2501"/>
    <n v="0.28000000000000003"/>
    <n v="1800.72"/>
    <n v="1814.55"/>
    <n v="3"/>
    <n v="122"/>
    <n v="0.38"/>
    <n v="5402.16"/>
    <n v="1936.55"/>
    <n v="5809.65"/>
    <n v="-407.48999999999978"/>
    <x v="283"/>
    <n v="-0.45543093873561702"/>
    <x v="0"/>
    <x v="1"/>
  </r>
  <r>
    <x v="284"/>
    <d v="2024-02-02T00:00:00"/>
    <x v="0"/>
    <s v="ELE-976"/>
    <x v="0"/>
    <s v="Canada"/>
    <x v="1"/>
    <s v="Vendor D"/>
    <n v="742"/>
    <n v="0.16"/>
    <n v="623.28"/>
    <n v="480.07"/>
    <n v="1"/>
    <n v="123"/>
    <n v="0.31"/>
    <n v="623.28"/>
    <n v="603.06999999999994"/>
    <n v="603.06999999999994"/>
    <n v="20.210000000000036"/>
    <x v="284"/>
    <n v="-0.277574765755359"/>
    <x v="0"/>
    <x v="0"/>
  </r>
  <r>
    <x v="285"/>
    <d v="2024-05-21T00:00:00"/>
    <x v="1"/>
    <s v="HOM-679"/>
    <x v="1"/>
    <s v="Singapore"/>
    <x v="1"/>
    <s v="Vendor A"/>
    <n v="6070"/>
    <n v="0.06"/>
    <n v="5705.8"/>
    <n v="3050.58"/>
    <n v="1"/>
    <n v="107"/>
    <n v="0.32"/>
    <n v="5705.8"/>
    <n v="3157.58"/>
    <n v="3157.58"/>
    <n v="2548.2200000000003"/>
    <x v="285"/>
    <n v="0.12660170352974201"/>
    <x v="2"/>
    <x v="2"/>
  </r>
  <r>
    <x v="286"/>
    <d v="2024-01-21T00:00:00"/>
    <x v="1"/>
    <s v="HOM-426"/>
    <x v="0"/>
    <s v="Canada"/>
    <x v="1"/>
    <s v="Vendor A"/>
    <n v="6292"/>
    <n v="0.15"/>
    <n v="5348.2"/>
    <n v="4416.34"/>
    <n v="3"/>
    <n v="118"/>
    <n v="0.43"/>
    <n v="16044.599999999999"/>
    <n v="4534.34"/>
    <n v="13603.02"/>
    <n v="2441.5799999999981"/>
    <x v="286"/>
    <n v="-0.27782543659549003"/>
    <x v="0"/>
    <x v="0"/>
  </r>
  <r>
    <x v="287"/>
    <d v="2024-02-17T00:00:00"/>
    <x v="0"/>
    <s v="ELE-467"/>
    <x v="2"/>
    <s v="Germany"/>
    <x v="0"/>
    <s v="Vendor C"/>
    <n v="923"/>
    <n v="0.32"/>
    <n v="627.64"/>
    <n v="566.12"/>
    <n v="1"/>
    <n v="118"/>
    <n v="0.32"/>
    <n v="627.64"/>
    <n v="684.12"/>
    <n v="684.12"/>
    <n v="-56.480000000000018"/>
    <x v="287"/>
    <n v="-0.40998789114779199"/>
    <x v="0"/>
    <x v="1"/>
  </r>
  <r>
    <x v="288"/>
    <d v="2024-05-27T00:00:00"/>
    <x v="1"/>
    <s v="HOM-379"/>
    <x v="1"/>
    <s v="Singapore"/>
    <x v="1"/>
    <s v="Vendor B"/>
    <n v="3626"/>
    <n v="0.16"/>
    <n v="3045.84"/>
    <n v="1952.86"/>
    <n v="1"/>
    <n v="174"/>
    <n v="0.35"/>
    <n v="3045.84"/>
    <n v="2126.8599999999997"/>
    <n v="2126.8599999999997"/>
    <n v="918.98000000000047"/>
    <x v="288"/>
    <n v="-4.8283560528458003E-2"/>
    <x v="0"/>
    <x v="0"/>
  </r>
  <r>
    <x v="289"/>
    <d v="2024-05-07T00:00:00"/>
    <x v="1"/>
    <s v="HOM-570"/>
    <x v="1"/>
    <s v="Singapore"/>
    <x v="1"/>
    <s v="Vendor B"/>
    <n v="6158"/>
    <n v="0.28000000000000003"/>
    <n v="4433.76"/>
    <n v="3980.5"/>
    <n v="2"/>
    <n v="76"/>
    <n v="0.43"/>
    <n v="8867.52"/>
    <n v="4056.5"/>
    <n v="8113"/>
    <n v="754.52000000000044"/>
    <x v="289"/>
    <n v="-0.34491194832376998"/>
    <x v="0"/>
    <x v="1"/>
  </r>
  <r>
    <x v="290"/>
    <d v="2024-05-15T00:00:00"/>
    <x v="2"/>
    <s v="B2B-665"/>
    <x v="0"/>
    <s v="Canada"/>
    <x v="1"/>
    <s v="Vendor A"/>
    <n v="5008"/>
    <n v="0.09"/>
    <n v="4557.28"/>
    <n v="3403.76"/>
    <n v="1"/>
    <n v="66"/>
    <n v="0.35"/>
    <n v="4557.28"/>
    <n v="3469.76"/>
    <n v="3469.76"/>
    <n v="1087.5199999999995"/>
    <x v="290"/>
    <n v="-0.11136642909805899"/>
    <x v="0"/>
    <x v="2"/>
  </r>
  <r>
    <x v="291"/>
    <d v="2024-05-14T00:00:00"/>
    <x v="0"/>
    <s v="ELE-943"/>
    <x v="2"/>
    <s v="Germany"/>
    <x v="0"/>
    <s v="Vendor C"/>
    <n v="5784"/>
    <n v="0.14000000000000001"/>
    <n v="4974.24"/>
    <n v="3130.2"/>
    <n v="3"/>
    <n v="12"/>
    <n v="0.28999999999999998"/>
    <n v="14922.72"/>
    <n v="3142.2"/>
    <n v="9426.5999999999985"/>
    <n v="5496.1200000000008"/>
    <x v="291"/>
    <n v="7.8305509987455002E-2"/>
    <x v="2"/>
    <x v="0"/>
  </r>
  <r>
    <x v="292"/>
    <d v="2024-05-24T00:00:00"/>
    <x v="1"/>
    <s v="HOM-211"/>
    <x v="2"/>
    <s v="UK"/>
    <x v="0"/>
    <s v="Vendor A"/>
    <n v="2038"/>
    <n v="0.28000000000000003"/>
    <n v="1467.36"/>
    <n v="1289.83"/>
    <n v="2"/>
    <n v="39"/>
    <n v="0.42"/>
    <n v="2934.72"/>
    <n v="1328.83"/>
    <n v="2657.66"/>
    <n v="277.05999999999995"/>
    <x v="292"/>
    <n v="-0.32559235634063899"/>
    <x v="0"/>
    <x v="1"/>
  </r>
  <r>
    <x v="293"/>
    <d v="2024-05-07T00:00:00"/>
    <x v="3"/>
    <s v="APP-760"/>
    <x v="1"/>
    <s v="India"/>
    <x v="1"/>
    <s v="Vendor D"/>
    <n v="3500"/>
    <n v="0.35"/>
    <n v="2275"/>
    <n v="2001.04"/>
    <n v="2"/>
    <n v="25"/>
    <n v="0.35"/>
    <n v="4550"/>
    <n v="2026.04"/>
    <n v="4052.08"/>
    <n v="497.92000000000007"/>
    <x v="293"/>
    <n v="-0.240567032967033"/>
    <x v="0"/>
    <x v="1"/>
  </r>
  <r>
    <x v="294"/>
    <d v="2024-02-02T00:00:00"/>
    <x v="1"/>
    <s v="HOM-109"/>
    <x v="0"/>
    <s v="Canada"/>
    <x v="1"/>
    <s v="Vendor B"/>
    <n v="3323"/>
    <n v="0.06"/>
    <n v="3123.62"/>
    <n v="1763.54"/>
    <n v="1"/>
    <n v="18"/>
    <n v="0.44"/>
    <n v="3123.62"/>
    <n v="1781.54"/>
    <n v="1781.54"/>
    <n v="1342.08"/>
    <x v="294"/>
    <n v="-1.0344664203712E-2"/>
    <x v="0"/>
    <x v="2"/>
  </r>
  <r>
    <x v="295"/>
    <d v="2024-06-24T00:00:00"/>
    <x v="0"/>
    <s v="ELE-828"/>
    <x v="2"/>
    <s v="Germany"/>
    <x v="0"/>
    <s v="Vendor D"/>
    <n v="5280"/>
    <n v="0.26"/>
    <n v="3907.2"/>
    <n v="3578.26"/>
    <n v="1"/>
    <n v="111"/>
    <n v="0.37"/>
    <n v="3907.2"/>
    <n v="3689.26"/>
    <n v="3689.26"/>
    <n v="217.9399999999996"/>
    <x v="295"/>
    <n v="-0.314220925470926"/>
    <x v="0"/>
    <x v="1"/>
  </r>
  <r>
    <x v="296"/>
    <d v="2024-04-24T00:00:00"/>
    <x v="0"/>
    <s v="ELE-506"/>
    <x v="1"/>
    <s v="Singapore"/>
    <x v="0"/>
    <s v="Vendor D"/>
    <n v="7411"/>
    <n v="0.26"/>
    <n v="5484.14"/>
    <n v="4923.1099999999997"/>
    <n v="2"/>
    <n v="132"/>
    <n v="0.44"/>
    <n v="10968.28"/>
    <n v="5055.1099999999997"/>
    <n v="10110.219999999999"/>
    <n v="858.06000000000131"/>
    <x v="296"/>
    <n v="-0.361768955570062"/>
    <x v="0"/>
    <x v="1"/>
  </r>
  <r>
    <x v="297"/>
    <d v="2024-04-28T00:00:00"/>
    <x v="0"/>
    <s v="ELE-407"/>
    <x v="2"/>
    <s v="UK"/>
    <x v="0"/>
    <s v="Vendor A"/>
    <n v="3539"/>
    <n v="0.28999999999999998"/>
    <n v="2512.69"/>
    <n v="1799.84"/>
    <n v="2"/>
    <n v="150"/>
    <n v="0.34"/>
    <n v="5025.38"/>
    <n v="1949.84"/>
    <n v="3899.68"/>
    <n v="1125.7000000000003"/>
    <x v="297"/>
    <n v="-0.11599703902988399"/>
    <x v="0"/>
    <x v="1"/>
  </r>
  <r>
    <x v="298"/>
    <d v="2024-01-22T00:00:00"/>
    <x v="0"/>
    <s v="ELE-882"/>
    <x v="0"/>
    <s v="USA"/>
    <x v="0"/>
    <s v="Vendor D"/>
    <n v="1953"/>
    <n v="0.22"/>
    <n v="1523.34"/>
    <n v="1433.75"/>
    <n v="1"/>
    <n v="74"/>
    <n v="0.34"/>
    <n v="1523.34"/>
    <n v="1507.75"/>
    <n v="1507.75"/>
    <n v="15.589999999999918"/>
    <x v="298"/>
    <n v="-0.32976590912074799"/>
    <x v="0"/>
    <x v="1"/>
  </r>
  <r>
    <x v="299"/>
    <d v="2024-06-06T00:00:00"/>
    <x v="1"/>
    <s v="HOM-827"/>
    <x v="2"/>
    <s v="Germany"/>
    <x v="0"/>
    <s v="Vendor C"/>
    <n v="2585"/>
    <n v="0.28999999999999998"/>
    <n v="1835.35"/>
    <n v="1640.89"/>
    <n v="1"/>
    <n v="171"/>
    <n v="0.3"/>
    <n v="1835.35"/>
    <n v="1811.89"/>
    <n v="1811.89"/>
    <n v="23.459999999999809"/>
    <x v="299"/>
    <n v="-0.28721769689705001"/>
    <x v="0"/>
    <x v="1"/>
  </r>
  <r>
    <x v="300"/>
    <d v="2024-02-07T00:00:00"/>
    <x v="1"/>
    <s v="HOM-339"/>
    <x v="1"/>
    <s v="India"/>
    <x v="0"/>
    <s v="Vendor A"/>
    <n v="5337"/>
    <n v="7.0000000000000007E-2"/>
    <n v="4963.41"/>
    <n v="3209.88"/>
    <n v="2"/>
    <n v="36"/>
    <n v="0.3"/>
    <n v="9926.82"/>
    <n v="3245.88"/>
    <n v="6491.76"/>
    <n v="3435.0599999999995"/>
    <x v="300"/>
    <n v="4.6038308340435E-2"/>
    <x v="2"/>
    <x v="2"/>
  </r>
  <r>
    <x v="301"/>
    <d v="2024-04-18T00:00:00"/>
    <x v="1"/>
    <s v="HOM-121"/>
    <x v="2"/>
    <s v="UK"/>
    <x v="1"/>
    <s v="Vendor C"/>
    <n v="7772"/>
    <n v="0.31"/>
    <n v="5362.68"/>
    <n v="3864.1"/>
    <n v="3"/>
    <n v="181"/>
    <n v="0.33"/>
    <n v="16088.04"/>
    <n v="4045.1"/>
    <n v="12135.3"/>
    <n v="3952.7400000000016"/>
    <x v="301"/>
    <n v="-8.4305682979405994E-2"/>
    <x v="0"/>
    <x v="1"/>
  </r>
  <r>
    <x v="302"/>
    <d v="2024-02-20T00:00:00"/>
    <x v="0"/>
    <s v="ELE-563"/>
    <x v="1"/>
    <s v="India"/>
    <x v="1"/>
    <s v="Vendor B"/>
    <n v="424"/>
    <n v="0.22"/>
    <n v="330.72"/>
    <n v="296.74"/>
    <n v="3"/>
    <n v="92"/>
    <n v="0.28000000000000003"/>
    <n v="992.16000000000008"/>
    <n v="388.74"/>
    <n v="1166.22"/>
    <n v="-174.05999999999995"/>
    <x v="302"/>
    <n v="-0.45543541364296097"/>
    <x v="0"/>
    <x v="1"/>
  </r>
  <r>
    <x v="303"/>
    <d v="2024-01-08T00:00:00"/>
    <x v="2"/>
    <s v="B2B-945"/>
    <x v="0"/>
    <s v="USA"/>
    <x v="1"/>
    <s v="Vendor C"/>
    <n v="1974"/>
    <n v="0.16"/>
    <n v="1658.16"/>
    <n v="1256.23"/>
    <n v="1"/>
    <n v="106"/>
    <n v="0.4"/>
    <n v="1658.16"/>
    <n v="1362.23"/>
    <n v="1362.23"/>
    <n v="295.93000000000006"/>
    <x v="303"/>
    <n v="-0.22153109470738599"/>
    <x v="0"/>
    <x v="0"/>
  </r>
  <r>
    <x v="304"/>
    <d v="2024-01-27T00:00:00"/>
    <x v="2"/>
    <s v="B2B-778"/>
    <x v="0"/>
    <s v="Canada"/>
    <x v="0"/>
    <s v="Vendor B"/>
    <n v="99"/>
    <n v="0.18"/>
    <n v="81.180000000000007"/>
    <n v="64.91"/>
    <n v="2"/>
    <n v="132"/>
    <n v="0.31"/>
    <n v="162.36000000000001"/>
    <n v="196.91"/>
    <n v="393.82"/>
    <n v="-231.45999999999998"/>
    <x v="304"/>
    <n v="-1.73559743779256"/>
    <x v="1"/>
    <x v="0"/>
  </r>
  <r>
    <x v="305"/>
    <d v="2024-01-27T00:00:00"/>
    <x v="2"/>
    <s v="B2B-128"/>
    <x v="0"/>
    <s v="USA"/>
    <x v="0"/>
    <s v="Vendor C"/>
    <n v="4360"/>
    <n v="0.11"/>
    <n v="3880.4"/>
    <n v="2509.1799999999998"/>
    <n v="1"/>
    <n v="63"/>
    <n v="0.3"/>
    <n v="3880.4"/>
    <n v="2572.1799999999998"/>
    <n v="2572.1799999999998"/>
    <n v="1308.2200000000003"/>
    <x v="305"/>
    <n v="3.7135346871457003E-2"/>
    <x v="2"/>
    <x v="0"/>
  </r>
  <r>
    <x v="306"/>
    <d v="2024-01-21T00:00:00"/>
    <x v="3"/>
    <s v="APP-511"/>
    <x v="2"/>
    <s v="UK"/>
    <x v="0"/>
    <s v="Vendor D"/>
    <n v="6411"/>
    <n v="0.19"/>
    <n v="5192.91"/>
    <n v="4764.21"/>
    <n v="2"/>
    <n v="75"/>
    <n v="0.37"/>
    <n v="10385.82"/>
    <n v="4839.21"/>
    <n v="9678.42"/>
    <n v="707.39999999999964"/>
    <x v="306"/>
    <n v="-0.301887901003484"/>
    <x v="0"/>
    <x v="0"/>
  </r>
  <r>
    <x v="307"/>
    <d v="2024-01-30T00:00:00"/>
    <x v="0"/>
    <s v="ELE-197"/>
    <x v="2"/>
    <s v="Germany"/>
    <x v="1"/>
    <s v="Vendor D"/>
    <n v="4570"/>
    <n v="0.11"/>
    <n v="4067.3"/>
    <n v="2769.01"/>
    <n v="3"/>
    <n v="80"/>
    <n v="0.38"/>
    <n v="12201.900000000001"/>
    <n v="2849.01"/>
    <n v="8547.0300000000007"/>
    <n v="3654.8700000000008"/>
    <x v="307"/>
    <n v="-8.0467140363385994E-2"/>
    <x v="0"/>
    <x v="0"/>
  </r>
  <r>
    <x v="308"/>
    <d v="2024-04-06T00:00:00"/>
    <x v="2"/>
    <s v="B2B-594"/>
    <x v="0"/>
    <s v="USA"/>
    <x v="0"/>
    <s v="Vendor D"/>
    <n v="2683"/>
    <n v="0.26"/>
    <n v="1985.42"/>
    <n v="1323.21"/>
    <n v="3"/>
    <n v="192"/>
    <n v="0.31"/>
    <n v="5956.26"/>
    <n v="1515.21"/>
    <n v="4545.63"/>
    <n v="1410.63"/>
    <x v="308"/>
    <n v="-7.3168498352992994E-2"/>
    <x v="0"/>
    <x v="1"/>
  </r>
  <r>
    <x v="309"/>
    <d v="2024-01-28T00:00:00"/>
    <x v="0"/>
    <s v="ELE-934"/>
    <x v="2"/>
    <s v="UK"/>
    <x v="1"/>
    <s v="Vendor D"/>
    <n v="4548"/>
    <n v="0.24"/>
    <n v="3456.48"/>
    <n v="2931.42"/>
    <n v="1"/>
    <n v="167"/>
    <n v="0.28000000000000003"/>
    <n v="3456.48"/>
    <n v="3098.42"/>
    <n v="3098.42"/>
    <n v="358.05999999999995"/>
    <x v="309"/>
    <n v="-0.17640906355598801"/>
    <x v="0"/>
    <x v="1"/>
  </r>
  <r>
    <x v="310"/>
    <d v="2024-04-20T00:00:00"/>
    <x v="1"/>
    <s v="HOM-512"/>
    <x v="2"/>
    <s v="UK"/>
    <x v="0"/>
    <s v="Vendor A"/>
    <n v="7569"/>
    <n v="0.23"/>
    <n v="5828.13"/>
    <n v="4116.57"/>
    <n v="3"/>
    <n v="109"/>
    <n v="0.38"/>
    <n v="17484.39"/>
    <n v="4225.57"/>
    <n v="12676.71"/>
    <n v="4807.68"/>
    <x v="310"/>
    <n v="-0.10503015547010799"/>
    <x v="0"/>
    <x v="1"/>
  </r>
  <r>
    <x v="311"/>
    <d v="2024-03-01T00:00:00"/>
    <x v="3"/>
    <s v="APP-967"/>
    <x v="0"/>
    <s v="USA"/>
    <x v="1"/>
    <s v="Vendor A"/>
    <n v="7296"/>
    <n v="0.11"/>
    <n v="6493.44"/>
    <n v="5338.61"/>
    <n v="3"/>
    <n v="158"/>
    <n v="0.41"/>
    <n v="19480.32"/>
    <n v="5496.61"/>
    <n v="16489.829999999998"/>
    <n v="2990.4900000000016"/>
    <x v="311"/>
    <n v="-0.25648660802286599"/>
    <x v="0"/>
    <x v="0"/>
  </r>
  <r>
    <x v="312"/>
    <d v="2024-02-17T00:00:00"/>
    <x v="0"/>
    <s v="ELE-519"/>
    <x v="2"/>
    <s v="France"/>
    <x v="1"/>
    <s v="Vendor A"/>
    <n v="2978"/>
    <n v="0.17"/>
    <n v="2471.7399999999998"/>
    <n v="2176.56"/>
    <n v="3"/>
    <n v="146"/>
    <n v="0.44"/>
    <n v="7415.2199999999993"/>
    <n v="2322.56"/>
    <n v="6967.68"/>
    <n v="447.53999999999905"/>
    <x v="312"/>
    <n v="-0.37964575562154601"/>
    <x v="0"/>
    <x v="0"/>
  </r>
  <r>
    <x v="313"/>
    <d v="2024-05-26T00:00:00"/>
    <x v="3"/>
    <s v="APP-518"/>
    <x v="0"/>
    <s v="USA"/>
    <x v="1"/>
    <s v="Vendor D"/>
    <n v="6455"/>
    <n v="0.34"/>
    <n v="4260.3"/>
    <n v="3102.07"/>
    <n v="3"/>
    <n v="123"/>
    <n v="0.35"/>
    <n v="12780.900000000001"/>
    <n v="3225.07"/>
    <n v="9675.2100000000009"/>
    <n v="3105.6900000000005"/>
    <x v="313"/>
    <n v="-0.107005375208319"/>
    <x v="0"/>
    <x v="1"/>
  </r>
  <r>
    <x v="314"/>
    <d v="2024-01-04T00:00:00"/>
    <x v="1"/>
    <s v="HOM-959"/>
    <x v="1"/>
    <s v="India"/>
    <x v="0"/>
    <s v="Vendor C"/>
    <n v="3392"/>
    <n v="0.3"/>
    <n v="2374.4"/>
    <n v="2048.15"/>
    <n v="2"/>
    <n v="164"/>
    <n v="0.45"/>
    <n v="4748.8"/>
    <n v="2212.15"/>
    <n v="4424.3"/>
    <n v="324.5"/>
    <x v="314"/>
    <n v="-0.38166694743935298"/>
    <x v="0"/>
    <x v="1"/>
  </r>
  <r>
    <x v="315"/>
    <d v="2024-02-04T00:00:00"/>
    <x v="0"/>
    <s v="ELE-146"/>
    <x v="0"/>
    <s v="USA"/>
    <x v="0"/>
    <s v="Vendor B"/>
    <n v="2309"/>
    <n v="0.11"/>
    <n v="2055.0100000000002"/>
    <n v="1492.07"/>
    <n v="3"/>
    <n v="160"/>
    <n v="0.41"/>
    <n v="6165.0300000000007"/>
    <n v="1652.07"/>
    <n v="4956.21"/>
    <n v="1208.8200000000006"/>
    <x v="315"/>
    <n v="-0.21392309526474301"/>
    <x v="0"/>
    <x v="0"/>
  </r>
  <r>
    <x v="316"/>
    <d v="2024-02-18T00:00:00"/>
    <x v="0"/>
    <s v="ELE-260"/>
    <x v="1"/>
    <s v="India"/>
    <x v="1"/>
    <s v="Vendor C"/>
    <n v="5089"/>
    <n v="0.32"/>
    <n v="3460.52"/>
    <n v="2831.82"/>
    <n v="3"/>
    <n v="187"/>
    <n v="0.32"/>
    <n v="10381.56"/>
    <n v="3018.82"/>
    <n v="9056.4600000000009"/>
    <n v="1325.0999999999985"/>
    <x v="316"/>
    <n v="-0.19236022331903899"/>
    <x v="0"/>
    <x v="1"/>
  </r>
  <r>
    <x v="317"/>
    <d v="2024-01-17T00:00:00"/>
    <x v="3"/>
    <s v="APP-603"/>
    <x v="1"/>
    <s v="Singapore"/>
    <x v="1"/>
    <s v="Vendor C"/>
    <n v="1723"/>
    <n v="0.32"/>
    <n v="1171.6400000000001"/>
    <n v="973.47"/>
    <n v="3"/>
    <n v="173"/>
    <n v="0.33"/>
    <n v="3514.92"/>
    <n v="1146.47"/>
    <n v="3439.41"/>
    <n v="75.510000000000218"/>
    <x v="317"/>
    <n v="-0.30851729200095601"/>
    <x v="0"/>
    <x v="1"/>
  </r>
  <r>
    <x v="318"/>
    <d v="2024-06-20T00:00:00"/>
    <x v="3"/>
    <s v="APP-956"/>
    <x v="2"/>
    <s v="UK"/>
    <x v="1"/>
    <s v="Vendor C"/>
    <n v="1961"/>
    <n v="0.35"/>
    <n v="1274.6500000000001"/>
    <n v="1053.94"/>
    <n v="1"/>
    <n v="82"/>
    <n v="0.38"/>
    <n v="1274.6500000000001"/>
    <n v="1135.94"/>
    <n v="1135.94"/>
    <n v="138.71000000000004"/>
    <x v="318"/>
    <n v="-0.27117797042325298"/>
    <x v="0"/>
    <x v="1"/>
  </r>
  <r>
    <x v="319"/>
    <d v="2024-06-06T00:00:00"/>
    <x v="2"/>
    <s v="B2B-462"/>
    <x v="1"/>
    <s v="India"/>
    <x v="1"/>
    <s v="Vendor B"/>
    <n v="2646"/>
    <n v="0.25"/>
    <n v="1984.5"/>
    <n v="1815.73"/>
    <n v="2"/>
    <n v="94"/>
    <n v="0.39"/>
    <n v="3969"/>
    <n v="1909.73"/>
    <n v="3819.46"/>
    <n v="149.53999999999996"/>
    <x v="319"/>
    <n v="-0.35232300327538402"/>
    <x v="0"/>
    <x v="1"/>
  </r>
  <r>
    <x v="320"/>
    <d v="2024-02-15T00:00:00"/>
    <x v="3"/>
    <s v="APP-761"/>
    <x v="1"/>
    <s v="Singapore"/>
    <x v="1"/>
    <s v="Vendor D"/>
    <n v="3747"/>
    <n v="0.24"/>
    <n v="2847.72"/>
    <n v="2738.62"/>
    <n v="2"/>
    <n v="101"/>
    <n v="0.42"/>
    <n v="5695.44"/>
    <n v="2839.62"/>
    <n v="5679.24"/>
    <n v="16.199999999999818"/>
    <x v="320"/>
    <n v="-0.41715561923222799"/>
    <x v="0"/>
    <x v="1"/>
  </r>
  <r>
    <x v="321"/>
    <d v="2024-04-26T00:00:00"/>
    <x v="0"/>
    <s v="ELE-102"/>
    <x v="1"/>
    <s v="Singapore"/>
    <x v="1"/>
    <s v="Vendor B"/>
    <n v="4401"/>
    <n v="0.17"/>
    <n v="3652.83"/>
    <n v="2600.36"/>
    <n v="3"/>
    <n v="97"/>
    <n v="0.33"/>
    <n v="10958.49"/>
    <n v="2697.36"/>
    <n v="8092.08"/>
    <n v="2866.41"/>
    <x v="321"/>
    <n v="-6.8430203431311995E-2"/>
    <x v="0"/>
    <x v="0"/>
  </r>
  <r>
    <x v="322"/>
    <d v="2024-01-06T00:00:00"/>
    <x v="3"/>
    <s v="APP-720"/>
    <x v="2"/>
    <s v="France"/>
    <x v="1"/>
    <s v="Vendor B"/>
    <n v="7255"/>
    <n v="0.08"/>
    <n v="6674.6"/>
    <n v="4388.75"/>
    <n v="1"/>
    <n v="101"/>
    <n v="0.41"/>
    <n v="6674.6"/>
    <n v="4489.75"/>
    <n v="4489.75"/>
    <n v="2184.8500000000004"/>
    <x v="322"/>
    <n v="-8.2662032181703995E-2"/>
    <x v="0"/>
    <x v="2"/>
  </r>
  <r>
    <x v="323"/>
    <d v="2024-04-08T00:00:00"/>
    <x v="1"/>
    <s v="HOM-376"/>
    <x v="1"/>
    <s v="Singapore"/>
    <x v="1"/>
    <s v="Vendor A"/>
    <n v="5298"/>
    <n v="0.14000000000000001"/>
    <n v="4556.28"/>
    <n v="2781.38"/>
    <n v="2"/>
    <n v="65"/>
    <n v="0.37"/>
    <n v="9112.56"/>
    <n v="2846.38"/>
    <n v="5692.76"/>
    <n v="3419.7999999999993"/>
    <x v="323"/>
    <n v="5.2842230942790102E-3"/>
    <x v="2"/>
    <x v="0"/>
  </r>
  <r>
    <x v="324"/>
    <d v="2024-05-03T00:00:00"/>
    <x v="3"/>
    <s v="APP-276"/>
    <x v="0"/>
    <s v="USA"/>
    <x v="0"/>
    <s v="Vendor A"/>
    <n v="5918"/>
    <n v="0.14000000000000001"/>
    <n v="5089.4799999999996"/>
    <n v="4285.4399999999996"/>
    <n v="1"/>
    <n v="105"/>
    <n v="0.34"/>
    <n v="5089.4799999999996"/>
    <n v="4390.4399999999996"/>
    <n v="4390.4399999999996"/>
    <n v="699.04"/>
    <x v="324"/>
    <n v="-0.20265001532573099"/>
    <x v="0"/>
    <x v="0"/>
  </r>
  <r>
    <x v="325"/>
    <d v="2024-02-06T00:00:00"/>
    <x v="1"/>
    <s v="HOM-524"/>
    <x v="2"/>
    <s v="France"/>
    <x v="1"/>
    <s v="Vendor A"/>
    <n v="1286"/>
    <n v="0.32"/>
    <n v="874.48"/>
    <n v="608.65"/>
    <n v="3"/>
    <n v="118"/>
    <n v="0.34"/>
    <n v="2623.44"/>
    <n v="726.65"/>
    <n v="2179.9499999999998"/>
    <n v="443.49000000000024"/>
    <x v="325"/>
    <n v="-0.17095096514499999"/>
    <x v="0"/>
    <x v="1"/>
  </r>
  <r>
    <x v="326"/>
    <d v="2024-01-24T00:00:00"/>
    <x v="3"/>
    <s v="APP-338"/>
    <x v="2"/>
    <s v="Germany"/>
    <x v="0"/>
    <s v="Vendor D"/>
    <n v="6664"/>
    <n v="0.19"/>
    <n v="5397.84"/>
    <n v="3827.5"/>
    <n v="2"/>
    <n v="136"/>
    <n v="0.33"/>
    <n v="10795.68"/>
    <n v="3963.5"/>
    <n v="7927"/>
    <n v="2868.6800000000003"/>
    <x v="326"/>
    <n v="-6.4275191558105002E-2"/>
    <x v="0"/>
    <x v="0"/>
  </r>
  <r>
    <x v="327"/>
    <d v="2024-04-02T00:00:00"/>
    <x v="0"/>
    <s v="ELE-745"/>
    <x v="0"/>
    <s v="USA"/>
    <x v="0"/>
    <s v="Vendor D"/>
    <n v="4640"/>
    <n v="0.2"/>
    <n v="3712"/>
    <n v="2686.02"/>
    <n v="1"/>
    <n v="113"/>
    <n v="0.4"/>
    <n v="3712"/>
    <n v="2799.02"/>
    <n v="2799.02"/>
    <n v="912.98"/>
    <x v="327"/>
    <n v="-0.15404633620689701"/>
    <x v="0"/>
    <x v="1"/>
  </r>
  <r>
    <x v="328"/>
    <d v="2024-02-15T00:00:00"/>
    <x v="3"/>
    <s v="APP-214"/>
    <x v="2"/>
    <s v="France"/>
    <x v="1"/>
    <s v="Vendor B"/>
    <n v="770"/>
    <n v="0.17"/>
    <n v="639.1"/>
    <n v="515.69000000000005"/>
    <n v="2"/>
    <n v="131"/>
    <n v="0.39"/>
    <n v="1278.2"/>
    <n v="646.69000000000005"/>
    <n v="1293.3800000000001"/>
    <n v="-15.180000000000064"/>
    <x v="328"/>
    <n v="-0.40187607573149797"/>
    <x v="0"/>
    <x v="0"/>
  </r>
  <r>
    <x v="329"/>
    <d v="2024-04-04T00:00:00"/>
    <x v="3"/>
    <s v="APP-511"/>
    <x v="2"/>
    <s v="Germany"/>
    <x v="0"/>
    <s v="Vendor B"/>
    <n v="7896"/>
    <n v="7.0000000000000007E-2"/>
    <n v="7343.28"/>
    <n v="4479.4799999999996"/>
    <n v="2"/>
    <n v="156"/>
    <n v="0.32"/>
    <n v="14686.56"/>
    <n v="4635.4799999999996"/>
    <n v="9270.9599999999991"/>
    <n v="5415.6"/>
    <x v="329"/>
    <n v="4.8745301826975999E-2"/>
    <x v="2"/>
    <x v="2"/>
  </r>
  <r>
    <x v="330"/>
    <d v="2024-04-08T00:00:00"/>
    <x v="0"/>
    <s v="ELE-453"/>
    <x v="1"/>
    <s v="India"/>
    <x v="1"/>
    <s v="Vendor B"/>
    <n v="3602"/>
    <n v="0.21"/>
    <n v="2845.58"/>
    <n v="2373.46"/>
    <n v="2"/>
    <n v="184"/>
    <n v="0.31"/>
    <n v="5691.16"/>
    <n v="2557.46"/>
    <n v="5114.92"/>
    <n v="576.23999999999978"/>
    <x v="330"/>
    <n v="-0.208748234103417"/>
    <x v="0"/>
    <x v="1"/>
  </r>
  <r>
    <x v="331"/>
    <d v="2024-04-25T00:00:00"/>
    <x v="3"/>
    <s v="APP-739"/>
    <x v="1"/>
    <s v="India"/>
    <x v="1"/>
    <s v="Vendor A"/>
    <n v="4065"/>
    <n v="0.33"/>
    <n v="2723.55"/>
    <n v="2678.79"/>
    <n v="1"/>
    <n v="73"/>
    <n v="0.34"/>
    <n v="2723.55"/>
    <n v="2751.79"/>
    <n v="2751.79"/>
    <n v="-28.239999999999782"/>
    <x v="331"/>
    <n v="-0.35036882010611098"/>
    <x v="0"/>
    <x v="1"/>
  </r>
  <r>
    <x v="332"/>
    <d v="2024-06-08T00:00:00"/>
    <x v="1"/>
    <s v="HOM-673"/>
    <x v="2"/>
    <s v="Germany"/>
    <x v="1"/>
    <s v="Vendor B"/>
    <n v="4450"/>
    <n v="0.25"/>
    <n v="3337.5"/>
    <n v="3034.44"/>
    <n v="1"/>
    <n v="112"/>
    <n v="0.41"/>
    <n v="3337.5"/>
    <n v="3146.44"/>
    <n v="3146.44"/>
    <n v="191.05999999999995"/>
    <x v="332"/>
    <n v="-0.35275355805243402"/>
    <x v="0"/>
    <x v="1"/>
  </r>
  <r>
    <x v="333"/>
    <d v="2024-06-09T00:00:00"/>
    <x v="0"/>
    <s v="ELE-172"/>
    <x v="0"/>
    <s v="USA"/>
    <x v="0"/>
    <s v="Vendor C"/>
    <n v="7424"/>
    <n v="0.32"/>
    <n v="5048.32"/>
    <n v="3835.02"/>
    <n v="1"/>
    <n v="35"/>
    <n v="0.4"/>
    <n v="5048.32"/>
    <n v="3870.02"/>
    <n v="3870.02"/>
    <n v="1178.2999999999997"/>
    <x v="333"/>
    <n v="-0.16659561992900601"/>
    <x v="0"/>
    <x v="1"/>
  </r>
  <r>
    <x v="334"/>
    <d v="2024-03-07T00:00:00"/>
    <x v="0"/>
    <s v="ELE-528"/>
    <x v="0"/>
    <s v="USA"/>
    <x v="0"/>
    <s v="Vendor A"/>
    <n v="2596"/>
    <n v="0.09"/>
    <n v="2362.36"/>
    <n v="1390.55"/>
    <n v="3"/>
    <n v="166"/>
    <n v="0.42"/>
    <n v="7087.08"/>
    <n v="1556.55"/>
    <n v="4669.6499999999996"/>
    <n v="2417.4300000000003"/>
    <x v="334"/>
    <n v="-7.8896188557204996E-2"/>
    <x v="0"/>
    <x v="2"/>
  </r>
  <r>
    <x v="335"/>
    <d v="2024-05-07T00:00:00"/>
    <x v="1"/>
    <s v="HOM-633"/>
    <x v="1"/>
    <s v="India"/>
    <x v="1"/>
    <s v="Vendor B"/>
    <n v="2154"/>
    <n v="0.28999999999999998"/>
    <n v="1529.34"/>
    <n v="1552.03"/>
    <n v="2"/>
    <n v="57"/>
    <n v="0.28999999999999998"/>
    <n v="3058.68"/>
    <n v="1609.03"/>
    <n v="3218.06"/>
    <n v="-159.38000000000011"/>
    <x v="335"/>
    <n v="-0.34210744504165203"/>
    <x v="0"/>
    <x v="1"/>
  </r>
  <r>
    <x v="336"/>
    <d v="2024-01-18T00:00:00"/>
    <x v="0"/>
    <s v="ELE-434"/>
    <x v="2"/>
    <s v="UK"/>
    <x v="0"/>
    <s v="Vendor C"/>
    <n v="781"/>
    <n v="0.21"/>
    <n v="616.99"/>
    <n v="581.46"/>
    <n v="2"/>
    <n v="91"/>
    <n v="0.37"/>
    <n v="1233.98"/>
    <n v="672.46"/>
    <n v="1344.92"/>
    <n v="-110.94000000000005"/>
    <x v="336"/>
    <n v="-0.45990421238593798"/>
    <x v="0"/>
    <x v="1"/>
  </r>
  <r>
    <x v="337"/>
    <d v="2024-01-25T00:00:00"/>
    <x v="3"/>
    <s v="APP-606"/>
    <x v="0"/>
    <s v="USA"/>
    <x v="1"/>
    <s v="Vendor C"/>
    <n v="52"/>
    <n v="0.16"/>
    <n v="43.68"/>
    <n v="29.21"/>
    <n v="3"/>
    <n v="68"/>
    <n v="0.34"/>
    <n v="131.04"/>
    <n v="97.210000000000008"/>
    <n v="291.63"/>
    <n v="-160.59"/>
    <x v="337"/>
    <n v="-1.5655036630036601"/>
    <x v="1"/>
    <x v="0"/>
  </r>
  <r>
    <x v="338"/>
    <d v="2024-02-23T00:00:00"/>
    <x v="1"/>
    <s v="HOM-223"/>
    <x v="1"/>
    <s v="Singapore"/>
    <x v="0"/>
    <s v="Vendor C"/>
    <n v="7631"/>
    <n v="0.12"/>
    <n v="6715.28"/>
    <n v="4948.74"/>
    <n v="1"/>
    <n v="58"/>
    <n v="0.28000000000000003"/>
    <n v="6715.28"/>
    <n v="5006.74"/>
    <n v="5006.74"/>
    <n v="1708.54"/>
    <x v="338"/>
    <n v="-2.5574272405618E-2"/>
    <x v="0"/>
    <x v="0"/>
  </r>
  <r>
    <x v="339"/>
    <d v="2024-02-27T00:00:00"/>
    <x v="2"/>
    <s v="B2B-579"/>
    <x v="2"/>
    <s v="Germany"/>
    <x v="1"/>
    <s v="Vendor A"/>
    <n v="2005"/>
    <n v="0.28000000000000003"/>
    <n v="1443.6"/>
    <n v="1253.3499999999999"/>
    <n v="1"/>
    <n v="110"/>
    <n v="0.34"/>
    <n v="1443.6"/>
    <n v="1363.35"/>
    <n v="1363.35"/>
    <n v="80.25"/>
    <x v="339"/>
    <n v="-0.28440980881130501"/>
    <x v="0"/>
    <x v="1"/>
  </r>
  <r>
    <x v="340"/>
    <d v="2024-03-07T00:00:00"/>
    <x v="1"/>
    <s v="HOM-541"/>
    <x v="2"/>
    <s v="Germany"/>
    <x v="0"/>
    <s v="Vendor D"/>
    <n v="93"/>
    <n v="0.27"/>
    <n v="67.89"/>
    <n v="46.59"/>
    <n v="3"/>
    <n v="18"/>
    <n v="0.43"/>
    <n v="203.67000000000002"/>
    <n v="64.59"/>
    <n v="193.77"/>
    <n v="9.9000000000000057"/>
    <x v="340"/>
    <n v="-0.38139195757843602"/>
    <x v="0"/>
    <x v="1"/>
  </r>
  <r>
    <x v="341"/>
    <d v="2024-04-13T00:00:00"/>
    <x v="1"/>
    <s v="HOM-544"/>
    <x v="0"/>
    <s v="Canada"/>
    <x v="0"/>
    <s v="Vendor A"/>
    <n v="7793"/>
    <n v="0.28000000000000003"/>
    <n v="5610.96"/>
    <n v="5500.11"/>
    <n v="2"/>
    <n v="71"/>
    <n v="0.33"/>
    <n v="11221.92"/>
    <n v="5571.11"/>
    <n v="11142.22"/>
    <n v="79.700000000000728"/>
    <x v="341"/>
    <n v="-0.32289782853558002"/>
    <x v="0"/>
    <x v="1"/>
  </r>
  <r>
    <x v="342"/>
    <d v="2024-06-22T00:00:00"/>
    <x v="3"/>
    <s v="APP-749"/>
    <x v="0"/>
    <s v="USA"/>
    <x v="1"/>
    <s v="Vendor D"/>
    <n v="5228"/>
    <n v="0.11"/>
    <n v="4652.92"/>
    <n v="3293.28"/>
    <n v="2"/>
    <n v="139"/>
    <n v="0.43"/>
    <n v="9305.84"/>
    <n v="3432.28"/>
    <n v="6864.56"/>
    <n v="2441.2799999999997"/>
    <x v="342"/>
    <n v="-0.167661511480963"/>
    <x v="0"/>
    <x v="0"/>
  </r>
  <r>
    <x v="343"/>
    <d v="2024-01-24T00:00:00"/>
    <x v="2"/>
    <s v="B2B-483"/>
    <x v="1"/>
    <s v="India"/>
    <x v="1"/>
    <s v="Vendor B"/>
    <n v="3299"/>
    <n v="0.16"/>
    <n v="2771.16"/>
    <n v="2297.92"/>
    <n v="2"/>
    <n v="155"/>
    <n v="0.42"/>
    <n v="5542.32"/>
    <n v="2452.92"/>
    <n v="4905.84"/>
    <n v="636.47999999999956"/>
    <x v="343"/>
    <n v="-0.30516000519637998"/>
    <x v="0"/>
    <x v="0"/>
  </r>
  <r>
    <x v="344"/>
    <d v="2024-04-23T00:00:00"/>
    <x v="0"/>
    <s v="ELE-880"/>
    <x v="2"/>
    <s v="France"/>
    <x v="1"/>
    <s v="Vendor B"/>
    <n v="4084"/>
    <n v="0.24"/>
    <n v="3103.84"/>
    <n v="2235.39"/>
    <n v="1"/>
    <n v="182"/>
    <n v="0.4"/>
    <n v="3103.84"/>
    <n v="2417.39"/>
    <n v="2417.39"/>
    <n v="686.45000000000027"/>
    <x v="344"/>
    <n v="-0.178838471055209"/>
    <x v="0"/>
    <x v="1"/>
  </r>
  <r>
    <x v="345"/>
    <d v="2024-02-01T00:00:00"/>
    <x v="1"/>
    <s v="HOM-439"/>
    <x v="1"/>
    <s v="Singapore"/>
    <x v="1"/>
    <s v="Vendor C"/>
    <n v="7654"/>
    <n v="0.28999999999999998"/>
    <n v="5434.34"/>
    <n v="5230.8"/>
    <n v="3"/>
    <n v="32"/>
    <n v="0.31"/>
    <n v="16303.02"/>
    <n v="5262.8"/>
    <n v="15788.400000000001"/>
    <n v="514.61999999999898"/>
    <x v="345"/>
    <n v="-0.27843406927060199"/>
    <x v="0"/>
    <x v="1"/>
  </r>
  <r>
    <x v="346"/>
    <d v="2024-06-23T00:00:00"/>
    <x v="2"/>
    <s v="B2B-774"/>
    <x v="2"/>
    <s v="Germany"/>
    <x v="1"/>
    <s v="Vendor D"/>
    <n v="4537"/>
    <n v="0.06"/>
    <n v="4264.78"/>
    <n v="2394.96"/>
    <n v="1"/>
    <n v="79"/>
    <n v="0.43"/>
    <n v="4264.78"/>
    <n v="2473.96"/>
    <n v="2473.96"/>
    <n v="1790.8199999999997"/>
    <x v="346"/>
    <n v="-1.0090883937741E-2"/>
    <x v="0"/>
    <x v="2"/>
  </r>
  <r>
    <x v="347"/>
    <d v="2024-03-26T00:00:00"/>
    <x v="2"/>
    <s v="B2B-203"/>
    <x v="1"/>
    <s v="India"/>
    <x v="1"/>
    <s v="Vendor B"/>
    <n v="3809"/>
    <n v="0.15"/>
    <n v="3237.65"/>
    <n v="2740.1"/>
    <n v="3"/>
    <n v="196"/>
    <n v="0.43"/>
    <n v="9712.9500000000007"/>
    <n v="2936.1"/>
    <n v="8808.2999999999993"/>
    <n v="904.65000000000146"/>
    <x v="347"/>
    <n v="-0.33686145815637902"/>
    <x v="0"/>
    <x v="0"/>
  </r>
  <r>
    <x v="348"/>
    <d v="2024-05-30T00:00:00"/>
    <x v="3"/>
    <s v="APP-190"/>
    <x v="0"/>
    <s v="Canada"/>
    <x v="0"/>
    <s v="Vendor C"/>
    <n v="1255"/>
    <n v="0.26"/>
    <n v="928.7"/>
    <n v="928.92"/>
    <n v="3"/>
    <n v="36"/>
    <n v="0.44"/>
    <n v="2786.1000000000004"/>
    <n v="964.92"/>
    <n v="2894.7599999999998"/>
    <n v="-108.6599999999994"/>
    <x v="348"/>
    <n v="-0.47900075374178902"/>
    <x v="0"/>
    <x v="1"/>
  </r>
  <r>
    <x v="349"/>
    <d v="2024-05-06T00:00:00"/>
    <x v="1"/>
    <s v="HOM-798"/>
    <x v="0"/>
    <s v="Canada"/>
    <x v="0"/>
    <s v="Vendor C"/>
    <n v="4496"/>
    <n v="0.06"/>
    <n v="4226.24"/>
    <n v="2577.8200000000002"/>
    <n v="3"/>
    <n v="122"/>
    <n v="0.28000000000000003"/>
    <n v="12678.72"/>
    <n v="2699.82"/>
    <n v="8099.4600000000009"/>
    <n v="4579.2599999999984"/>
    <x v="349"/>
    <n v="8.1176838040433005E-2"/>
    <x v="2"/>
    <x v="2"/>
  </r>
  <r>
    <x v="350"/>
    <d v="2024-06-03T00:00:00"/>
    <x v="3"/>
    <s v="APP-213"/>
    <x v="0"/>
    <s v="USA"/>
    <x v="1"/>
    <s v="Vendor C"/>
    <n v="4653"/>
    <n v="0.25"/>
    <n v="3489.75"/>
    <n v="2417.7199999999998"/>
    <n v="3"/>
    <n v="175"/>
    <n v="0.41"/>
    <n v="10469.25"/>
    <n v="2592.7199999999998"/>
    <n v="7778.16"/>
    <n v="2691.09"/>
    <x v="350"/>
    <n v="-0.15295293359123099"/>
    <x v="0"/>
    <x v="1"/>
  </r>
  <r>
    <x v="351"/>
    <d v="2024-05-09T00:00:00"/>
    <x v="2"/>
    <s v="B2B-636"/>
    <x v="0"/>
    <s v="Canada"/>
    <x v="1"/>
    <s v="Vendor C"/>
    <n v="3889"/>
    <n v="0.24"/>
    <n v="2955.64"/>
    <n v="2407.36"/>
    <n v="1"/>
    <n v="94"/>
    <n v="0.38"/>
    <n v="2955.64"/>
    <n v="2501.36"/>
    <n v="2501.36"/>
    <n v="454.27999999999975"/>
    <x v="351"/>
    <n v="-0.226300632012018"/>
    <x v="0"/>
    <x v="1"/>
  </r>
  <r>
    <x v="352"/>
    <d v="2024-01-17T00:00:00"/>
    <x v="1"/>
    <s v="HOM-750"/>
    <x v="0"/>
    <s v="USA"/>
    <x v="0"/>
    <s v="Vendor B"/>
    <n v="6267"/>
    <n v="0.09"/>
    <n v="5702.97"/>
    <n v="3908.43"/>
    <n v="3"/>
    <n v="57"/>
    <n v="0.43"/>
    <n v="17108.91"/>
    <n v="3965.43"/>
    <n v="11896.289999999999"/>
    <n v="5212.6200000000008"/>
    <x v="352"/>
    <n v="-0.12532717163162399"/>
    <x v="0"/>
    <x v="2"/>
  </r>
  <r>
    <x v="353"/>
    <d v="2024-04-13T00:00:00"/>
    <x v="1"/>
    <s v="HOM-567"/>
    <x v="2"/>
    <s v="France"/>
    <x v="0"/>
    <s v="Vendor C"/>
    <n v="1388"/>
    <n v="0.19"/>
    <n v="1124.28"/>
    <n v="809.09"/>
    <n v="2"/>
    <n v="59"/>
    <n v="0.42"/>
    <n v="2248.56"/>
    <n v="868.09"/>
    <n v="1736.18"/>
    <n v="512.37999999999988"/>
    <x v="353"/>
    <n v="-0.192129718575444"/>
    <x v="0"/>
    <x v="0"/>
  </r>
  <r>
    <x v="354"/>
    <d v="2024-06-09T00:00:00"/>
    <x v="3"/>
    <s v="APP-744"/>
    <x v="2"/>
    <s v="Germany"/>
    <x v="1"/>
    <s v="Vendor C"/>
    <n v="6382"/>
    <n v="0.25"/>
    <n v="4786.5"/>
    <n v="4169.1000000000004"/>
    <n v="3"/>
    <n v="129"/>
    <n v="0.44"/>
    <n v="14359.5"/>
    <n v="4298.1000000000004"/>
    <n v="12894.300000000001"/>
    <n v="1465.1999999999989"/>
    <x v="354"/>
    <n v="-0.33796302099655301"/>
    <x v="0"/>
    <x v="1"/>
  </r>
  <r>
    <x v="355"/>
    <d v="2024-05-16T00:00:00"/>
    <x v="1"/>
    <s v="HOM-754"/>
    <x v="1"/>
    <s v="India"/>
    <x v="0"/>
    <s v="Vendor A"/>
    <n v="5351"/>
    <n v="0.13"/>
    <n v="4655.37"/>
    <n v="2658.71"/>
    <n v="3"/>
    <n v="73"/>
    <n v="0.38"/>
    <n v="13966.11"/>
    <n v="2731.71"/>
    <n v="8195.130000000001"/>
    <n v="5770.98"/>
    <x v="355"/>
    <n v="3.3213128065009E-2"/>
    <x v="2"/>
    <x v="0"/>
  </r>
  <r>
    <x v="356"/>
    <d v="2024-02-12T00:00:00"/>
    <x v="3"/>
    <s v="APP-142"/>
    <x v="2"/>
    <s v="France"/>
    <x v="0"/>
    <s v="Vendor A"/>
    <n v="2527"/>
    <n v="0.1"/>
    <n v="2274.3000000000002"/>
    <n v="1151.6600000000001"/>
    <n v="1"/>
    <n v="121"/>
    <n v="0.38"/>
    <n v="2274.3000000000002"/>
    <n v="1272.6600000000001"/>
    <n v="1272.6600000000001"/>
    <n v="1001.6400000000001"/>
    <x v="356"/>
    <n v="6.0416831552565997E-2"/>
    <x v="2"/>
    <x v="0"/>
  </r>
  <r>
    <x v="357"/>
    <d v="2024-06-24T00:00:00"/>
    <x v="2"/>
    <s v="B2B-904"/>
    <x v="1"/>
    <s v="Singapore"/>
    <x v="0"/>
    <s v="Vendor B"/>
    <n v="6359"/>
    <n v="0.21"/>
    <n v="5023.6099999999997"/>
    <n v="3793.45"/>
    <n v="1"/>
    <n v="103"/>
    <n v="0.31"/>
    <n v="5023.6099999999997"/>
    <n v="3896.45"/>
    <n v="3896.45"/>
    <n v="1127.1599999999999"/>
    <x v="357"/>
    <n v="-8.5627487006356001E-2"/>
    <x v="0"/>
    <x v="1"/>
  </r>
  <r>
    <x v="358"/>
    <d v="2024-02-08T00:00:00"/>
    <x v="3"/>
    <s v="APP-820"/>
    <x v="0"/>
    <s v="Canada"/>
    <x v="0"/>
    <s v="Vendor B"/>
    <n v="1660"/>
    <n v="0.23"/>
    <n v="1278.2"/>
    <n v="923.75"/>
    <n v="1"/>
    <n v="159"/>
    <n v="0.35"/>
    <n v="1278.2"/>
    <n v="1082.75"/>
    <n v="1082.75"/>
    <n v="195.45000000000005"/>
    <x v="358"/>
    <n v="-0.197089657330621"/>
    <x v="0"/>
    <x v="1"/>
  </r>
  <r>
    <x v="359"/>
    <d v="2024-06-18T00:00:00"/>
    <x v="3"/>
    <s v="APP-187"/>
    <x v="1"/>
    <s v="Singapore"/>
    <x v="0"/>
    <s v="Vendor C"/>
    <n v="1025"/>
    <n v="0.31"/>
    <n v="707.25"/>
    <n v="733.72"/>
    <n v="3"/>
    <n v="185"/>
    <n v="0.41"/>
    <n v="2121.75"/>
    <n v="918.72"/>
    <n v="2756.16"/>
    <n v="-634.40999999999985"/>
    <x v="359"/>
    <n v="-0.70900318133616103"/>
    <x v="1"/>
    <x v="1"/>
  </r>
  <r>
    <x v="360"/>
    <d v="2024-01-26T00:00:00"/>
    <x v="1"/>
    <s v="HOM-833"/>
    <x v="1"/>
    <s v="India"/>
    <x v="1"/>
    <s v="Vendor A"/>
    <n v="1307"/>
    <n v="0.26"/>
    <n v="967.18"/>
    <n v="824.6"/>
    <n v="3"/>
    <n v="66"/>
    <n v="0.42"/>
    <n v="2901.54"/>
    <n v="890.6"/>
    <n v="2671.8"/>
    <n v="229.73999999999978"/>
    <x v="360"/>
    <n v="-0.34082135693459298"/>
    <x v="0"/>
    <x v="1"/>
  </r>
  <r>
    <x v="361"/>
    <d v="2024-04-08T00:00:00"/>
    <x v="0"/>
    <s v="ELE-170"/>
    <x v="2"/>
    <s v="UK"/>
    <x v="0"/>
    <s v="Vendor A"/>
    <n v="3906"/>
    <n v="0.31"/>
    <n v="2695.14"/>
    <n v="2856.81"/>
    <n v="2"/>
    <n v="156"/>
    <n v="0.35"/>
    <n v="5390.28"/>
    <n v="3012.81"/>
    <n v="6025.62"/>
    <n v="-635.34000000000015"/>
    <x v="361"/>
    <n v="-0.46786771744695999"/>
    <x v="0"/>
    <x v="1"/>
  </r>
  <r>
    <x v="362"/>
    <d v="2024-02-19T00:00:00"/>
    <x v="1"/>
    <s v="HOM-907"/>
    <x v="2"/>
    <s v="France"/>
    <x v="1"/>
    <s v="Vendor B"/>
    <n v="2825"/>
    <n v="0.08"/>
    <n v="2599"/>
    <n v="1413.2"/>
    <n v="3"/>
    <n v="93"/>
    <n v="0.45"/>
    <n v="7797"/>
    <n v="1506.2"/>
    <n v="4518.6000000000004"/>
    <n v="3278.3999999999996"/>
    <x v="362"/>
    <n v="-2.9530588687957E-2"/>
    <x v="0"/>
    <x v="2"/>
  </r>
  <r>
    <x v="363"/>
    <d v="2024-06-01T00:00:00"/>
    <x v="1"/>
    <s v="HOM-112"/>
    <x v="1"/>
    <s v="Singapore"/>
    <x v="1"/>
    <s v="Vendor D"/>
    <n v="5262"/>
    <n v="0.12"/>
    <n v="4630.5600000000004"/>
    <n v="2572.61"/>
    <n v="1"/>
    <n v="48"/>
    <n v="0.34"/>
    <n v="4630.5600000000004"/>
    <n v="2620.61"/>
    <n v="2620.61"/>
    <n v="2009.9500000000003"/>
    <x v="363"/>
    <n v="9.4061970906326994E-2"/>
    <x v="2"/>
    <x v="0"/>
  </r>
  <r>
    <x v="364"/>
    <d v="2024-05-31T00:00:00"/>
    <x v="3"/>
    <s v="APP-130"/>
    <x v="0"/>
    <s v="Canada"/>
    <x v="0"/>
    <s v="Vendor B"/>
    <n v="6129"/>
    <n v="7.0000000000000007E-2"/>
    <n v="5699.97"/>
    <n v="4572.3500000000004"/>
    <n v="3"/>
    <n v="129"/>
    <n v="0.3"/>
    <n v="17099.91"/>
    <n v="4701.3500000000004"/>
    <n v="14104.050000000001"/>
    <n v="2995.8599999999988"/>
    <x v="364"/>
    <n v="-0.12480258668028101"/>
    <x v="0"/>
    <x v="2"/>
  </r>
  <r>
    <x v="365"/>
    <d v="2024-01-13T00:00:00"/>
    <x v="2"/>
    <s v="B2B-211"/>
    <x v="1"/>
    <s v="India"/>
    <x v="0"/>
    <s v="Vendor B"/>
    <n v="2550"/>
    <n v="0.19"/>
    <n v="2065.5"/>
    <n v="1744.63"/>
    <n v="2"/>
    <n v="137"/>
    <n v="0.33"/>
    <n v="4131"/>
    <n v="1881.63"/>
    <n v="3763.26"/>
    <n v="367.73999999999978"/>
    <x v="365"/>
    <n v="-0.24098039215686301"/>
    <x v="0"/>
    <x v="0"/>
  </r>
  <r>
    <x v="366"/>
    <d v="2024-02-29T00:00:00"/>
    <x v="0"/>
    <s v="ELE-188"/>
    <x v="2"/>
    <s v="UK"/>
    <x v="1"/>
    <s v="Vendor C"/>
    <n v="1040"/>
    <n v="0.17"/>
    <n v="863.2"/>
    <n v="691.14"/>
    <n v="2"/>
    <n v="190"/>
    <n v="0.36"/>
    <n v="1726.4"/>
    <n v="881.14"/>
    <n v="1762.28"/>
    <n v="-35.879999999999882"/>
    <x v="366"/>
    <n v="-0.38078313253012003"/>
    <x v="0"/>
    <x v="0"/>
  </r>
  <r>
    <x v="367"/>
    <d v="2024-05-14T00:00:00"/>
    <x v="2"/>
    <s v="B2B-492"/>
    <x v="2"/>
    <s v="UK"/>
    <x v="0"/>
    <s v="Vendor C"/>
    <n v="2203"/>
    <n v="0.14000000000000001"/>
    <n v="1894.58"/>
    <n v="1346.93"/>
    <n v="1"/>
    <n v="176"/>
    <n v="0.45"/>
    <n v="1894.58"/>
    <n v="1522.93"/>
    <n v="1522.93"/>
    <n v="371.64999999999986"/>
    <x v="367"/>
    <n v="-0.25383515079859398"/>
    <x v="0"/>
    <x v="0"/>
  </r>
  <r>
    <x v="368"/>
    <d v="2024-02-26T00:00:00"/>
    <x v="0"/>
    <s v="ELE-147"/>
    <x v="2"/>
    <s v="UK"/>
    <x v="1"/>
    <s v="Vendor D"/>
    <n v="6394"/>
    <n v="0.2"/>
    <n v="5115.2"/>
    <n v="3804.14"/>
    <n v="3"/>
    <n v="197"/>
    <n v="0.3"/>
    <n v="15345.599999999999"/>
    <n v="4001.14"/>
    <n v="12003.42"/>
    <n v="3342.1799999999985"/>
    <x v="368"/>
    <n v="-8.2205974350954003E-2"/>
    <x v="0"/>
    <x v="1"/>
  </r>
  <r>
    <x v="369"/>
    <d v="2024-02-05T00:00:00"/>
    <x v="1"/>
    <s v="HOM-688"/>
    <x v="2"/>
    <s v="UK"/>
    <x v="1"/>
    <s v="Vendor A"/>
    <n v="6417"/>
    <n v="0.09"/>
    <n v="5839.47"/>
    <n v="3265.78"/>
    <n v="1"/>
    <n v="90"/>
    <n v="0.31"/>
    <n v="5839.47"/>
    <n v="3355.78"/>
    <n v="3355.78"/>
    <n v="2483.69"/>
    <x v="369"/>
    <n v="0.115327983532752"/>
    <x v="2"/>
    <x v="2"/>
  </r>
  <r>
    <x v="370"/>
    <d v="2024-06-21T00:00:00"/>
    <x v="3"/>
    <s v="APP-521"/>
    <x v="0"/>
    <s v="Canada"/>
    <x v="0"/>
    <s v="Vendor B"/>
    <n v="3253"/>
    <n v="0.34"/>
    <n v="2146.98"/>
    <n v="2373.6999999999998"/>
    <n v="3"/>
    <n v="86"/>
    <n v="0.3"/>
    <n v="6440.9400000000005"/>
    <n v="2459.6999999999998"/>
    <n v="7379.0999999999995"/>
    <n v="-938.15999999999894"/>
    <x v="370"/>
    <n v="-0.44565575832099003"/>
    <x v="0"/>
    <x v="1"/>
  </r>
  <r>
    <x v="371"/>
    <d v="2024-01-20T00:00:00"/>
    <x v="1"/>
    <s v="HOM-284"/>
    <x v="0"/>
    <s v="Canada"/>
    <x v="1"/>
    <s v="Vendor A"/>
    <n v="6951"/>
    <n v="0.3"/>
    <n v="4865.7"/>
    <n v="3723.74"/>
    <n v="3"/>
    <n v="175"/>
    <n v="0.38"/>
    <n v="14597.099999999999"/>
    <n v="3898.74"/>
    <n v="11696.22"/>
    <n v="2900.8799999999992"/>
    <x v="371"/>
    <n v="-0.18127011529687401"/>
    <x v="0"/>
    <x v="1"/>
  </r>
  <r>
    <x v="372"/>
    <d v="2024-03-05T00:00:00"/>
    <x v="2"/>
    <s v="B2B-801"/>
    <x v="2"/>
    <s v="France"/>
    <x v="0"/>
    <s v="Vendor C"/>
    <n v="5937"/>
    <n v="0.08"/>
    <n v="5462.04"/>
    <n v="3663.34"/>
    <n v="1"/>
    <n v="40"/>
    <n v="0.42"/>
    <n v="5462.04"/>
    <n v="3703.34"/>
    <n v="3703.34"/>
    <n v="1758.6999999999998"/>
    <x v="372"/>
    <n v="-9.8014075327166994E-2"/>
    <x v="0"/>
    <x v="2"/>
  </r>
  <r>
    <x v="373"/>
    <d v="2024-01-08T00:00:00"/>
    <x v="0"/>
    <s v="ELE-725"/>
    <x v="0"/>
    <s v="USA"/>
    <x v="1"/>
    <s v="Vendor A"/>
    <n v="2859"/>
    <n v="0.21"/>
    <n v="2258.61"/>
    <n v="1791.68"/>
    <n v="1"/>
    <n v="141"/>
    <n v="0.39"/>
    <n v="2258.61"/>
    <n v="1932.68"/>
    <n v="1932.68"/>
    <n v="325.93000000000006"/>
    <x v="373"/>
    <n v="-0.24569443153089701"/>
    <x v="0"/>
    <x v="1"/>
  </r>
  <r>
    <x v="374"/>
    <d v="2024-05-23T00:00:00"/>
    <x v="2"/>
    <s v="B2B-830"/>
    <x v="0"/>
    <s v="Canada"/>
    <x v="0"/>
    <s v="Vendor B"/>
    <n v="3029"/>
    <n v="0.19"/>
    <n v="2453.4899999999998"/>
    <n v="1682.2"/>
    <n v="2"/>
    <n v="26"/>
    <n v="0.32"/>
    <n v="4906.9799999999996"/>
    <n v="1708.2"/>
    <n v="3416.4"/>
    <n v="1490.5799999999995"/>
    <x v="374"/>
    <n v="-1.6232713400095002E-2"/>
    <x v="0"/>
    <x v="0"/>
  </r>
  <r>
    <x v="375"/>
    <d v="2024-05-21T00:00:00"/>
    <x v="3"/>
    <s v="APP-986"/>
    <x v="0"/>
    <s v="USA"/>
    <x v="0"/>
    <s v="Vendor C"/>
    <n v="3595"/>
    <n v="0.28999999999999998"/>
    <n v="2552.4499999999998"/>
    <n v="2254.0100000000002"/>
    <n v="1"/>
    <n v="165"/>
    <n v="0.4"/>
    <n v="2552.4499999999998"/>
    <n v="2419.0100000000002"/>
    <n v="2419.0100000000002"/>
    <n v="133.4399999999996"/>
    <x v="375"/>
    <n v="-0.34772081725401099"/>
    <x v="0"/>
    <x v="1"/>
  </r>
  <r>
    <x v="376"/>
    <d v="2024-04-24T00:00:00"/>
    <x v="3"/>
    <s v="APP-705"/>
    <x v="2"/>
    <s v="France"/>
    <x v="1"/>
    <s v="Vendor B"/>
    <n v="920"/>
    <n v="0.33"/>
    <n v="616.4"/>
    <n v="517.72"/>
    <n v="2"/>
    <n v="103"/>
    <n v="0.31"/>
    <n v="1232.8"/>
    <n v="620.72"/>
    <n v="1241.44"/>
    <n v="-8.6400000000001"/>
    <x v="376"/>
    <n v="-0.31700843608046703"/>
    <x v="0"/>
    <x v="1"/>
  </r>
  <r>
    <x v="377"/>
    <d v="2024-05-22T00:00:00"/>
    <x v="1"/>
    <s v="HOM-483"/>
    <x v="0"/>
    <s v="Canada"/>
    <x v="0"/>
    <s v="Vendor C"/>
    <n v="6821"/>
    <n v="0.25"/>
    <n v="5115.75"/>
    <n v="4027.79"/>
    <n v="3"/>
    <n v="117"/>
    <n v="0.3"/>
    <n v="15347.25"/>
    <n v="4144.79"/>
    <n v="12434.369999999999"/>
    <n v="2912.880000000001"/>
    <x v="377"/>
    <n v="-0.110201827689"/>
    <x v="0"/>
    <x v="1"/>
  </r>
  <r>
    <x v="378"/>
    <d v="2024-04-01T00:00:00"/>
    <x v="0"/>
    <s v="ELE-239"/>
    <x v="2"/>
    <s v="Germany"/>
    <x v="1"/>
    <s v="Vendor B"/>
    <n v="5536"/>
    <n v="0.1"/>
    <n v="4982.3999999999996"/>
    <n v="2532.67"/>
    <n v="1"/>
    <n v="107"/>
    <n v="0.34"/>
    <n v="4982.3999999999996"/>
    <n v="2639.67"/>
    <n v="2639.67"/>
    <n v="2342.7299999999996"/>
    <x v="378"/>
    <n v="0.13020110789980699"/>
    <x v="2"/>
    <x v="0"/>
  </r>
  <r>
    <x v="379"/>
    <d v="2024-04-07T00:00:00"/>
    <x v="3"/>
    <s v="APP-238"/>
    <x v="0"/>
    <s v="USA"/>
    <x v="0"/>
    <s v="Vendor D"/>
    <n v="121"/>
    <n v="0.33"/>
    <n v="81.069999999999993"/>
    <n v="79.7"/>
    <n v="2"/>
    <n v="116"/>
    <n v="0.35"/>
    <n v="162.13999999999999"/>
    <n v="195.7"/>
    <n v="391.4"/>
    <n v="-229.26"/>
    <x v="379"/>
    <n v="-1.76396324164302"/>
    <x v="1"/>
    <x v="1"/>
  </r>
  <r>
    <x v="380"/>
    <d v="2024-03-06T00:00:00"/>
    <x v="1"/>
    <s v="HOM-713"/>
    <x v="1"/>
    <s v="India"/>
    <x v="0"/>
    <s v="Vendor D"/>
    <n v="2603"/>
    <n v="0.25"/>
    <n v="1952.25"/>
    <n v="1613.17"/>
    <n v="2"/>
    <n v="160"/>
    <n v="0.34"/>
    <n v="3904.5"/>
    <n v="1773.17"/>
    <n v="3546.34"/>
    <n v="358.15999999999985"/>
    <x v="380"/>
    <n v="-0.248269944935331"/>
    <x v="0"/>
    <x v="1"/>
  </r>
  <r>
    <x v="381"/>
    <d v="2024-02-01T00:00:00"/>
    <x v="2"/>
    <s v="B2B-549"/>
    <x v="0"/>
    <s v="USA"/>
    <x v="1"/>
    <s v="Vendor D"/>
    <n v="1306"/>
    <n v="0.13"/>
    <n v="1136.22"/>
    <n v="751.7"/>
    <n v="1"/>
    <n v="97"/>
    <n v="0.34"/>
    <n v="1136.22"/>
    <n v="848.7"/>
    <n v="848.7"/>
    <n v="287.52"/>
    <x v="381"/>
    <n v="-8.6950414532397005E-2"/>
    <x v="0"/>
    <x v="0"/>
  </r>
  <r>
    <x v="382"/>
    <d v="2024-03-26T00:00:00"/>
    <x v="1"/>
    <s v="HOM-392"/>
    <x v="1"/>
    <s v="Singapore"/>
    <x v="0"/>
    <s v="Vendor C"/>
    <n v="322"/>
    <n v="0.25"/>
    <n v="241.5"/>
    <n v="163.47999999999999"/>
    <n v="2"/>
    <n v="37"/>
    <n v="0.39"/>
    <n v="483"/>
    <n v="200.48"/>
    <n v="400.96"/>
    <n v="82.04000000000002"/>
    <x v="382"/>
    <n v="-0.22014492753623199"/>
    <x v="0"/>
    <x v="1"/>
  </r>
  <r>
    <x v="383"/>
    <d v="2024-02-20T00:00:00"/>
    <x v="2"/>
    <s v="B2B-346"/>
    <x v="1"/>
    <s v="Singapore"/>
    <x v="1"/>
    <s v="Vendor A"/>
    <n v="7516"/>
    <n v="0.15"/>
    <n v="6388.6"/>
    <n v="4409.53"/>
    <n v="1"/>
    <n v="67"/>
    <n v="0.4"/>
    <n v="6388.6"/>
    <n v="4476.53"/>
    <n v="4476.53"/>
    <n v="1912.0700000000006"/>
    <x v="383"/>
    <n v="-0.100705944964468"/>
    <x v="0"/>
    <x v="0"/>
  </r>
  <r>
    <x v="384"/>
    <d v="2024-06-01T00:00:00"/>
    <x v="3"/>
    <s v="APP-571"/>
    <x v="2"/>
    <s v="UK"/>
    <x v="1"/>
    <s v="Vendor B"/>
    <n v="5865"/>
    <n v="0.18"/>
    <n v="4809.3"/>
    <n v="3098.56"/>
    <n v="1"/>
    <n v="57"/>
    <n v="0.44"/>
    <n v="4809.3"/>
    <n v="3155.56"/>
    <n v="3155.56"/>
    <n v="1653.7400000000002"/>
    <x v="384"/>
    <n v="-9.6137067764539993E-2"/>
    <x v="0"/>
    <x v="0"/>
  </r>
  <r>
    <x v="385"/>
    <d v="2024-03-03T00:00:00"/>
    <x v="2"/>
    <s v="B2B-610"/>
    <x v="2"/>
    <s v="France"/>
    <x v="1"/>
    <s v="Vendor C"/>
    <n v="3009"/>
    <n v="0.26"/>
    <n v="2226.66"/>
    <n v="1600.44"/>
    <n v="2"/>
    <n v="128"/>
    <n v="0.36"/>
    <n v="4453.32"/>
    <n v="1728.44"/>
    <n v="3456.88"/>
    <n v="996.4399999999996"/>
    <x v="385"/>
    <n v="-0.136247833077345"/>
    <x v="0"/>
    <x v="1"/>
  </r>
  <r>
    <x v="386"/>
    <d v="2024-05-04T00:00:00"/>
    <x v="3"/>
    <s v="APP-251"/>
    <x v="2"/>
    <s v="UK"/>
    <x v="1"/>
    <s v="Vendor B"/>
    <n v="3099"/>
    <n v="0.32"/>
    <n v="2107.3200000000002"/>
    <n v="1996.55"/>
    <n v="2"/>
    <n v="113"/>
    <n v="0.31"/>
    <n v="4214.6400000000003"/>
    <n v="2109.5500000000002"/>
    <n v="4219.1000000000004"/>
    <n v="-4.4600000000000364"/>
    <x v="386"/>
    <n v="-0.31105821612284801"/>
    <x v="0"/>
    <x v="1"/>
  </r>
  <r>
    <x v="387"/>
    <d v="2024-05-29T00:00:00"/>
    <x v="3"/>
    <s v="APP-450"/>
    <x v="0"/>
    <s v="USA"/>
    <x v="0"/>
    <s v="Vendor A"/>
    <n v="320"/>
    <n v="0.19"/>
    <n v="259.2"/>
    <n v="227.04"/>
    <n v="2"/>
    <n v="53"/>
    <n v="0.4"/>
    <n v="518.4"/>
    <n v="280.03999999999996"/>
    <n v="560.07999999999993"/>
    <n v="-41.67999999999995"/>
    <x v="387"/>
    <n v="-0.48040123456790101"/>
    <x v="0"/>
    <x v="0"/>
  </r>
  <r>
    <x v="388"/>
    <d v="2024-02-27T00:00:00"/>
    <x v="2"/>
    <s v="B2B-951"/>
    <x v="2"/>
    <s v="UK"/>
    <x v="1"/>
    <s v="Vendor C"/>
    <n v="6561"/>
    <n v="0.13"/>
    <n v="5708.07"/>
    <n v="3327.63"/>
    <n v="3"/>
    <n v="167"/>
    <n v="0.34"/>
    <n v="17124.21"/>
    <n v="3494.63"/>
    <n v="10483.89"/>
    <n v="6640.32"/>
    <x v="388"/>
    <n v="4.7773800951986002E-2"/>
    <x v="2"/>
    <x v="0"/>
  </r>
  <r>
    <x v="389"/>
    <d v="2024-02-27T00:00:00"/>
    <x v="3"/>
    <s v="APP-888"/>
    <x v="0"/>
    <s v="Canada"/>
    <x v="1"/>
    <s v="Vendor A"/>
    <n v="3602"/>
    <n v="0.09"/>
    <n v="3277.82"/>
    <n v="2358.0300000000002"/>
    <n v="3"/>
    <n v="119"/>
    <n v="0.35"/>
    <n v="9833.4600000000009"/>
    <n v="2477.0300000000002"/>
    <n v="7431.09"/>
    <n v="2402.3700000000008"/>
    <x v="389"/>
    <n v="-0.10569433342892499"/>
    <x v="0"/>
    <x v="2"/>
  </r>
  <r>
    <x v="390"/>
    <d v="2024-03-26T00:00:00"/>
    <x v="0"/>
    <s v="ELE-838"/>
    <x v="0"/>
    <s v="Canada"/>
    <x v="1"/>
    <s v="Vendor C"/>
    <n v="7329"/>
    <n v="0.12"/>
    <n v="6449.52"/>
    <n v="3331.42"/>
    <n v="2"/>
    <n v="100"/>
    <n v="0.3"/>
    <n v="12899.04"/>
    <n v="3431.42"/>
    <n v="6862.84"/>
    <n v="6036.2000000000007"/>
    <x v="390"/>
    <n v="0.16795730534985601"/>
    <x v="2"/>
    <x v="0"/>
  </r>
  <r>
    <x v="391"/>
    <d v="2024-02-18T00:00:00"/>
    <x v="2"/>
    <s v="B2B-792"/>
    <x v="2"/>
    <s v="UK"/>
    <x v="0"/>
    <s v="Vendor B"/>
    <n v="2235"/>
    <n v="0.15"/>
    <n v="1899.75"/>
    <n v="1013"/>
    <n v="1"/>
    <n v="70"/>
    <n v="0.3"/>
    <n v="1899.75"/>
    <n v="1083"/>
    <n v="1083"/>
    <n v="816.75"/>
    <x v="391"/>
    <n v="0.12992499013028"/>
    <x v="2"/>
    <x v="0"/>
  </r>
  <r>
    <x v="392"/>
    <d v="2024-06-28T00:00:00"/>
    <x v="2"/>
    <s v="B2B-918"/>
    <x v="1"/>
    <s v="India"/>
    <x v="1"/>
    <s v="Vendor B"/>
    <n v="3982"/>
    <n v="0.12"/>
    <n v="3504.16"/>
    <n v="2861.9"/>
    <n v="1"/>
    <n v="11"/>
    <n v="0.4"/>
    <n v="3504.16"/>
    <n v="2872.9"/>
    <n v="2872.9"/>
    <n v="631.25999999999976"/>
    <x v="392"/>
    <n v="-0.21985411625039999"/>
    <x v="0"/>
    <x v="0"/>
  </r>
  <r>
    <x v="393"/>
    <d v="2024-06-18T00:00:00"/>
    <x v="2"/>
    <s v="B2B-989"/>
    <x v="2"/>
    <s v="UK"/>
    <x v="1"/>
    <s v="Vendor C"/>
    <n v="1675"/>
    <n v="0.28999999999999998"/>
    <n v="1189.25"/>
    <n v="1129.7"/>
    <n v="1"/>
    <n v="198"/>
    <n v="0.42"/>
    <n v="1189.25"/>
    <n v="1327.7"/>
    <n v="1327.7"/>
    <n v="-138.45000000000005"/>
    <x v="393"/>
    <n v="-0.53641791044776099"/>
    <x v="1"/>
    <x v="1"/>
  </r>
  <r>
    <x v="394"/>
    <d v="2024-03-10T00:00:00"/>
    <x v="1"/>
    <s v="HOM-538"/>
    <x v="2"/>
    <s v="Germany"/>
    <x v="0"/>
    <s v="Vendor A"/>
    <n v="1769"/>
    <n v="0.15"/>
    <n v="1503.65"/>
    <n v="822.77"/>
    <n v="1"/>
    <n v="61"/>
    <n v="0.4"/>
    <n v="1503.65"/>
    <n v="883.77"/>
    <n v="883.77"/>
    <n v="619.88000000000011"/>
    <x v="394"/>
    <n v="1.225019120141E-2"/>
    <x v="2"/>
    <x v="0"/>
  </r>
  <r>
    <x v="395"/>
    <d v="2024-01-15T00:00:00"/>
    <x v="1"/>
    <s v="HOM-710"/>
    <x v="2"/>
    <s v="Germany"/>
    <x v="1"/>
    <s v="Vendor A"/>
    <n v="3312"/>
    <n v="0.26"/>
    <n v="2450.88"/>
    <n v="2382.4"/>
    <n v="1"/>
    <n v="88"/>
    <n v="0.28999999999999998"/>
    <n v="2450.88"/>
    <n v="2470.4"/>
    <n v="2470.4"/>
    <n v="-19.519999999999982"/>
    <x v="395"/>
    <n v="-0.29796448622535598"/>
    <x v="0"/>
    <x v="1"/>
  </r>
  <r>
    <x v="396"/>
    <d v="2024-02-23T00:00:00"/>
    <x v="2"/>
    <s v="B2B-528"/>
    <x v="0"/>
    <s v="Canada"/>
    <x v="1"/>
    <s v="Vendor A"/>
    <n v="4674"/>
    <n v="0.22"/>
    <n v="3645.72"/>
    <n v="2322.09"/>
    <n v="1"/>
    <n v="175"/>
    <n v="0.34"/>
    <n v="3645.72"/>
    <n v="2497.09"/>
    <n v="2497.09"/>
    <n v="1148.6299999999997"/>
    <x v="396"/>
    <n v="-2.4937406054223E-2"/>
    <x v="0"/>
    <x v="1"/>
  </r>
  <r>
    <x v="397"/>
    <d v="2024-04-10T00:00:00"/>
    <x v="3"/>
    <s v="APP-774"/>
    <x v="2"/>
    <s v="UK"/>
    <x v="1"/>
    <s v="Vendor D"/>
    <n v="3566"/>
    <n v="0.22"/>
    <n v="2781.48"/>
    <n v="2419.7600000000002"/>
    <n v="1"/>
    <n v="22"/>
    <n v="0.33"/>
    <n v="2781.48"/>
    <n v="2441.7600000000002"/>
    <n v="2441.7600000000002"/>
    <n v="339.7199999999998"/>
    <x v="397"/>
    <n v="-0.20786358341602301"/>
    <x v="0"/>
    <x v="1"/>
  </r>
  <r>
    <x v="398"/>
    <d v="2024-01-08T00:00:00"/>
    <x v="3"/>
    <s v="APP-547"/>
    <x v="2"/>
    <s v="Germany"/>
    <x v="1"/>
    <s v="Vendor C"/>
    <n v="7434"/>
    <n v="0.23"/>
    <n v="5724.18"/>
    <n v="5435.24"/>
    <n v="2"/>
    <n v="29"/>
    <n v="0.31"/>
    <n v="11448.36"/>
    <n v="5464.24"/>
    <n v="10928.48"/>
    <n v="519.88000000000102"/>
    <x v="398"/>
    <n v="-0.26458912892326902"/>
    <x v="0"/>
    <x v="1"/>
  </r>
  <r>
    <x v="399"/>
    <d v="2024-02-22T00:00:00"/>
    <x v="2"/>
    <s v="B2B-590"/>
    <x v="2"/>
    <s v="France"/>
    <x v="1"/>
    <s v="Vendor B"/>
    <n v="1535"/>
    <n v="7.0000000000000007E-2"/>
    <n v="1427.55"/>
    <n v="883.09"/>
    <n v="3"/>
    <n v="128"/>
    <n v="0.38"/>
    <n v="4282.6499999999996"/>
    <n v="1011.09"/>
    <n v="3033.27"/>
    <n v="1249.3799999999997"/>
    <x v="399"/>
    <n v="-8.8269412630030006E-2"/>
    <x v="0"/>
    <x v="2"/>
  </r>
  <r>
    <x v="400"/>
    <d v="2024-02-29T00:00:00"/>
    <x v="1"/>
    <s v="HOM-426"/>
    <x v="1"/>
    <s v="Singapore"/>
    <x v="1"/>
    <s v="Vendor C"/>
    <n v="1989"/>
    <n v="0.22"/>
    <n v="1551.42"/>
    <n v="1135.6400000000001"/>
    <n v="1"/>
    <n v="185"/>
    <n v="0.35"/>
    <n v="1551.42"/>
    <n v="1320.64"/>
    <n v="1320.64"/>
    <n v="230.77999999999997"/>
    <x v="400"/>
    <n v="-0.20124595531835399"/>
    <x v="0"/>
    <x v="1"/>
  </r>
  <r>
    <x v="401"/>
    <d v="2024-04-17T00:00:00"/>
    <x v="0"/>
    <s v="ELE-935"/>
    <x v="1"/>
    <s v="Singapore"/>
    <x v="1"/>
    <s v="Vendor D"/>
    <n v="3262"/>
    <n v="0.21"/>
    <n v="2576.98"/>
    <n v="1994.17"/>
    <n v="3"/>
    <n v="174"/>
    <n v="0.35"/>
    <n v="7730.9400000000005"/>
    <n v="2168.17"/>
    <n v="6504.51"/>
    <n v="1226.4300000000003"/>
    <x v="401"/>
    <n v="-0.19136081770134"/>
    <x v="0"/>
    <x v="1"/>
  </r>
  <r>
    <x v="402"/>
    <d v="2024-01-05T00:00:00"/>
    <x v="2"/>
    <s v="B2B-891"/>
    <x v="1"/>
    <s v="Singapore"/>
    <x v="0"/>
    <s v="Vendor D"/>
    <n v="4574"/>
    <n v="0.12"/>
    <n v="4025.12"/>
    <n v="2769.48"/>
    <n v="3"/>
    <n v="40"/>
    <n v="0.32"/>
    <n v="12075.36"/>
    <n v="2809.48"/>
    <n v="8428.44"/>
    <n v="3646.92"/>
    <x v="402"/>
    <n v="-1.7986643876456002E-2"/>
    <x v="0"/>
    <x v="0"/>
  </r>
  <r>
    <x v="403"/>
    <d v="2024-04-12T00:00:00"/>
    <x v="1"/>
    <s v="HOM-412"/>
    <x v="1"/>
    <s v="India"/>
    <x v="0"/>
    <s v="Vendor A"/>
    <n v="1011"/>
    <n v="0.32"/>
    <n v="687.48"/>
    <n v="738.32"/>
    <n v="3"/>
    <n v="124"/>
    <n v="0.39"/>
    <n v="2062.44"/>
    <n v="862.32"/>
    <n v="2586.96"/>
    <n v="-524.52"/>
    <x v="403"/>
    <n v="-0.64432012567638297"/>
    <x v="1"/>
    <x v="1"/>
  </r>
  <r>
    <x v="404"/>
    <d v="2024-01-06T00:00:00"/>
    <x v="3"/>
    <s v="APP-762"/>
    <x v="1"/>
    <s v="Singapore"/>
    <x v="1"/>
    <s v="Vendor B"/>
    <n v="5366"/>
    <n v="0.28000000000000003"/>
    <n v="3863.52"/>
    <n v="3055.77"/>
    <n v="3"/>
    <n v="107"/>
    <n v="0.43"/>
    <n v="11590.56"/>
    <n v="3162.77"/>
    <n v="9488.31"/>
    <n v="2102.25"/>
    <x v="404"/>
    <n v="-0.248623949144821"/>
    <x v="0"/>
    <x v="1"/>
  </r>
  <r>
    <x v="405"/>
    <d v="2024-04-18T00:00:00"/>
    <x v="3"/>
    <s v="APP-523"/>
    <x v="0"/>
    <s v="Canada"/>
    <x v="0"/>
    <s v="Vendor A"/>
    <n v="2591"/>
    <n v="0.08"/>
    <n v="2383.7199999999998"/>
    <n v="1763.02"/>
    <n v="2"/>
    <n v="15"/>
    <n v="0.42"/>
    <n v="4767.4399999999996"/>
    <n v="1778.02"/>
    <n v="3556.04"/>
    <n v="1211.3999999999996"/>
    <x v="405"/>
    <n v="-0.165901364254191"/>
    <x v="0"/>
    <x v="2"/>
  </r>
  <r>
    <x v="406"/>
    <d v="2024-04-25T00:00:00"/>
    <x v="0"/>
    <s v="ELE-195"/>
    <x v="2"/>
    <s v="Germany"/>
    <x v="0"/>
    <s v="Vendor B"/>
    <n v="2721"/>
    <n v="0.32"/>
    <n v="1850.28"/>
    <n v="1681.09"/>
    <n v="3"/>
    <n v="115"/>
    <n v="0.4"/>
    <n v="5550.84"/>
    <n v="1796.09"/>
    <n v="5388.2699999999995"/>
    <n v="162.57000000000062"/>
    <x v="406"/>
    <n v="-0.370712540804635"/>
    <x v="0"/>
    <x v="1"/>
  </r>
  <r>
    <x v="407"/>
    <d v="2024-04-03T00:00:00"/>
    <x v="0"/>
    <s v="ELE-979"/>
    <x v="1"/>
    <s v="Singapore"/>
    <x v="0"/>
    <s v="Vendor A"/>
    <n v="2513"/>
    <n v="0.25"/>
    <n v="1884.75"/>
    <n v="1738.06"/>
    <n v="1"/>
    <n v="31"/>
    <n v="0.35"/>
    <n v="1884.75"/>
    <n v="1769.06"/>
    <n v="1769.06"/>
    <n v="115.69000000000005"/>
    <x v="407"/>
    <n v="-0.28861785382676702"/>
    <x v="0"/>
    <x v="1"/>
  </r>
  <r>
    <x v="408"/>
    <d v="2024-02-16T00:00:00"/>
    <x v="0"/>
    <s v="ELE-940"/>
    <x v="1"/>
    <s v="India"/>
    <x v="0"/>
    <s v="Vendor C"/>
    <n v="5562"/>
    <n v="0.23"/>
    <n v="4282.74"/>
    <n v="3603.35"/>
    <n v="1"/>
    <n v="27"/>
    <n v="0.33"/>
    <n v="4282.74"/>
    <n v="3630.35"/>
    <n v="3630.35"/>
    <n v="652.38999999999987"/>
    <x v="408"/>
    <n v="-0.17766994961169699"/>
    <x v="0"/>
    <x v="1"/>
  </r>
  <r>
    <x v="409"/>
    <d v="2024-04-08T00:00:00"/>
    <x v="1"/>
    <s v="HOM-467"/>
    <x v="1"/>
    <s v="Singapore"/>
    <x v="0"/>
    <s v="Vendor A"/>
    <n v="7264"/>
    <n v="0.2"/>
    <n v="5811.2"/>
    <n v="5267"/>
    <n v="2"/>
    <n v="34"/>
    <n v="0.31"/>
    <n v="11622.4"/>
    <n v="5301"/>
    <n v="10602"/>
    <n v="1020.3999999999996"/>
    <x v="409"/>
    <n v="-0.22220401982378901"/>
    <x v="0"/>
    <x v="1"/>
  </r>
  <r>
    <x v="410"/>
    <d v="2024-02-24T00:00:00"/>
    <x v="3"/>
    <s v="APP-215"/>
    <x v="1"/>
    <s v="India"/>
    <x v="0"/>
    <s v="Vendor A"/>
    <n v="3615"/>
    <n v="0.17"/>
    <n v="3000.45"/>
    <n v="1735.47"/>
    <n v="1"/>
    <n v="178"/>
    <n v="0.39"/>
    <n v="3000.45"/>
    <n v="1913.47"/>
    <n v="1913.47"/>
    <n v="1086.9799999999998"/>
    <x v="410"/>
    <n v="-2.7727674182206001E-2"/>
    <x v="0"/>
    <x v="0"/>
  </r>
  <r>
    <x v="411"/>
    <d v="2024-06-16T00:00:00"/>
    <x v="1"/>
    <s v="HOM-909"/>
    <x v="2"/>
    <s v="France"/>
    <x v="1"/>
    <s v="Vendor A"/>
    <n v="6598"/>
    <n v="0.33"/>
    <n v="4420.66"/>
    <n v="3572.03"/>
    <n v="2"/>
    <n v="135"/>
    <n v="0.44"/>
    <n v="8841.32"/>
    <n v="3707.03"/>
    <n v="7414.06"/>
    <n v="1427.2599999999993"/>
    <x v="411"/>
    <n v="-0.27856935389738202"/>
    <x v="0"/>
    <x v="1"/>
  </r>
  <r>
    <x v="412"/>
    <d v="2024-02-21T00:00:00"/>
    <x v="1"/>
    <s v="HOM-590"/>
    <x v="2"/>
    <s v="France"/>
    <x v="1"/>
    <s v="Vendor A"/>
    <n v="5924"/>
    <n v="0.17"/>
    <n v="4916.92"/>
    <n v="2716.72"/>
    <n v="2"/>
    <n v="99"/>
    <n v="0.41"/>
    <n v="9833.84"/>
    <n v="2815.72"/>
    <n v="5631.44"/>
    <n v="4202.4000000000005"/>
    <x v="412"/>
    <n v="1.7340692954126002E-2"/>
    <x v="2"/>
    <x v="0"/>
  </r>
  <r>
    <x v="413"/>
    <d v="2024-05-23T00:00:00"/>
    <x v="2"/>
    <s v="B2B-171"/>
    <x v="1"/>
    <s v="India"/>
    <x v="0"/>
    <s v="Vendor D"/>
    <n v="1406"/>
    <n v="0.22"/>
    <n v="1096.68"/>
    <n v="635.34"/>
    <n v="3"/>
    <n v="68"/>
    <n v="0.4"/>
    <n v="3290.04"/>
    <n v="703.34"/>
    <n v="2110.02"/>
    <n v="1180.02"/>
    <x v="413"/>
    <n v="-4.1335667651456999E-2"/>
    <x v="0"/>
    <x v="1"/>
  </r>
  <r>
    <x v="414"/>
    <d v="2024-01-13T00:00:00"/>
    <x v="1"/>
    <s v="HOM-564"/>
    <x v="1"/>
    <s v="India"/>
    <x v="1"/>
    <s v="Vendor C"/>
    <n v="7193"/>
    <n v="0.08"/>
    <n v="6617.56"/>
    <n v="4122.66"/>
    <n v="1"/>
    <n v="52"/>
    <n v="0.32"/>
    <n v="6617.56"/>
    <n v="4174.66"/>
    <n v="4174.66"/>
    <n v="2442.9000000000005"/>
    <x v="414"/>
    <n v="4.9154189761784997E-2"/>
    <x v="2"/>
    <x v="2"/>
  </r>
  <r>
    <x v="415"/>
    <d v="2024-04-23T00:00:00"/>
    <x v="0"/>
    <s v="ELE-881"/>
    <x v="0"/>
    <s v="Canada"/>
    <x v="1"/>
    <s v="Vendor D"/>
    <n v="2893"/>
    <n v="7.0000000000000007E-2"/>
    <n v="2690.49"/>
    <n v="1845.55"/>
    <n v="2"/>
    <n v="110"/>
    <n v="0.33"/>
    <n v="5380.98"/>
    <n v="1955.55"/>
    <n v="3911.1"/>
    <n v="1469.8799999999997"/>
    <x v="415"/>
    <n v="-5.6837862248140997E-2"/>
    <x v="0"/>
    <x v="2"/>
  </r>
  <r>
    <x v="416"/>
    <d v="2024-05-03T00:00:00"/>
    <x v="0"/>
    <s v="ELE-560"/>
    <x v="2"/>
    <s v="UK"/>
    <x v="0"/>
    <s v="Vendor A"/>
    <n v="3414"/>
    <n v="0.27"/>
    <n v="2492.2199999999998"/>
    <n v="2032.41"/>
    <n v="2"/>
    <n v="184"/>
    <n v="0.37"/>
    <n v="4984.4399999999996"/>
    <n v="2216.41"/>
    <n v="4432.82"/>
    <n v="551.61999999999989"/>
    <x v="416"/>
    <n v="-0.25933159993901"/>
    <x v="0"/>
    <x v="1"/>
  </r>
  <r>
    <x v="417"/>
    <d v="2024-04-15T00:00:00"/>
    <x v="2"/>
    <s v="B2B-883"/>
    <x v="2"/>
    <s v="Germany"/>
    <x v="1"/>
    <s v="Vendor C"/>
    <n v="7205"/>
    <n v="0.21"/>
    <n v="5691.95"/>
    <n v="4828.59"/>
    <n v="2"/>
    <n v="72"/>
    <n v="0.35"/>
    <n v="11383.9"/>
    <n v="4900.59"/>
    <n v="9801.18"/>
    <n v="1582.7199999999993"/>
    <x v="417"/>
    <n v="-0.21096856086227"/>
    <x v="0"/>
    <x v="1"/>
  </r>
  <r>
    <x v="418"/>
    <d v="2024-06-06T00:00:00"/>
    <x v="3"/>
    <s v="APP-633"/>
    <x v="2"/>
    <s v="Germany"/>
    <x v="1"/>
    <s v="Vendor A"/>
    <n v="1860"/>
    <n v="0.26"/>
    <n v="1376.4"/>
    <n v="944.94"/>
    <n v="2"/>
    <n v="71"/>
    <n v="0.32"/>
    <n v="2752.8"/>
    <n v="1015.94"/>
    <n v="2031.88"/>
    <n v="720.92000000000007"/>
    <x v="418"/>
    <n v="-5.8113920371984998E-2"/>
    <x v="0"/>
    <x v="1"/>
  </r>
  <r>
    <x v="419"/>
    <d v="2024-05-26T00:00:00"/>
    <x v="0"/>
    <s v="ELE-149"/>
    <x v="1"/>
    <s v="Singapore"/>
    <x v="1"/>
    <s v="Vendor C"/>
    <n v="5719"/>
    <n v="0.12"/>
    <n v="5032.72"/>
    <n v="3727.16"/>
    <n v="1"/>
    <n v="194"/>
    <n v="0.37"/>
    <n v="5032.72"/>
    <n v="3921.16"/>
    <n v="3921.16"/>
    <n v="1111.5600000000004"/>
    <x v="419"/>
    <n v="-0.14913335134877401"/>
    <x v="0"/>
    <x v="0"/>
  </r>
  <r>
    <x v="420"/>
    <d v="2024-05-24T00:00:00"/>
    <x v="2"/>
    <s v="B2B-748"/>
    <x v="2"/>
    <s v="Germany"/>
    <x v="0"/>
    <s v="Vendor C"/>
    <n v="3798"/>
    <n v="7.0000000000000007E-2"/>
    <n v="3532.14"/>
    <n v="1748.91"/>
    <n v="2"/>
    <n v="53"/>
    <n v="0.28999999999999998"/>
    <n v="7064.28"/>
    <n v="1801.91"/>
    <n v="3603.82"/>
    <n v="3460.4599999999996"/>
    <x v="420"/>
    <n v="0.199853176827646"/>
    <x v="2"/>
    <x v="2"/>
  </r>
  <r>
    <x v="421"/>
    <d v="2024-04-29T00:00:00"/>
    <x v="1"/>
    <s v="HOM-706"/>
    <x v="2"/>
    <s v="UK"/>
    <x v="1"/>
    <s v="Vendor B"/>
    <n v="2575"/>
    <n v="0.16"/>
    <n v="2163"/>
    <n v="1747.14"/>
    <n v="1"/>
    <n v="94"/>
    <n v="0.39"/>
    <n v="2163"/>
    <n v="1841.14"/>
    <n v="1841.14"/>
    <n v="321.8599999999999"/>
    <x v="421"/>
    <n v="-0.241197411003236"/>
    <x v="0"/>
    <x v="0"/>
  </r>
  <r>
    <x v="422"/>
    <d v="2024-03-03T00:00:00"/>
    <x v="3"/>
    <s v="APP-206"/>
    <x v="0"/>
    <s v="Canada"/>
    <x v="1"/>
    <s v="Vendor B"/>
    <n v="179"/>
    <n v="0.24"/>
    <n v="136.04"/>
    <n v="116.28"/>
    <n v="2"/>
    <n v="105"/>
    <n v="0.28000000000000003"/>
    <n v="272.08"/>
    <n v="221.28"/>
    <n v="442.56"/>
    <n v="-170.48000000000002"/>
    <x v="422"/>
    <n v="-0.906580417524258"/>
    <x v="1"/>
    <x v="1"/>
  </r>
  <r>
    <x v="423"/>
    <d v="2024-01-19T00:00:00"/>
    <x v="1"/>
    <s v="HOM-280"/>
    <x v="0"/>
    <s v="USA"/>
    <x v="1"/>
    <s v="Vendor C"/>
    <n v="5579"/>
    <n v="0.21"/>
    <n v="4407.41"/>
    <n v="2934.97"/>
    <n v="1"/>
    <n v="101"/>
    <n v="0.39"/>
    <n v="4407.41"/>
    <n v="3035.97"/>
    <n v="3035.97"/>
    <n v="1371.44"/>
    <x v="423"/>
    <n v="-7.8833124215809E-2"/>
    <x v="0"/>
    <x v="1"/>
  </r>
  <r>
    <x v="424"/>
    <d v="2024-04-01T00:00:00"/>
    <x v="3"/>
    <s v="APP-294"/>
    <x v="2"/>
    <s v="UK"/>
    <x v="0"/>
    <s v="Vendor D"/>
    <n v="1181"/>
    <n v="7.0000000000000007E-2"/>
    <n v="1098.33"/>
    <n v="633.42999999999995"/>
    <n v="3"/>
    <n v="59"/>
    <n v="0.44"/>
    <n v="3294.99"/>
    <n v="692.43"/>
    <n v="2077.29"/>
    <n v="1217.6999999999998"/>
    <x v="424"/>
    <n v="-7.0438939116658994E-2"/>
    <x v="0"/>
    <x v="2"/>
  </r>
  <r>
    <x v="425"/>
    <d v="2024-02-27T00:00:00"/>
    <x v="1"/>
    <s v="HOM-195"/>
    <x v="1"/>
    <s v="Singapore"/>
    <x v="1"/>
    <s v="Vendor B"/>
    <n v="4801"/>
    <n v="0.05"/>
    <n v="4560.95"/>
    <n v="2162.39"/>
    <n v="2"/>
    <n v="93"/>
    <n v="0.3"/>
    <n v="9121.9"/>
    <n v="2255.39"/>
    <n v="4510.78"/>
    <n v="4611.12"/>
    <x v="425"/>
    <n v="0.205499950668172"/>
    <x v="2"/>
    <x v="2"/>
  </r>
  <r>
    <x v="426"/>
    <d v="2024-03-30T00:00:00"/>
    <x v="2"/>
    <s v="B2B-336"/>
    <x v="0"/>
    <s v="Canada"/>
    <x v="0"/>
    <s v="Vendor A"/>
    <n v="894"/>
    <n v="0.25"/>
    <n v="670.5"/>
    <n v="577.23"/>
    <n v="1"/>
    <n v="56"/>
    <n v="0.39"/>
    <n v="670.5"/>
    <n v="633.23"/>
    <n v="633.23"/>
    <n v="37.269999999999982"/>
    <x v="426"/>
    <n v="-0.33441461595824001"/>
    <x v="0"/>
    <x v="1"/>
  </r>
  <r>
    <x v="427"/>
    <d v="2024-04-26T00:00:00"/>
    <x v="2"/>
    <s v="B2B-172"/>
    <x v="2"/>
    <s v="Germany"/>
    <x v="0"/>
    <s v="Vendor C"/>
    <n v="5722"/>
    <n v="0.35"/>
    <n v="3719.3"/>
    <n v="2889.81"/>
    <n v="2"/>
    <n v="98"/>
    <n v="0.35"/>
    <n v="7438.6"/>
    <n v="2987.81"/>
    <n v="5975.62"/>
    <n v="1462.9800000000005"/>
    <x v="427"/>
    <n v="-0.15332589465759699"/>
    <x v="0"/>
    <x v="1"/>
  </r>
  <r>
    <x v="428"/>
    <d v="2024-03-02T00:00:00"/>
    <x v="3"/>
    <s v="APP-507"/>
    <x v="2"/>
    <s v="Germany"/>
    <x v="1"/>
    <s v="Vendor B"/>
    <n v="5857"/>
    <n v="0.06"/>
    <n v="5505.58"/>
    <n v="3745.04"/>
    <n v="3"/>
    <n v="74"/>
    <n v="0.37"/>
    <n v="16516.739999999998"/>
    <n v="3819.04"/>
    <n v="11457.119999999999"/>
    <n v="5059.619999999999"/>
    <x v="428"/>
    <n v="-6.3667152234642005E-2"/>
    <x v="0"/>
    <x v="2"/>
  </r>
  <r>
    <x v="429"/>
    <d v="2024-01-23T00:00:00"/>
    <x v="3"/>
    <s v="APP-721"/>
    <x v="2"/>
    <s v="UK"/>
    <x v="0"/>
    <s v="Vendor B"/>
    <n v="7411"/>
    <n v="7.0000000000000007E-2"/>
    <n v="6892.23"/>
    <n v="5314.54"/>
    <n v="1"/>
    <n v="165"/>
    <n v="0.28000000000000003"/>
    <n v="6892.23"/>
    <n v="5479.54"/>
    <n v="5479.54"/>
    <n v="1412.6899999999996"/>
    <x v="429"/>
    <n v="-7.5031506493543995E-2"/>
    <x v="0"/>
    <x v="2"/>
  </r>
  <r>
    <x v="430"/>
    <d v="2024-05-06T00:00:00"/>
    <x v="3"/>
    <s v="APP-305"/>
    <x v="2"/>
    <s v="Germany"/>
    <x v="1"/>
    <s v="Vendor B"/>
    <n v="5297"/>
    <n v="0.31"/>
    <n v="3654.93"/>
    <n v="2623.11"/>
    <n v="1"/>
    <n v="45"/>
    <n v="0.33"/>
    <n v="3654.93"/>
    <n v="2668.11"/>
    <n v="2668.11"/>
    <n v="986.81999999999971"/>
    <x v="430"/>
    <n v="-6.0003036993868997E-2"/>
    <x v="0"/>
    <x v="1"/>
  </r>
  <r>
    <x v="431"/>
    <d v="2024-05-16T00:00:00"/>
    <x v="0"/>
    <s v="ELE-579"/>
    <x v="1"/>
    <s v="Singapore"/>
    <x v="0"/>
    <s v="Vendor A"/>
    <n v="1169"/>
    <n v="0.25"/>
    <n v="876.75"/>
    <n v="764.4"/>
    <n v="2"/>
    <n v="27"/>
    <n v="0.33"/>
    <n v="1753.5"/>
    <n v="791.4"/>
    <n v="1582.8"/>
    <n v="170.70000000000005"/>
    <x v="431"/>
    <n v="-0.23265183917878501"/>
    <x v="0"/>
    <x v="1"/>
  </r>
  <r>
    <x v="432"/>
    <d v="2024-05-19T00:00:00"/>
    <x v="2"/>
    <s v="B2B-241"/>
    <x v="0"/>
    <s v="USA"/>
    <x v="1"/>
    <s v="Vendor D"/>
    <n v="2758"/>
    <n v="0.24"/>
    <n v="2096.08"/>
    <n v="1732.13"/>
    <n v="1"/>
    <n v="149"/>
    <n v="0.39"/>
    <n v="2096.08"/>
    <n v="1881.13"/>
    <n v="1881.13"/>
    <n v="214.94999999999982"/>
    <x v="432"/>
    <n v="-0.28745143315140698"/>
    <x v="0"/>
    <x v="1"/>
  </r>
  <r>
    <x v="433"/>
    <d v="2024-05-08T00:00:00"/>
    <x v="3"/>
    <s v="APP-471"/>
    <x v="0"/>
    <s v="USA"/>
    <x v="1"/>
    <s v="Vendor D"/>
    <n v="3522"/>
    <n v="0.3"/>
    <n v="2465.4"/>
    <n v="2555.2800000000002"/>
    <n v="1"/>
    <n v="107"/>
    <n v="0.3"/>
    <n v="2465.4"/>
    <n v="2662.28"/>
    <n v="2662.28"/>
    <n v="-196.88000000000011"/>
    <x v="433"/>
    <n v="-0.37985722397988197"/>
    <x v="0"/>
    <x v="1"/>
  </r>
  <r>
    <x v="434"/>
    <d v="2024-02-27T00:00:00"/>
    <x v="2"/>
    <s v="B2B-289"/>
    <x v="1"/>
    <s v="Singapore"/>
    <x v="0"/>
    <s v="Vendor C"/>
    <n v="4188"/>
    <n v="0.05"/>
    <n v="3978.6"/>
    <n v="2779.33"/>
    <n v="3"/>
    <n v="26"/>
    <n v="0.31"/>
    <n v="11935.8"/>
    <n v="2805.33"/>
    <n v="8415.99"/>
    <n v="3519.8099999999995"/>
    <x v="434"/>
    <n v="-1.5104810737445001E-2"/>
    <x v="0"/>
    <x v="2"/>
  </r>
  <r>
    <x v="435"/>
    <d v="2024-05-01T00:00:00"/>
    <x v="2"/>
    <s v="B2B-936"/>
    <x v="1"/>
    <s v="Singapore"/>
    <x v="0"/>
    <s v="Vendor D"/>
    <n v="2388"/>
    <n v="0.32"/>
    <n v="1623.84"/>
    <n v="1470.85"/>
    <n v="3"/>
    <n v="162"/>
    <n v="0.34"/>
    <n v="4871.5199999999995"/>
    <n v="1632.85"/>
    <n v="4898.5499999999993"/>
    <n v="-27.029999999999745"/>
    <x v="435"/>
    <n v="-0.34554857621440499"/>
    <x v="0"/>
    <x v="1"/>
  </r>
  <r>
    <x v="436"/>
    <d v="2024-01-01T00:00:00"/>
    <x v="2"/>
    <s v="B2B-829"/>
    <x v="1"/>
    <s v="India"/>
    <x v="1"/>
    <s v="Vendor D"/>
    <n v="7133"/>
    <n v="0.08"/>
    <n v="6562.36"/>
    <n v="3588.39"/>
    <n v="3"/>
    <n v="63"/>
    <n v="0.37"/>
    <n v="19687.079999999998"/>
    <n v="3651.39"/>
    <n v="10954.17"/>
    <n v="8732.909999999998"/>
    <x v="436"/>
    <n v="7.3585844117055002E-2"/>
    <x v="2"/>
    <x v="2"/>
  </r>
  <r>
    <x v="437"/>
    <d v="2024-02-03T00:00:00"/>
    <x v="3"/>
    <s v="APP-211"/>
    <x v="1"/>
    <s v="Singapore"/>
    <x v="1"/>
    <s v="Vendor C"/>
    <n v="2155"/>
    <n v="0.19"/>
    <n v="1745.55"/>
    <n v="1175.53"/>
    <n v="2"/>
    <n v="166"/>
    <n v="0.38"/>
    <n v="3491.1"/>
    <n v="1341.53"/>
    <n v="2683.06"/>
    <n v="808.04"/>
    <x v="437"/>
    <n v="-0.14854286614534101"/>
    <x v="0"/>
    <x v="0"/>
  </r>
  <r>
    <x v="438"/>
    <d v="2024-04-05T00:00:00"/>
    <x v="1"/>
    <s v="HOM-342"/>
    <x v="1"/>
    <s v="India"/>
    <x v="0"/>
    <s v="Vendor A"/>
    <n v="5644"/>
    <n v="0.09"/>
    <n v="5136.04"/>
    <n v="3509.4"/>
    <n v="1"/>
    <n v="29"/>
    <n v="0.42"/>
    <n v="5136.04"/>
    <n v="3538.4"/>
    <n v="3538.4"/>
    <n v="1597.6399999999999"/>
    <x v="438"/>
    <n v="-0.108935444428003"/>
    <x v="0"/>
    <x v="2"/>
  </r>
  <r>
    <x v="439"/>
    <d v="2024-05-05T00:00:00"/>
    <x v="3"/>
    <s v="APP-953"/>
    <x v="2"/>
    <s v="UK"/>
    <x v="1"/>
    <s v="Vendor C"/>
    <n v="702"/>
    <n v="0.25"/>
    <n v="526.5"/>
    <n v="477.54"/>
    <n v="3"/>
    <n v="61"/>
    <n v="0.38"/>
    <n v="1579.5"/>
    <n v="538.54"/>
    <n v="1615.62"/>
    <n v="-36.119999999999891"/>
    <x v="439"/>
    <n v="-0.40286799620133001"/>
    <x v="0"/>
    <x v="1"/>
  </r>
  <r>
    <x v="440"/>
    <d v="2024-04-27T00:00:00"/>
    <x v="2"/>
    <s v="B2B-119"/>
    <x v="1"/>
    <s v="India"/>
    <x v="1"/>
    <s v="Vendor B"/>
    <n v="907"/>
    <n v="0.08"/>
    <n v="834.44"/>
    <n v="538.35"/>
    <n v="1"/>
    <n v="52"/>
    <n v="0.37"/>
    <n v="834.44"/>
    <n v="590.35"/>
    <n v="590.35"/>
    <n v="244.09000000000003"/>
    <x v="440"/>
    <n v="-7.7480465941229995E-2"/>
    <x v="0"/>
    <x v="2"/>
  </r>
  <r>
    <x v="441"/>
    <d v="2024-02-17T00:00:00"/>
    <x v="1"/>
    <s v="HOM-709"/>
    <x v="1"/>
    <s v="Singapore"/>
    <x v="0"/>
    <s v="Vendor C"/>
    <n v="4112"/>
    <n v="7.0000000000000007E-2"/>
    <n v="3824.16"/>
    <n v="1909.73"/>
    <n v="3"/>
    <n v="51"/>
    <n v="0.44"/>
    <n v="11472.48"/>
    <n v="1960.73"/>
    <n v="5882.1900000000005"/>
    <n v="5590.2899999999991"/>
    <x v="441"/>
    <n v="4.7278251955985E-2"/>
    <x v="2"/>
    <x v="2"/>
  </r>
  <r>
    <x v="442"/>
    <d v="2024-03-29T00:00:00"/>
    <x v="2"/>
    <s v="B2B-475"/>
    <x v="1"/>
    <s v="India"/>
    <x v="1"/>
    <s v="Vendor D"/>
    <n v="4887"/>
    <n v="0.25"/>
    <n v="3665.25"/>
    <n v="2424.81"/>
    <n v="3"/>
    <n v="108"/>
    <n v="0.3"/>
    <n v="10995.75"/>
    <n v="2532.81"/>
    <n v="7598.43"/>
    <n v="3397.3199999999997"/>
    <x v="442"/>
    <n v="8.9666462042150008E-3"/>
    <x v="2"/>
    <x v="1"/>
  </r>
  <r>
    <x v="443"/>
    <d v="2024-04-26T00:00:00"/>
    <x v="1"/>
    <s v="HOM-920"/>
    <x v="1"/>
    <s v="India"/>
    <x v="1"/>
    <s v="Vendor A"/>
    <n v="7883"/>
    <n v="0.28000000000000003"/>
    <n v="5675.76"/>
    <n v="4345.04"/>
    <n v="1"/>
    <n v="60"/>
    <n v="0.37"/>
    <n v="5675.76"/>
    <n v="4405.04"/>
    <n v="4405.04"/>
    <n v="1270.7200000000003"/>
    <x v="443"/>
    <n v="-0.146114564393138"/>
    <x v="0"/>
    <x v="1"/>
  </r>
  <r>
    <x v="444"/>
    <d v="2024-05-08T00:00:00"/>
    <x v="0"/>
    <s v="ELE-622"/>
    <x v="0"/>
    <s v="USA"/>
    <x v="0"/>
    <s v="Vendor B"/>
    <n v="2213"/>
    <n v="0.25"/>
    <n v="1659.75"/>
    <n v="1258.71"/>
    <n v="3"/>
    <n v="58"/>
    <n v="0.36"/>
    <n v="4979.25"/>
    <n v="1316.71"/>
    <n v="3950.13"/>
    <n v="1029.1199999999999"/>
    <x v="444"/>
    <n v="-0.153318270823919"/>
    <x v="0"/>
    <x v="1"/>
  </r>
  <r>
    <x v="445"/>
    <d v="2024-01-16T00:00:00"/>
    <x v="1"/>
    <s v="HOM-964"/>
    <x v="2"/>
    <s v="Germany"/>
    <x v="0"/>
    <s v="Vendor B"/>
    <n v="7757"/>
    <n v="0.22"/>
    <n v="6050.46"/>
    <n v="4294.95"/>
    <n v="2"/>
    <n v="162"/>
    <n v="0.36"/>
    <n v="12100.92"/>
    <n v="4456.95"/>
    <n v="8913.9"/>
    <n v="3187.0200000000004"/>
    <x v="445"/>
    <n v="-9.6629942186213999E-2"/>
    <x v="0"/>
    <x v="1"/>
  </r>
  <r>
    <x v="446"/>
    <d v="2024-03-09T00:00:00"/>
    <x v="1"/>
    <s v="HOM-316"/>
    <x v="2"/>
    <s v="France"/>
    <x v="0"/>
    <s v="Vendor A"/>
    <n v="3060"/>
    <n v="0.19"/>
    <n v="2478.6"/>
    <n v="1702.64"/>
    <n v="1"/>
    <n v="102"/>
    <n v="0.3"/>
    <n v="2478.6"/>
    <n v="1804.64"/>
    <n v="1804.64"/>
    <n v="673.95999999999981"/>
    <x v="446"/>
    <n v="-2.8088437020898999E-2"/>
    <x v="0"/>
    <x v="0"/>
  </r>
  <r>
    <x v="447"/>
    <d v="2024-01-22T00:00:00"/>
    <x v="3"/>
    <s v="APP-618"/>
    <x v="1"/>
    <s v="Singapore"/>
    <x v="0"/>
    <s v="Vendor A"/>
    <n v="6769"/>
    <n v="0.19"/>
    <n v="5482.89"/>
    <n v="3852.13"/>
    <n v="3"/>
    <n v="73"/>
    <n v="0.35"/>
    <n v="16448.670000000002"/>
    <n v="3925.13"/>
    <n v="11775.39"/>
    <n v="4673.2800000000025"/>
    <x v="447"/>
    <n v="-6.5887059561653999E-2"/>
    <x v="0"/>
    <x v="0"/>
  </r>
  <r>
    <x v="448"/>
    <d v="2024-04-02T00:00:00"/>
    <x v="3"/>
    <s v="APP-772"/>
    <x v="2"/>
    <s v="Germany"/>
    <x v="1"/>
    <s v="Vendor B"/>
    <n v="4795"/>
    <n v="0.13"/>
    <n v="4171.6499999999996"/>
    <n v="2913.33"/>
    <n v="2"/>
    <n v="59"/>
    <n v="0.43"/>
    <n v="8343.2999999999993"/>
    <n v="2972.33"/>
    <n v="5944.66"/>
    <n v="2398.6399999999994"/>
    <x v="448"/>
    <n v="-0.14250704157827199"/>
    <x v="0"/>
    <x v="0"/>
  </r>
  <r>
    <x v="449"/>
    <d v="2024-03-16T00:00:00"/>
    <x v="0"/>
    <s v="ELE-277"/>
    <x v="0"/>
    <s v="Canada"/>
    <x v="0"/>
    <s v="Vendor D"/>
    <n v="962"/>
    <n v="0.24"/>
    <n v="731.12"/>
    <n v="634.4"/>
    <n v="1"/>
    <n v="13"/>
    <n v="0.28999999999999998"/>
    <n v="731.12"/>
    <n v="647.4"/>
    <n v="647.4"/>
    <n v="83.720000000000027"/>
    <x v="449"/>
    <n v="-0.17549075391180699"/>
    <x v="0"/>
    <x v="1"/>
  </r>
  <r>
    <x v="450"/>
    <d v="2024-06-02T00:00:00"/>
    <x v="1"/>
    <s v="HOM-476"/>
    <x v="0"/>
    <s v="USA"/>
    <x v="1"/>
    <s v="Vendor D"/>
    <n v="4100"/>
    <n v="0.14000000000000001"/>
    <n v="3526"/>
    <n v="2496.86"/>
    <n v="3"/>
    <n v="52"/>
    <n v="0.38"/>
    <n v="10578"/>
    <n v="2548.86"/>
    <n v="7646.58"/>
    <n v="2931.42"/>
    <x v="450"/>
    <n v="-0.10287577992058999"/>
    <x v="0"/>
    <x v="0"/>
  </r>
  <r>
    <x v="451"/>
    <d v="2024-05-23T00:00:00"/>
    <x v="2"/>
    <s v="B2B-138"/>
    <x v="2"/>
    <s v="Germany"/>
    <x v="1"/>
    <s v="Vendor C"/>
    <n v="7404"/>
    <n v="0.16"/>
    <n v="6219.36"/>
    <n v="4696.51"/>
    <n v="2"/>
    <n v="48"/>
    <n v="0.41"/>
    <n v="12438.72"/>
    <n v="4744.51"/>
    <n v="9489.02"/>
    <n v="2949.6999999999989"/>
    <x v="451"/>
    <n v="-0.17286145198219799"/>
    <x v="0"/>
    <x v="0"/>
  </r>
  <r>
    <x v="452"/>
    <d v="2024-06-27T00:00:00"/>
    <x v="3"/>
    <s v="APP-554"/>
    <x v="0"/>
    <s v="Canada"/>
    <x v="1"/>
    <s v="Vendor C"/>
    <n v="5235"/>
    <n v="0.24"/>
    <n v="3978.6"/>
    <n v="3657.15"/>
    <n v="2"/>
    <n v="27"/>
    <n v="0.33"/>
    <n v="7957.2"/>
    <n v="3684.15"/>
    <n v="7368.3"/>
    <n v="588.89999999999964"/>
    <x v="452"/>
    <n v="-0.25599155481827801"/>
    <x v="0"/>
    <x v="1"/>
  </r>
  <r>
    <x v="453"/>
    <d v="2024-03-26T00:00:00"/>
    <x v="1"/>
    <s v="HOM-706"/>
    <x v="0"/>
    <s v="USA"/>
    <x v="0"/>
    <s v="Vendor C"/>
    <n v="5259"/>
    <n v="0.1"/>
    <n v="4733.1000000000004"/>
    <n v="3505.75"/>
    <n v="2"/>
    <n v="161"/>
    <n v="0.36"/>
    <n v="9466.2000000000007"/>
    <n v="3666.75"/>
    <n v="7333.5"/>
    <n v="2132.7000000000007"/>
    <x v="453"/>
    <n v="-0.13470368257590201"/>
    <x v="0"/>
    <x v="0"/>
  </r>
  <r>
    <x v="454"/>
    <d v="2024-01-29T00:00:00"/>
    <x v="3"/>
    <s v="APP-504"/>
    <x v="2"/>
    <s v="Germany"/>
    <x v="0"/>
    <s v="Vendor A"/>
    <n v="6139"/>
    <n v="0.28999999999999998"/>
    <n v="4358.6899999999996"/>
    <n v="4513.1499999999996"/>
    <n v="3"/>
    <n v="164"/>
    <n v="0.45"/>
    <n v="13076.07"/>
    <n v="4677.1499999999996"/>
    <n v="14031.449999999999"/>
    <n v="-955.3799999999992"/>
    <x v="454"/>
    <n v="-0.52306323688998302"/>
    <x v="1"/>
    <x v="1"/>
  </r>
  <r>
    <x v="455"/>
    <d v="2024-03-09T00:00:00"/>
    <x v="0"/>
    <s v="ELE-234"/>
    <x v="1"/>
    <s v="India"/>
    <x v="1"/>
    <s v="Vendor A"/>
    <n v="320"/>
    <n v="0.23"/>
    <n v="246.4"/>
    <n v="146.31"/>
    <n v="2"/>
    <n v="181"/>
    <n v="0.3"/>
    <n v="492.8"/>
    <n v="327.31"/>
    <n v="654.62"/>
    <n v="-161.82"/>
    <x v="455"/>
    <n v="-0.62836850649350595"/>
    <x v="1"/>
    <x v="1"/>
  </r>
  <r>
    <x v="456"/>
    <d v="2024-02-16T00:00:00"/>
    <x v="2"/>
    <s v="B2B-980"/>
    <x v="1"/>
    <s v="Singapore"/>
    <x v="0"/>
    <s v="Vendor B"/>
    <n v="6557"/>
    <n v="0.06"/>
    <n v="6163.58"/>
    <n v="4564.63"/>
    <n v="3"/>
    <n v="77"/>
    <n v="0.38"/>
    <n v="18490.739999999998"/>
    <n v="4641.63"/>
    <n v="13924.89"/>
    <n v="4565.8499999999985"/>
    <x v="456"/>
    <n v="-0.13307370067395899"/>
    <x v="0"/>
    <x v="2"/>
  </r>
  <r>
    <x v="457"/>
    <d v="2024-04-03T00:00:00"/>
    <x v="2"/>
    <s v="B2B-243"/>
    <x v="2"/>
    <s v="Germany"/>
    <x v="1"/>
    <s v="Vendor D"/>
    <n v="4528"/>
    <n v="0.24"/>
    <n v="3441.28"/>
    <n v="3103.14"/>
    <n v="1"/>
    <n v="194"/>
    <n v="0.35"/>
    <n v="3441.28"/>
    <n v="3297.14"/>
    <n v="3297.14"/>
    <n v="144.14000000000033"/>
    <x v="457"/>
    <n v="-0.30811442254045002"/>
    <x v="0"/>
    <x v="1"/>
  </r>
  <r>
    <x v="458"/>
    <d v="2024-05-23T00:00:00"/>
    <x v="1"/>
    <s v="HOM-826"/>
    <x v="1"/>
    <s v="Singapore"/>
    <x v="0"/>
    <s v="Vendor D"/>
    <n v="4324"/>
    <n v="0.24"/>
    <n v="3286.24"/>
    <n v="2687.29"/>
    <n v="2"/>
    <n v="182"/>
    <n v="0.28999999999999998"/>
    <n v="6572.48"/>
    <n v="2869.29"/>
    <n v="5738.58"/>
    <n v="833.89999999999964"/>
    <x v="458"/>
    <n v="-0.16312247431715299"/>
    <x v="0"/>
    <x v="1"/>
  </r>
  <r>
    <x v="459"/>
    <d v="2024-06-24T00:00:00"/>
    <x v="0"/>
    <s v="ELE-438"/>
    <x v="0"/>
    <s v="Canada"/>
    <x v="1"/>
    <s v="Vendor B"/>
    <n v="3372"/>
    <n v="0.25"/>
    <n v="2529"/>
    <n v="1598.43"/>
    <n v="3"/>
    <n v="166"/>
    <n v="0.31"/>
    <n v="7587"/>
    <n v="1764.43"/>
    <n v="5293.29"/>
    <n v="2293.71"/>
    <x v="459"/>
    <n v="-7.6789244760779897E-3"/>
    <x v="0"/>
    <x v="1"/>
  </r>
  <r>
    <x v="460"/>
    <d v="2024-03-25T00:00:00"/>
    <x v="1"/>
    <s v="HOM-274"/>
    <x v="2"/>
    <s v="Germany"/>
    <x v="1"/>
    <s v="Vendor D"/>
    <n v="2720"/>
    <n v="0.31"/>
    <n v="1876.8"/>
    <n v="2001.17"/>
    <n v="3"/>
    <n v="76"/>
    <n v="0.31"/>
    <n v="5630.4"/>
    <n v="2077.17"/>
    <n v="6231.51"/>
    <n v="-601.11000000000058"/>
    <x v="460"/>
    <n v="-0.41676150895140701"/>
    <x v="0"/>
    <x v="1"/>
  </r>
  <r>
    <x v="461"/>
    <d v="2024-02-08T00:00:00"/>
    <x v="1"/>
    <s v="HOM-426"/>
    <x v="1"/>
    <s v="India"/>
    <x v="1"/>
    <s v="Vendor C"/>
    <n v="3137"/>
    <n v="0.22"/>
    <n v="2446.86"/>
    <n v="2237.9699999999998"/>
    <n v="2"/>
    <n v="69"/>
    <n v="0.44"/>
    <n v="4893.72"/>
    <n v="2306.9699999999998"/>
    <n v="4613.9399999999996"/>
    <n v="279.78000000000065"/>
    <x v="461"/>
    <n v="-0.38282876829896301"/>
    <x v="0"/>
    <x v="1"/>
  </r>
  <r>
    <x v="462"/>
    <d v="2024-04-09T00:00:00"/>
    <x v="3"/>
    <s v="APP-811"/>
    <x v="1"/>
    <s v="India"/>
    <x v="0"/>
    <s v="Vendor B"/>
    <n v="3529"/>
    <n v="0.21"/>
    <n v="2787.91"/>
    <n v="2065.73"/>
    <n v="3"/>
    <n v="19"/>
    <n v="0.38"/>
    <n v="8363.73"/>
    <n v="2084.73"/>
    <n v="6254.1900000000005"/>
    <n v="2109.5399999999991"/>
    <x v="462"/>
    <n v="-0.12777521512530901"/>
    <x v="0"/>
    <x v="1"/>
  </r>
  <r>
    <x v="463"/>
    <d v="2024-02-02T00:00:00"/>
    <x v="3"/>
    <s v="APP-233"/>
    <x v="0"/>
    <s v="USA"/>
    <x v="1"/>
    <s v="Vendor A"/>
    <n v="1773"/>
    <n v="0.09"/>
    <n v="1613.43"/>
    <n v="1073.67"/>
    <n v="1"/>
    <n v="178"/>
    <n v="0.28999999999999998"/>
    <n v="1613.43"/>
    <n v="1251.67"/>
    <n v="1251.67"/>
    <n v="361.76"/>
    <x v="463"/>
    <n v="-6.5782029589135996E-2"/>
    <x v="0"/>
    <x v="2"/>
  </r>
  <r>
    <x v="464"/>
    <d v="2024-04-10T00:00:00"/>
    <x v="1"/>
    <s v="HOM-278"/>
    <x v="1"/>
    <s v="India"/>
    <x v="1"/>
    <s v="Vendor B"/>
    <n v="1214"/>
    <n v="0.08"/>
    <n v="1116.8800000000001"/>
    <n v="650.41999999999996"/>
    <n v="3"/>
    <n v="68"/>
    <n v="0.39"/>
    <n v="3350.6400000000003"/>
    <n v="718.42"/>
    <n v="2155.2599999999998"/>
    <n v="1195.3800000000006"/>
    <x v="464"/>
    <n v="-3.3238306711552999E-2"/>
    <x v="0"/>
    <x v="2"/>
  </r>
  <r>
    <x v="465"/>
    <d v="2024-01-23T00:00:00"/>
    <x v="1"/>
    <s v="HOM-891"/>
    <x v="1"/>
    <s v="Singapore"/>
    <x v="1"/>
    <s v="Vendor D"/>
    <n v="4613"/>
    <n v="0.22"/>
    <n v="3598.14"/>
    <n v="2106.6"/>
    <n v="2"/>
    <n v="76"/>
    <n v="0.38"/>
    <n v="7196.28"/>
    <n v="2182.6"/>
    <n v="4365.2"/>
    <n v="2831.08"/>
    <x v="465"/>
    <n v="1.3408816777557E-2"/>
    <x v="2"/>
    <x v="1"/>
  </r>
  <r>
    <x v="466"/>
    <d v="2024-01-10T00:00:00"/>
    <x v="0"/>
    <s v="ELE-469"/>
    <x v="1"/>
    <s v="Singapore"/>
    <x v="1"/>
    <s v="Vendor A"/>
    <n v="4293"/>
    <n v="0.1"/>
    <n v="3863.7"/>
    <n v="2958.97"/>
    <n v="2"/>
    <n v="75"/>
    <n v="0.37"/>
    <n v="7727.4"/>
    <n v="3033.97"/>
    <n v="6067.94"/>
    <n v="1659.46"/>
    <x v="466"/>
    <n v="-0.155249890001812"/>
    <x v="0"/>
    <x v="0"/>
  </r>
  <r>
    <x v="467"/>
    <d v="2024-03-09T00:00:00"/>
    <x v="2"/>
    <s v="B2B-849"/>
    <x v="1"/>
    <s v="India"/>
    <x v="1"/>
    <s v="Vendor B"/>
    <n v="3232"/>
    <n v="0.15"/>
    <n v="2747.2"/>
    <n v="2213.04"/>
    <n v="3"/>
    <n v="44"/>
    <n v="0.32"/>
    <n v="8241.5999999999985"/>
    <n v="2257.04"/>
    <n v="6771.12"/>
    <n v="1470.4799999999987"/>
    <x v="467"/>
    <n v="-0.141578334304019"/>
    <x v="0"/>
    <x v="0"/>
  </r>
  <r>
    <x v="468"/>
    <d v="2024-04-09T00:00:00"/>
    <x v="0"/>
    <s v="ELE-175"/>
    <x v="2"/>
    <s v="France"/>
    <x v="1"/>
    <s v="Vendor A"/>
    <n v="4850"/>
    <n v="0.17"/>
    <n v="4025.5"/>
    <n v="3605.81"/>
    <n v="2"/>
    <n v="160"/>
    <n v="0.31"/>
    <n v="8051"/>
    <n v="3765.81"/>
    <n v="7531.62"/>
    <n v="519.38000000000011"/>
    <x v="468"/>
    <n v="-0.24548875916035301"/>
    <x v="0"/>
    <x v="0"/>
  </r>
  <r>
    <x v="469"/>
    <d v="2024-02-03T00:00:00"/>
    <x v="2"/>
    <s v="B2B-710"/>
    <x v="1"/>
    <s v="Singapore"/>
    <x v="0"/>
    <s v="Vendor A"/>
    <n v="3012"/>
    <n v="0.21"/>
    <n v="2379.48"/>
    <n v="1416.82"/>
    <n v="1"/>
    <n v="135"/>
    <n v="0.44"/>
    <n v="2379.48"/>
    <n v="1551.82"/>
    <n v="1551.82"/>
    <n v="827.66000000000008"/>
    <x v="469"/>
    <n v="-9.2167700505993003E-2"/>
    <x v="0"/>
    <x v="1"/>
  </r>
  <r>
    <x v="470"/>
    <d v="2024-06-28T00:00:00"/>
    <x v="1"/>
    <s v="HOM-657"/>
    <x v="2"/>
    <s v="UK"/>
    <x v="1"/>
    <s v="Vendor B"/>
    <n v="3966"/>
    <n v="0.24"/>
    <n v="3014.16"/>
    <n v="2461.16"/>
    <n v="3"/>
    <n v="159"/>
    <n v="0.35"/>
    <n v="9042.48"/>
    <n v="2620.16"/>
    <n v="7860.48"/>
    <n v="1182"/>
    <x v="470"/>
    <n v="-0.21928364784882001"/>
    <x v="0"/>
    <x v="1"/>
  </r>
  <r>
    <x v="471"/>
    <d v="2024-05-17T00:00:00"/>
    <x v="3"/>
    <s v="APP-974"/>
    <x v="1"/>
    <s v="India"/>
    <x v="0"/>
    <s v="Vendor D"/>
    <n v="4230"/>
    <n v="0.35"/>
    <n v="2749.5"/>
    <n v="2167.85"/>
    <n v="3"/>
    <n v="160"/>
    <n v="0.39"/>
    <n v="8248.5"/>
    <n v="2327.85"/>
    <n v="6983.5499999999993"/>
    <n v="1264.9500000000007"/>
    <x v="471"/>
    <n v="-0.23664484451718501"/>
    <x v="0"/>
    <x v="1"/>
  </r>
  <r>
    <x v="472"/>
    <d v="2024-05-26T00:00:00"/>
    <x v="3"/>
    <s v="APP-565"/>
    <x v="1"/>
    <s v="Singapore"/>
    <x v="0"/>
    <s v="Vendor B"/>
    <n v="6024"/>
    <n v="0.12"/>
    <n v="5301.12"/>
    <n v="3896.15"/>
    <n v="3"/>
    <n v="112"/>
    <n v="0.33"/>
    <n v="15903.36"/>
    <n v="4008.15"/>
    <n v="12024.45"/>
    <n v="3878.91"/>
    <x v="472"/>
    <n v="-8.6094938428106005E-2"/>
    <x v="0"/>
    <x v="0"/>
  </r>
  <r>
    <x v="473"/>
    <d v="2024-04-05T00:00:00"/>
    <x v="2"/>
    <s v="B2B-924"/>
    <x v="1"/>
    <s v="India"/>
    <x v="1"/>
    <s v="Vendor C"/>
    <n v="1123"/>
    <n v="0.06"/>
    <n v="1055.6199999999999"/>
    <n v="740.96"/>
    <n v="1"/>
    <n v="100"/>
    <n v="0.41"/>
    <n v="1055.6199999999999"/>
    <n v="840.96"/>
    <n v="840.96"/>
    <n v="214.65999999999985"/>
    <x v="473"/>
    <n v="-0.20665030977056201"/>
    <x v="0"/>
    <x v="2"/>
  </r>
  <r>
    <x v="474"/>
    <d v="2024-01-01T00:00:00"/>
    <x v="3"/>
    <s v="APP-636"/>
    <x v="1"/>
    <s v="India"/>
    <x v="1"/>
    <s v="Vendor A"/>
    <n v="5758"/>
    <n v="0.18"/>
    <n v="4721.5600000000004"/>
    <n v="3139.21"/>
    <n v="1"/>
    <n v="126"/>
    <n v="0.4"/>
    <n v="4721.5600000000004"/>
    <n v="3265.21"/>
    <n v="3265.21"/>
    <n v="1456.3500000000004"/>
    <x v="474"/>
    <n v="-9.1553215462685994E-2"/>
    <x v="0"/>
    <x v="0"/>
  </r>
  <r>
    <x v="475"/>
    <d v="2024-03-09T00:00:00"/>
    <x v="0"/>
    <s v="ELE-602"/>
    <x v="2"/>
    <s v="France"/>
    <x v="1"/>
    <s v="Vendor A"/>
    <n v="7214"/>
    <n v="0.27"/>
    <n v="5266.22"/>
    <n v="3298.12"/>
    <n v="2"/>
    <n v="151"/>
    <n v="0.44"/>
    <n v="10532.44"/>
    <n v="3449.12"/>
    <n v="6898.24"/>
    <n v="3634.2000000000007"/>
    <x v="475"/>
    <n v="-9.4951749072389999E-2"/>
    <x v="0"/>
    <x v="1"/>
  </r>
  <r>
    <x v="476"/>
    <d v="2024-01-04T00:00:00"/>
    <x v="0"/>
    <s v="ELE-252"/>
    <x v="0"/>
    <s v="USA"/>
    <x v="1"/>
    <s v="Vendor B"/>
    <n v="6129"/>
    <n v="0.22"/>
    <n v="4780.62"/>
    <n v="3507.07"/>
    <n v="2"/>
    <n v="44"/>
    <n v="0.39"/>
    <n v="9561.24"/>
    <n v="3551.07"/>
    <n v="7102.14"/>
    <n v="2459.0999999999995"/>
    <x v="476"/>
    <n v="-0.13280532650576701"/>
    <x v="0"/>
    <x v="1"/>
  </r>
  <r>
    <x v="477"/>
    <d v="2024-01-16T00:00:00"/>
    <x v="2"/>
    <s v="B2B-281"/>
    <x v="0"/>
    <s v="USA"/>
    <x v="1"/>
    <s v="Vendor B"/>
    <n v="4490"/>
    <n v="0.14000000000000001"/>
    <n v="3861.4"/>
    <n v="2865.03"/>
    <n v="3"/>
    <n v="160"/>
    <n v="0.38"/>
    <n v="11584.2"/>
    <n v="3025.03"/>
    <n v="9075.09"/>
    <n v="2509.1100000000006"/>
    <x v="477"/>
    <n v="-0.16340239291448699"/>
    <x v="0"/>
    <x v="0"/>
  </r>
  <r>
    <x v="478"/>
    <d v="2024-01-24T00:00:00"/>
    <x v="0"/>
    <s v="ELE-144"/>
    <x v="1"/>
    <s v="India"/>
    <x v="1"/>
    <s v="Vendor A"/>
    <n v="3027"/>
    <n v="0.1"/>
    <n v="2724.3"/>
    <n v="2080.1799999999998"/>
    <n v="2"/>
    <n v="155"/>
    <n v="0.35"/>
    <n v="5448.6"/>
    <n v="2235.1799999999998"/>
    <n v="4470.3599999999997"/>
    <n v="978.24000000000069"/>
    <x v="478"/>
    <n v="-0.17046030172888399"/>
    <x v="0"/>
    <x v="0"/>
  </r>
  <r>
    <x v="479"/>
    <d v="2024-03-20T00:00:00"/>
    <x v="3"/>
    <s v="APP-373"/>
    <x v="2"/>
    <s v="Germany"/>
    <x v="1"/>
    <s v="Vendor A"/>
    <n v="6241"/>
    <n v="0.1"/>
    <n v="5616.9"/>
    <n v="4162.26"/>
    <n v="2"/>
    <n v="19"/>
    <n v="0.4"/>
    <n v="11233.8"/>
    <n v="4181.26"/>
    <n v="8362.52"/>
    <n v="2871.2799999999988"/>
    <x v="479"/>
    <n v="-0.14440705727358499"/>
    <x v="0"/>
    <x v="0"/>
  </r>
  <r>
    <x v="480"/>
    <d v="2024-01-02T00:00:00"/>
    <x v="1"/>
    <s v="HOM-710"/>
    <x v="0"/>
    <s v="USA"/>
    <x v="1"/>
    <s v="Vendor C"/>
    <n v="1241"/>
    <n v="0.25"/>
    <n v="930.75"/>
    <n v="855.79"/>
    <n v="1"/>
    <n v="141"/>
    <n v="0.28000000000000003"/>
    <n v="930.75"/>
    <n v="996.79"/>
    <n v="996.79"/>
    <n v="-66.039999999999964"/>
    <x v="480"/>
    <n v="-0.35095353209777103"/>
    <x v="0"/>
    <x v="1"/>
  </r>
  <r>
    <x v="481"/>
    <d v="2024-05-07T00:00:00"/>
    <x v="0"/>
    <s v="ELE-288"/>
    <x v="0"/>
    <s v="Canada"/>
    <x v="1"/>
    <s v="Vendor D"/>
    <n v="6272"/>
    <n v="0.25"/>
    <n v="4704"/>
    <n v="4100.13"/>
    <n v="2"/>
    <n v="22"/>
    <n v="0.41"/>
    <n v="9408"/>
    <n v="4122.13"/>
    <n v="8244.26"/>
    <n v="1163.7399999999998"/>
    <x v="481"/>
    <n v="-0.28630314625850301"/>
    <x v="0"/>
    <x v="1"/>
  </r>
  <r>
    <x v="482"/>
    <d v="2024-06-08T00:00:00"/>
    <x v="2"/>
    <s v="B2B-397"/>
    <x v="1"/>
    <s v="India"/>
    <x v="0"/>
    <s v="Vendor C"/>
    <n v="7583"/>
    <n v="7.0000000000000007E-2"/>
    <n v="7052.19"/>
    <n v="3725.44"/>
    <n v="3"/>
    <n v="20"/>
    <n v="0.43"/>
    <n v="21156.57"/>
    <n v="3745.44"/>
    <n v="11236.32"/>
    <n v="9920.25"/>
    <x v="482"/>
    <n v="3.8896895857882002E-2"/>
    <x v="2"/>
    <x v="2"/>
  </r>
  <r>
    <x v="483"/>
    <d v="2024-03-24T00:00:00"/>
    <x v="2"/>
    <s v="B2B-890"/>
    <x v="0"/>
    <s v="Canada"/>
    <x v="1"/>
    <s v="Vendor A"/>
    <n v="5243"/>
    <n v="0.32"/>
    <n v="3565.24"/>
    <n v="2422.7199999999998"/>
    <n v="2"/>
    <n v="139"/>
    <n v="0.35"/>
    <n v="7130.48"/>
    <n v="2561.7199999999998"/>
    <n v="5123.4399999999996"/>
    <n v="2007.04"/>
    <x v="483"/>
    <n v="-6.8526663001649002E-2"/>
    <x v="0"/>
    <x v="1"/>
  </r>
  <r>
    <x v="484"/>
    <d v="2024-05-31T00:00:00"/>
    <x v="2"/>
    <s v="B2B-847"/>
    <x v="1"/>
    <s v="Singapore"/>
    <x v="0"/>
    <s v="Vendor C"/>
    <n v="3790"/>
    <n v="0.14000000000000001"/>
    <n v="3259.4"/>
    <n v="2594.5100000000002"/>
    <n v="3"/>
    <n v="98"/>
    <n v="0.44"/>
    <n v="9778.2000000000007"/>
    <n v="2692.51"/>
    <n v="8077.5300000000007"/>
    <n v="1700.67"/>
    <x v="484"/>
    <n v="-0.266075351291649"/>
    <x v="0"/>
    <x v="0"/>
  </r>
  <r>
    <x v="485"/>
    <d v="2024-05-19T00:00:00"/>
    <x v="0"/>
    <s v="ELE-693"/>
    <x v="1"/>
    <s v="India"/>
    <x v="0"/>
    <s v="Vendor A"/>
    <n v="5803"/>
    <n v="0.22"/>
    <n v="4526.34"/>
    <n v="2971.4"/>
    <n v="3"/>
    <n v="79"/>
    <n v="0.33"/>
    <n v="13579.02"/>
    <n v="3050.4"/>
    <n v="9151.2000000000007"/>
    <n v="4427.82"/>
    <x v="485"/>
    <n v="-3.9219766964040401E-3"/>
    <x v="0"/>
    <x v="1"/>
  </r>
  <r>
    <x v="486"/>
    <d v="2024-06-26T00:00:00"/>
    <x v="2"/>
    <s v="B2B-315"/>
    <x v="1"/>
    <s v="Singapore"/>
    <x v="0"/>
    <s v="Vendor C"/>
    <n v="5895"/>
    <n v="0.17"/>
    <n v="4892.8500000000004"/>
    <n v="3128.76"/>
    <n v="2"/>
    <n v="120"/>
    <n v="0.41"/>
    <n v="9785.7000000000007"/>
    <n v="3248.76"/>
    <n v="6497.52"/>
    <n v="3288.1800000000003"/>
    <x v="486"/>
    <n v="-7.3981115300898001E-2"/>
    <x v="0"/>
    <x v="0"/>
  </r>
  <r>
    <x v="487"/>
    <d v="2024-06-11T00:00:00"/>
    <x v="1"/>
    <s v="HOM-404"/>
    <x v="0"/>
    <s v="Canada"/>
    <x v="0"/>
    <s v="Vendor C"/>
    <n v="7764"/>
    <n v="0.3"/>
    <n v="5434.8"/>
    <n v="3919.61"/>
    <n v="3"/>
    <n v="111"/>
    <n v="0.28000000000000003"/>
    <n v="16304.400000000001"/>
    <n v="4030.61"/>
    <n v="12091.83"/>
    <n v="4212.5700000000015"/>
    <x v="487"/>
    <n v="-2.1629866784426001E-2"/>
    <x v="0"/>
    <x v="1"/>
  </r>
  <r>
    <x v="488"/>
    <d v="2024-05-03T00:00:00"/>
    <x v="1"/>
    <s v="HOM-272"/>
    <x v="0"/>
    <s v="Canada"/>
    <x v="1"/>
    <s v="Vendor C"/>
    <n v="3705"/>
    <n v="7.0000000000000007E-2"/>
    <n v="3445.65"/>
    <n v="2334.11"/>
    <n v="2"/>
    <n v="92"/>
    <n v="0.37"/>
    <n v="6891.3"/>
    <n v="2426.11"/>
    <n v="4852.22"/>
    <n v="2039.08"/>
    <x v="488"/>
    <n v="-7.4108078301626995E-2"/>
    <x v="0"/>
    <x v="2"/>
  </r>
  <r>
    <x v="489"/>
    <d v="2024-02-02T00:00:00"/>
    <x v="1"/>
    <s v="HOM-538"/>
    <x v="0"/>
    <s v="USA"/>
    <x v="0"/>
    <s v="Vendor D"/>
    <n v="4042"/>
    <n v="0.32"/>
    <n v="2748.56"/>
    <n v="1937.14"/>
    <n v="1"/>
    <n v="143"/>
    <n v="0.34"/>
    <n v="2748.56"/>
    <n v="2080.1400000000003"/>
    <n v="2080.1400000000003"/>
    <n v="668.41999999999962"/>
    <x v="489"/>
    <n v="-9.6810839130307996E-2"/>
    <x v="0"/>
    <x v="1"/>
  </r>
  <r>
    <x v="490"/>
    <d v="2024-06-09T00:00:00"/>
    <x v="2"/>
    <s v="B2B-701"/>
    <x v="0"/>
    <s v="Canada"/>
    <x v="1"/>
    <s v="Vendor C"/>
    <n v="7332"/>
    <n v="0.14000000000000001"/>
    <n v="6305.52"/>
    <n v="3439.48"/>
    <n v="2"/>
    <n v="84"/>
    <n v="0.28000000000000003"/>
    <n v="12611.04"/>
    <n v="3523.48"/>
    <n v="7046.96"/>
    <n v="5564.0800000000008"/>
    <x v="490"/>
    <n v="0.16120706936144799"/>
    <x v="2"/>
    <x v="0"/>
  </r>
  <r>
    <x v="491"/>
    <d v="2024-06-27T00:00:00"/>
    <x v="2"/>
    <s v="B2B-996"/>
    <x v="0"/>
    <s v="Canada"/>
    <x v="1"/>
    <s v="Vendor C"/>
    <n v="5497"/>
    <n v="0.31"/>
    <n v="3792.93"/>
    <n v="2950.97"/>
    <n v="3"/>
    <n v="68"/>
    <n v="0.3"/>
    <n v="11378.789999999999"/>
    <n v="3018.97"/>
    <n v="9056.91"/>
    <n v="2321.8799999999992"/>
    <x v="491"/>
    <n v="-9.5946669197692E-2"/>
    <x v="0"/>
    <x v="1"/>
  </r>
  <r>
    <x v="492"/>
    <d v="2024-06-19T00:00:00"/>
    <x v="2"/>
    <s v="B2B-830"/>
    <x v="0"/>
    <s v="USA"/>
    <x v="0"/>
    <s v="Vendor D"/>
    <n v="3156"/>
    <n v="0.31"/>
    <n v="2177.64"/>
    <n v="1580.08"/>
    <n v="3"/>
    <n v="113"/>
    <n v="0.4"/>
    <n v="6532.92"/>
    <n v="1693.08"/>
    <n v="5079.24"/>
    <n v="1453.6800000000003"/>
    <x v="492"/>
    <n v="-0.17748388163332801"/>
    <x v="0"/>
    <x v="1"/>
  </r>
  <r>
    <x v="493"/>
    <d v="2024-04-10T00:00:00"/>
    <x v="2"/>
    <s v="B2B-482"/>
    <x v="2"/>
    <s v="UK"/>
    <x v="1"/>
    <s v="Vendor C"/>
    <n v="4988"/>
    <n v="0.25"/>
    <n v="3741"/>
    <n v="3196.38"/>
    <n v="1"/>
    <n v="72"/>
    <n v="0.37"/>
    <n v="3741"/>
    <n v="3268.38"/>
    <n v="3268.38"/>
    <n v="472.61999999999989"/>
    <x v="493"/>
    <n v="-0.24366479550922199"/>
    <x v="0"/>
    <x v="1"/>
  </r>
  <r>
    <x v="494"/>
    <d v="2024-01-12T00:00:00"/>
    <x v="2"/>
    <s v="B2B-352"/>
    <x v="0"/>
    <s v="USA"/>
    <x v="0"/>
    <s v="Vendor D"/>
    <n v="6196"/>
    <n v="0.26"/>
    <n v="4585.04"/>
    <n v="2984.12"/>
    <n v="2"/>
    <n v="125"/>
    <n v="0.39"/>
    <n v="9170.08"/>
    <n v="3109.12"/>
    <n v="6218.24"/>
    <n v="2951.84"/>
    <x v="494"/>
    <n v="-6.8100954408248995E-2"/>
    <x v="0"/>
    <x v="1"/>
  </r>
  <r>
    <x v="495"/>
    <d v="2024-03-07T00:00:00"/>
    <x v="1"/>
    <s v="HOM-370"/>
    <x v="0"/>
    <s v="USA"/>
    <x v="0"/>
    <s v="Vendor D"/>
    <n v="3749"/>
    <n v="0.08"/>
    <n v="3449.08"/>
    <n v="2145.6799999999998"/>
    <n v="3"/>
    <n v="88"/>
    <n v="0.44"/>
    <n v="10347.24"/>
    <n v="2233.6799999999998"/>
    <n v="6701.0399999999991"/>
    <n v="3646.2000000000007"/>
    <x v="495"/>
    <n v="-8.7616175907777996E-2"/>
    <x v="0"/>
    <x v="2"/>
  </r>
  <r>
    <x v="496"/>
    <d v="2024-03-05T00:00:00"/>
    <x v="2"/>
    <s v="B2B-321"/>
    <x v="2"/>
    <s v="UK"/>
    <x v="0"/>
    <s v="Vendor B"/>
    <n v="6752"/>
    <n v="0.31"/>
    <n v="4658.88"/>
    <n v="3306.36"/>
    <n v="1"/>
    <n v="105"/>
    <n v="0.3"/>
    <n v="4658.88"/>
    <n v="3411.36"/>
    <n v="3411.36"/>
    <n v="1247.52"/>
    <x v="496"/>
    <n v="-3.2227488151659003E-2"/>
    <x v="0"/>
    <x v="1"/>
  </r>
  <r>
    <x v="497"/>
    <d v="2024-06-09T00:00:00"/>
    <x v="0"/>
    <s v="ELE-803"/>
    <x v="0"/>
    <s v="USA"/>
    <x v="1"/>
    <s v="Vendor C"/>
    <n v="5405"/>
    <n v="0.21"/>
    <n v="4269.95"/>
    <n v="2710.49"/>
    <n v="2"/>
    <n v="91"/>
    <n v="0.36"/>
    <n v="8539.9"/>
    <n v="2801.49"/>
    <n v="5602.98"/>
    <n v="2936.92"/>
    <x v="497"/>
    <n v="-1.6094333657302999E-2"/>
    <x v="0"/>
    <x v="1"/>
  </r>
  <r>
    <x v="498"/>
    <d v="2024-06-16T00:00:00"/>
    <x v="3"/>
    <s v="APP-696"/>
    <x v="0"/>
    <s v="USA"/>
    <x v="1"/>
    <s v="Vendor C"/>
    <n v="6503"/>
    <n v="0.19"/>
    <n v="5267.43"/>
    <n v="3806.73"/>
    <n v="2"/>
    <n v="98"/>
    <n v="0.35"/>
    <n v="10534.86"/>
    <n v="3904.73"/>
    <n v="7809.46"/>
    <n v="2725.4000000000005"/>
    <x v="498"/>
    <n v="-9.1296989233838999E-2"/>
    <x v="0"/>
    <x v="0"/>
  </r>
  <r>
    <x v="499"/>
    <d v="2024-03-14T00:00:00"/>
    <x v="3"/>
    <s v="APP-231"/>
    <x v="0"/>
    <s v="USA"/>
    <x v="1"/>
    <s v="Vendor D"/>
    <n v="6499"/>
    <n v="0.24"/>
    <n v="4939.24"/>
    <n v="3741.42"/>
    <n v="2"/>
    <n v="26"/>
    <n v="0.28999999999999998"/>
    <n v="9878.48"/>
    <n v="3767.42"/>
    <n v="7534.84"/>
    <n v="2343.6399999999994"/>
    <x v="499"/>
    <n v="-5.2752974141770999E-2"/>
    <x v="0"/>
    <x v="1"/>
  </r>
  <r>
    <x v="500"/>
    <d v="2024-02-12T00:00:00"/>
    <x v="3"/>
    <s v="APP-587"/>
    <x v="0"/>
    <s v="USA"/>
    <x v="0"/>
    <s v="Vendor A"/>
    <n v="5144"/>
    <n v="0.3"/>
    <n v="3600.8"/>
    <n v="2715.42"/>
    <n v="3"/>
    <n v="25"/>
    <n v="0.28999999999999998"/>
    <n v="10802.400000000001"/>
    <n v="2740.42"/>
    <n v="8221.26"/>
    <n v="2581.1400000000012"/>
    <x v="500"/>
    <n v="-5.1058653632525999E-2"/>
    <x v="0"/>
    <x v="1"/>
  </r>
  <r>
    <x v="501"/>
    <d v="2024-02-13T00:00:00"/>
    <x v="3"/>
    <s v="APP-350"/>
    <x v="0"/>
    <s v="USA"/>
    <x v="1"/>
    <s v="Vendor A"/>
    <n v="2709"/>
    <n v="0.2"/>
    <n v="2167.1999999999998"/>
    <n v="1447.74"/>
    <n v="3"/>
    <n v="171"/>
    <n v="0.41"/>
    <n v="6501.5999999999995"/>
    <n v="1618.74"/>
    <n v="4856.22"/>
    <n v="1645.3799999999992"/>
    <x v="501"/>
    <n v="-0.15692691029900299"/>
    <x v="0"/>
    <x v="1"/>
  </r>
  <r>
    <x v="502"/>
    <d v="2024-01-29T00:00:00"/>
    <x v="3"/>
    <s v="APP-158"/>
    <x v="2"/>
    <s v="Germany"/>
    <x v="0"/>
    <s v="Vendor C"/>
    <n v="6290"/>
    <n v="0.26"/>
    <n v="4654.6000000000004"/>
    <n v="3411.14"/>
    <n v="2"/>
    <n v="134"/>
    <n v="0.28999999999999998"/>
    <n v="9309.2000000000007"/>
    <n v="3545.14"/>
    <n v="7090.28"/>
    <n v="2218.920000000001"/>
    <x v="502"/>
    <n v="-5.1642246379924997E-2"/>
    <x v="0"/>
    <x v="1"/>
  </r>
  <r>
    <x v="503"/>
    <d v="2024-05-20T00:00:00"/>
    <x v="3"/>
    <s v="APP-155"/>
    <x v="0"/>
    <s v="Canada"/>
    <x v="1"/>
    <s v="Vendor D"/>
    <n v="7917"/>
    <n v="0.35"/>
    <n v="5146.05"/>
    <n v="4115.3999999999996"/>
    <n v="2"/>
    <n v="96"/>
    <n v="0.31"/>
    <n v="10292.1"/>
    <n v="4211.3999999999996"/>
    <n v="8422.7999999999993"/>
    <n v="1869.3000000000011"/>
    <x v="503"/>
    <n v="-0.12837525869356101"/>
    <x v="0"/>
    <x v="1"/>
  </r>
  <r>
    <x v="504"/>
    <d v="2024-01-12T00:00:00"/>
    <x v="2"/>
    <s v="B2B-281"/>
    <x v="0"/>
    <s v="USA"/>
    <x v="0"/>
    <s v="Vendor A"/>
    <n v="6306"/>
    <n v="0.18"/>
    <n v="5170.92"/>
    <n v="4115.78"/>
    <n v="1"/>
    <n v="179"/>
    <n v="0.43"/>
    <n v="5170.92"/>
    <n v="4294.78"/>
    <n v="4294.78"/>
    <n v="876.14000000000033"/>
    <x v="504"/>
    <n v="-0.26056400021659598"/>
    <x v="0"/>
    <x v="0"/>
  </r>
  <r>
    <x v="505"/>
    <d v="2024-04-04T00:00:00"/>
    <x v="3"/>
    <s v="APP-292"/>
    <x v="1"/>
    <s v="Singapore"/>
    <x v="1"/>
    <s v="Vendor D"/>
    <n v="1908"/>
    <n v="0.28999999999999998"/>
    <n v="1354.68"/>
    <n v="1042.18"/>
    <n v="2"/>
    <n v="16"/>
    <n v="0.32"/>
    <n v="2709.36"/>
    <n v="1058.18"/>
    <n v="2116.36"/>
    <n v="593"/>
    <x v="505"/>
    <n v="-0.101129122744855"/>
    <x v="0"/>
    <x v="1"/>
  </r>
  <r>
    <x v="506"/>
    <d v="2024-02-15T00:00:00"/>
    <x v="2"/>
    <s v="B2B-790"/>
    <x v="2"/>
    <s v="Germany"/>
    <x v="0"/>
    <s v="Vendor A"/>
    <n v="3014"/>
    <n v="0.21"/>
    <n v="2381.06"/>
    <n v="2132.79"/>
    <n v="2"/>
    <n v="184"/>
    <n v="0.32"/>
    <n v="4762.12"/>
    <n v="2316.79"/>
    <n v="4633.58"/>
    <n v="128.53999999999996"/>
    <x v="506"/>
    <n v="-0.29300782004653397"/>
    <x v="0"/>
    <x v="1"/>
  </r>
  <r>
    <x v="507"/>
    <d v="2024-05-09T00:00:00"/>
    <x v="3"/>
    <s v="APP-927"/>
    <x v="2"/>
    <s v="UK"/>
    <x v="0"/>
    <s v="Vendor B"/>
    <n v="290"/>
    <n v="0.09"/>
    <n v="263.89999999999998"/>
    <n v="177.27"/>
    <n v="2"/>
    <n v="92"/>
    <n v="0.37"/>
    <n v="527.79999999999995"/>
    <n v="269.27"/>
    <n v="538.54"/>
    <n v="-10.740000000000009"/>
    <x v="507"/>
    <n v="-0.39034861690034101"/>
    <x v="0"/>
    <x v="2"/>
  </r>
  <r>
    <x v="508"/>
    <d v="2024-02-04T00:00:00"/>
    <x v="3"/>
    <s v="APP-257"/>
    <x v="1"/>
    <s v="Singapore"/>
    <x v="1"/>
    <s v="Vendor C"/>
    <n v="3333"/>
    <n v="0.28999999999999998"/>
    <n v="2366.4299999999998"/>
    <n v="2237.19"/>
    <n v="2"/>
    <n v="51"/>
    <n v="0.42"/>
    <n v="4732.8599999999997"/>
    <n v="2288.19"/>
    <n v="4576.38"/>
    <n v="156.47999999999956"/>
    <x v="508"/>
    <n v="-0.38693753882430498"/>
    <x v="0"/>
    <x v="1"/>
  </r>
  <r>
    <x v="509"/>
    <d v="2024-03-21T00:00:00"/>
    <x v="3"/>
    <s v="APP-668"/>
    <x v="2"/>
    <s v="UK"/>
    <x v="1"/>
    <s v="Vendor B"/>
    <n v="2568"/>
    <n v="0.1"/>
    <n v="2311.1999999999998"/>
    <n v="1758.95"/>
    <n v="3"/>
    <n v="31"/>
    <n v="0.39"/>
    <n v="6933.5999999999995"/>
    <n v="1789.95"/>
    <n v="5369.85"/>
    <n v="1563.7499999999991"/>
    <x v="509"/>
    <n v="-0.16446780893042601"/>
    <x v="0"/>
    <x v="0"/>
  </r>
  <r>
    <x v="510"/>
    <d v="2024-03-30T00:00:00"/>
    <x v="3"/>
    <s v="APP-627"/>
    <x v="2"/>
    <s v="UK"/>
    <x v="1"/>
    <s v="Vendor D"/>
    <n v="7046"/>
    <n v="0.21"/>
    <n v="5566.34"/>
    <n v="3335.27"/>
    <n v="1"/>
    <n v="188"/>
    <n v="0.32"/>
    <n v="5566.34"/>
    <n v="3523.27"/>
    <n v="3523.27"/>
    <n v="2043.0700000000002"/>
    <x v="510"/>
    <n v="4.7040101754473998E-2"/>
    <x v="2"/>
    <x v="1"/>
  </r>
  <r>
    <x v="511"/>
    <d v="2024-01-08T00:00:00"/>
    <x v="3"/>
    <s v="APP-634"/>
    <x v="1"/>
    <s v="India"/>
    <x v="1"/>
    <s v="Vendor D"/>
    <n v="7181"/>
    <n v="0.28000000000000003"/>
    <n v="5170.32"/>
    <n v="5245.28"/>
    <n v="1"/>
    <n v="180"/>
    <n v="0.42"/>
    <n v="5170.32"/>
    <n v="5425.28"/>
    <n v="5425.28"/>
    <n v="-254.96000000000004"/>
    <x v="511"/>
    <n v="-0.46931222825666502"/>
    <x v="0"/>
    <x v="1"/>
  </r>
  <r>
    <x v="512"/>
    <d v="2024-04-02T00:00:00"/>
    <x v="0"/>
    <s v="ELE-101"/>
    <x v="1"/>
    <s v="Singapore"/>
    <x v="1"/>
    <s v="Vendor C"/>
    <n v="7379"/>
    <n v="0.16"/>
    <n v="6198.36"/>
    <n v="4191.24"/>
    <n v="3"/>
    <n v="87"/>
    <n v="0.38"/>
    <n v="18595.079999999998"/>
    <n v="4278.24"/>
    <n v="12834.72"/>
    <n v="5760.3599999999988"/>
    <x v="512"/>
    <n v="-7.0221284339729004E-2"/>
    <x v="0"/>
    <x v="0"/>
  </r>
  <r>
    <x v="513"/>
    <d v="2024-06-02T00:00:00"/>
    <x v="0"/>
    <s v="ELE-157"/>
    <x v="2"/>
    <s v="France"/>
    <x v="1"/>
    <s v="Vendor D"/>
    <n v="1911"/>
    <n v="0.25"/>
    <n v="1433.25"/>
    <n v="1095.69"/>
    <n v="2"/>
    <n v="138"/>
    <n v="0.3"/>
    <n v="2866.5"/>
    <n v="1233.69"/>
    <n v="2467.38"/>
    <n v="399.11999999999989"/>
    <x v="513"/>
    <n v="-0.160763997906855"/>
    <x v="0"/>
    <x v="1"/>
  </r>
  <r>
    <x v="514"/>
    <d v="2024-03-30T00:00:00"/>
    <x v="3"/>
    <s v="APP-647"/>
    <x v="2"/>
    <s v="UK"/>
    <x v="1"/>
    <s v="Vendor A"/>
    <n v="5448"/>
    <n v="0.34"/>
    <n v="3595.68"/>
    <n v="2794.66"/>
    <n v="3"/>
    <n v="88"/>
    <n v="0.34"/>
    <n v="10787.039999999999"/>
    <n v="2882.66"/>
    <n v="8647.98"/>
    <n v="2139.0599999999995"/>
    <x v="514"/>
    <n v="-0.141700930004895"/>
    <x v="0"/>
    <x v="1"/>
  </r>
  <r>
    <x v="515"/>
    <d v="2024-06-10T00:00:00"/>
    <x v="2"/>
    <s v="B2B-433"/>
    <x v="0"/>
    <s v="USA"/>
    <x v="1"/>
    <s v="Vendor A"/>
    <n v="7347"/>
    <n v="0.28000000000000003"/>
    <n v="5289.84"/>
    <n v="3545.7"/>
    <n v="2"/>
    <n v="96"/>
    <n v="0.34"/>
    <n v="10579.68"/>
    <n v="3641.7"/>
    <n v="7283.4"/>
    <n v="3296.2800000000007"/>
    <x v="515"/>
    <n v="-2.8432920466403999E-2"/>
    <x v="0"/>
    <x v="1"/>
  </r>
  <r>
    <x v="516"/>
    <d v="2024-04-24T00:00:00"/>
    <x v="1"/>
    <s v="HOM-131"/>
    <x v="0"/>
    <s v="Canada"/>
    <x v="0"/>
    <s v="Vendor C"/>
    <n v="2510"/>
    <n v="0.09"/>
    <n v="2284.1"/>
    <n v="1835.86"/>
    <n v="3"/>
    <n v="160"/>
    <n v="0.43"/>
    <n v="6852.2999999999993"/>
    <n v="1995.86"/>
    <n v="5987.58"/>
    <n v="864.71999999999935"/>
    <x v="516"/>
    <n v="-0.30380587539950099"/>
    <x v="0"/>
    <x v="2"/>
  </r>
  <r>
    <x v="517"/>
    <d v="2024-04-14T00:00:00"/>
    <x v="1"/>
    <s v="HOM-325"/>
    <x v="1"/>
    <s v="Singapore"/>
    <x v="1"/>
    <s v="Vendor A"/>
    <n v="3694"/>
    <n v="0.14000000000000001"/>
    <n v="3176.84"/>
    <n v="2366.7199999999998"/>
    <n v="2"/>
    <n v="112"/>
    <n v="0.31"/>
    <n v="6353.68"/>
    <n v="2478.7199999999998"/>
    <n v="4957.4399999999996"/>
    <n v="1396.2400000000007"/>
    <x v="517"/>
    <n v="-9.0247037937068994E-2"/>
    <x v="0"/>
    <x v="0"/>
  </r>
  <r>
    <x v="518"/>
    <d v="2024-05-14T00:00:00"/>
    <x v="3"/>
    <s v="APP-673"/>
    <x v="2"/>
    <s v="Germany"/>
    <x v="1"/>
    <s v="Vendor A"/>
    <n v="2171"/>
    <n v="0.34"/>
    <n v="1432.86"/>
    <n v="1405.35"/>
    <n v="1"/>
    <n v="60"/>
    <n v="0.37"/>
    <n v="1432.86"/>
    <n v="1465.35"/>
    <n v="1465.35"/>
    <n v="-32.490000000000009"/>
    <x v="518"/>
    <n v="-0.39267492986055902"/>
    <x v="0"/>
    <x v="1"/>
  </r>
  <r>
    <x v="519"/>
    <d v="2024-02-27T00:00:00"/>
    <x v="0"/>
    <s v="ELE-700"/>
    <x v="1"/>
    <s v="Singapore"/>
    <x v="1"/>
    <s v="Vendor C"/>
    <n v="4643"/>
    <n v="0.19"/>
    <n v="3760.83"/>
    <n v="2616.1799999999998"/>
    <n v="3"/>
    <n v="123"/>
    <n v="0.35"/>
    <n v="11282.49"/>
    <n v="2739.18"/>
    <n v="8217.5399999999991"/>
    <n v="3064.9500000000007"/>
    <x v="519"/>
    <n v="-7.8344540965691004E-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4EDECA-4196-4361-84F5-63B5AA60FD5A}" name="Discount vs Margin Scatter Sourc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H3:J7" firstHeaderRow="0" firstDataRow="1" firstDataCol="1"/>
  <pivotFields count="24">
    <pivotField showAll="0"/>
    <pivotField numFmtId="14" showAll="0"/>
    <pivotField showAll="0">
      <items count="5">
        <item x="3"/>
        <item x="2"/>
        <item x="0"/>
        <item x="1"/>
        <item t="default"/>
      </items>
    </pivotField>
    <pivotField showAll="0"/>
    <pivotField showAll="0">
      <items count="4">
        <item x="1"/>
        <item x="2"/>
        <item x="0"/>
        <item t="default"/>
      </items>
    </pivotField>
    <pivotField showAll="0"/>
    <pivotField showAll="0">
      <items count="3">
        <item x="1"/>
        <item x="0"/>
        <item t="default"/>
      </items>
    </pivotField>
    <pivotField showAll="0"/>
    <pivotField numFmtId="2" showAll="0"/>
    <pivotField numFmtId="10" showAll="0"/>
    <pivotField numFmtId="2" showAll="0"/>
    <pivotField numFmtId="2" showAll="0"/>
    <pivotField numFmtId="1" showAll="0"/>
    <pivotField numFmtId="2" showAll="0"/>
    <pivotField numFmtId="9" showAll="0"/>
    <pivotField dataField="1" numFmtId="2" showAll="0"/>
    <pivotField numFmtId="2" showAll="0"/>
    <pivotField numFmtId="2" showAll="0"/>
    <pivotField numFmtId="2" showAll="0"/>
    <pivotField dataField="1" numFmtId="10" showAll="0"/>
    <pivotField numFmtId="10" showAll="0"/>
    <pivotField showAll="0">
      <items count="4">
        <item x="2"/>
        <item x="1"/>
        <item x="0"/>
        <item t="default"/>
      </items>
    </pivotField>
    <pivotField axis="axisRow" showAll="0">
      <items count="4">
        <item x="1"/>
        <item x="2"/>
        <item x="0"/>
        <item t="default"/>
      </items>
    </pivotField>
    <pivotField dragToRow="0" dragToCol="0" dragToPage="0" showAll="0" defaultSubtotal="0"/>
  </pivotFields>
  <rowFields count="1">
    <field x="22"/>
  </rowFields>
  <rowItems count="4">
    <i>
      <x/>
    </i>
    <i>
      <x v="1"/>
    </i>
    <i>
      <x v="2"/>
    </i>
    <i t="grand">
      <x/>
    </i>
  </rowItems>
  <colFields count="1">
    <field x="-2"/>
  </colFields>
  <colItems count="2">
    <i>
      <x/>
    </i>
    <i i="1">
      <x v="1"/>
    </i>
  </colItems>
  <dataFields count="2">
    <dataField name="Average of Gross_Margin_Pct" fld="19" subtotal="average" baseField="22" baseItem="0" numFmtId="10"/>
    <dataField name="Sum of Revenue" fld="15" baseField="0" baseItem="0" numFmtId="2"/>
  </dataFields>
  <chartFormats count="2">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5C7C21-8F12-4659-BF80-876D244DCEC8}" name="KPI BASE METRIC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E4" firstHeaderRow="0" firstDataRow="1" firstDataCol="0"/>
  <pivotFields count="24">
    <pivotField dataField="1" showAll="0"/>
    <pivotField numFmtId="14" showAll="0"/>
    <pivotField showAll="0">
      <items count="5">
        <item x="3"/>
        <item x="2"/>
        <item x="0"/>
        <item x="1"/>
        <item t="default"/>
      </items>
    </pivotField>
    <pivotField showAll="0"/>
    <pivotField showAll="0">
      <items count="4">
        <item x="1"/>
        <item x="2"/>
        <item x="0"/>
        <item t="default"/>
      </items>
    </pivotField>
    <pivotField showAll="0"/>
    <pivotField showAll="0">
      <items count="3">
        <item x="1"/>
        <item x="0"/>
        <item t="default"/>
      </items>
    </pivotField>
    <pivotField showAll="0"/>
    <pivotField numFmtId="2" showAll="0"/>
    <pivotField numFmtId="10" showAll="0"/>
    <pivotField numFmtId="2" showAll="0"/>
    <pivotField numFmtId="2" showAll="0"/>
    <pivotField numFmtId="1" showAll="0"/>
    <pivotField numFmtId="2" showAll="0"/>
    <pivotField numFmtId="9" showAll="0"/>
    <pivotField dataField="1" numFmtId="2" showAll="0"/>
    <pivotField numFmtId="2" showAll="0"/>
    <pivotField numFmtId="2" showAll="0"/>
    <pivotField dataField="1" numFmtId="2" showAll="0"/>
    <pivotField dataField="1" numFmtId="10" showAll="0"/>
    <pivotField numFmtId="10" showAll="0"/>
    <pivotField showAll="0">
      <items count="4">
        <item x="2"/>
        <item x="1"/>
        <item x="0"/>
        <item t="default"/>
      </items>
    </pivotField>
    <pivotField showAll="0"/>
    <pivotField dragToRow="0" dragToCol="0" dragToPage="0" showAll="0" defaultSubtotal="0"/>
  </pivotFields>
  <rowItems count="1">
    <i/>
  </rowItems>
  <colFields count="1">
    <field x="-2"/>
  </colFields>
  <colItems count="4">
    <i>
      <x/>
    </i>
    <i i="1">
      <x v="1"/>
    </i>
    <i i="2">
      <x v="2"/>
    </i>
    <i i="3">
      <x v="3"/>
    </i>
  </colItems>
  <dataFields count="4">
    <dataField name="Total Revenue" fld="15" baseField="0" baseItem="1" numFmtId="2"/>
    <dataField name="Total Gross Profit" fld="18" baseField="0" baseItem="1" numFmtId="2"/>
    <dataField name="Avg Margin %" fld="19" subtotal="average" baseField="0" baseItem="2" numFmtId="10"/>
    <dataField name="Total Orders" fld="0" subtotal="count" baseField="0"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BE1640-31EF-49A0-A0FF-E8E9E8AE514B}" name="Revenue by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9:C14" firstHeaderRow="1" firstDataRow="1" firstDataCol="1"/>
  <pivotFields count="24">
    <pivotField showAll="0"/>
    <pivotField numFmtId="14" showAll="0"/>
    <pivotField axis="axisRow" showAll="0" sortType="descending">
      <items count="5">
        <item x="3"/>
        <item x="2"/>
        <item x="0"/>
        <item x="1"/>
        <item t="default"/>
      </items>
      <autoSortScope>
        <pivotArea dataOnly="0" outline="0" fieldPosition="0">
          <references count="1">
            <reference field="4294967294" count="1" selected="0">
              <x v="0"/>
            </reference>
          </references>
        </pivotArea>
      </autoSortScope>
    </pivotField>
    <pivotField showAll="0"/>
    <pivotField showAll="0">
      <items count="4">
        <item x="1"/>
        <item x="2"/>
        <item x="0"/>
        <item t="default"/>
      </items>
    </pivotField>
    <pivotField showAll="0"/>
    <pivotField showAll="0">
      <items count="3">
        <item x="1"/>
        <item x="0"/>
        <item t="default"/>
      </items>
    </pivotField>
    <pivotField showAll="0"/>
    <pivotField numFmtId="2" showAll="0"/>
    <pivotField numFmtId="10" showAll="0"/>
    <pivotField numFmtId="2" showAll="0"/>
    <pivotField numFmtId="2" showAll="0"/>
    <pivotField numFmtId="1" showAll="0"/>
    <pivotField numFmtId="2" showAll="0"/>
    <pivotField numFmtId="9" showAll="0"/>
    <pivotField dataField="1" numFmtId="2" showAll="0"/>
    <pivotField numFmtId="2" showAll="0"/>
    <pivotField numFmtId="2" showAll="0"/>
    <pivotField numFmtId="2" showAll="0"/>
    <pivotField numFmtId="10" showAll="0"/>
    <pivotField numFmtId="10" showAll="0"/>
    <pivotField showAll="0">
      <items count="4">
        <item x="2"/>
        <item x="1"/>
        <item x="0"/>
        <item t="default"/>
      </items>
    </pivotField>
    <pivotField showAll="0"/>
    <pivotField dragToRow="0" dragToCol="0" dragToPage="0" showAll="0" defaultSubtotal="0"/>
  </pivotFields>
  <rowFields count="1">
    <field x="2"/>
  </rowFields>
  <rowItems count="5">
    <i>
      <x v="3"/>
    </i>
    <i>
      <x/>
    </i>
    <i>
      <x v="2"/>
    </i>
    <i>
      <x v="1"/>
    </i>
    <i t="grand">
      <x/>
    </i>
  </rowItems>
  <colItems count="1">
    <i/>
  </colItems>
  <dataFields count="1">
    <dataField name="Sum of Revenue" fld="15" baseField="2" baseItem="3" numFmtId="2"/>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B66964-A094-403C-BD71-1961A0B87B16}" name="Margin Risk Distribu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H12:I16" firstHeaderRow="1" firstDataRow="1" firstDataCol="1"/>
  <pivotFields count="24">
    <pivotField dataField="1" showAll="0"/>
    <pivotField numFmtId="14" showAll="0"/>
    <pivotField showAll="0">
      <items count="5">
        <item x="3"/>
        <item x="2"/>
        <item x="0"/>
        <item x="1"/>
        <item t="default"/>
      </items>
    </pivotField>
    <pivotField showAll="0"/>
    <pivotField showAll="0">
      <items count="4">
        <item x="1"/>
        <item x="2"/>
        <item x="0"/>
        <item t="default"/>
      </items>
    </pivotField>
    <pivotField showAll="0"/>
    <pivotField showAll="0">
      <items count="3">
        <item x="1"/>
        <item x="0"/>
        <item t="default"/>
      </items>
    </pivotField>
    <pivotField showAll="0"/>
    <pivotField numFmtId="2" showAll="0"/>
    <pivotField numFmtId="10" showAll="0"/>
    <pivotField numFmtId="2" showAll="0"/>
    <pivotField numFmtId="2" showAll="0"/>
    <pivotField numFmtId="1" showAll="0"/>
    <pivotField numFmtId="2" showAll="0"/>
    <pivotField numFmtId="9" showAll="0"/>
    <pivotField numFmtId="2" showAll="0"/>
    <pivotField numFmtId="2" showAll="0"/>
    <pivotField numFmtId="2" showAll="0"/>
    <pivotField numFmtId="2" showAll="0"/>
    <pivotField numFmtId="10" showAll="0"/>
    <pivotField numFmtId="10" showAll="0"/>
    <pivotField axis="axisRow" showAll="0">
      <items count="4">
        <item x="2"/>
        <item x="1"/>
        <item x="0"/>
        <item t="default"/>
      </items>
    </pivotField>
    <pivotField showAll="0"/>
    <pivotField dragToRow="0" dragToCol="0" dragToPage="0" showAll="0" defaultSubtotal="0"/>
  </pivotFields>
  <rowFields count="1">
    <field x="21"/>
  </rowFields>
  <rowItems count="4">
    <i>
      <x/>
    </i>
    <i>
      <x v="1"/>
    </i>
    <i>
      <x v="2"/>
    </i>
    <i t="grand">
      <x/>
    </i>
  </rowItems>
  <colItems count="1">
    <i/>
  </colItems>
  <dataFields count="1">
    <dataField name="Count of Order_ID" fld="0" subtotal="count" baseField="0" baseItem="0"/>
  </dataFields>
  <chartFormats count="4">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21" count="1" selected="0">
            <x v="0"/>
          </reference>
        </references>
      </pivotArea>
    </chartFormat>
    <chartFormat chart="2" format="3">
      <pivotArea type="data" outline="0" fieldPosition="0">
        <references count="2">
          <reference field="4294967294" count="1" selected="0">
            <x v="0"/>
          </reference>
          <reference field="21" count="1" selected="0">
            <x v="1"/>
          </reference>
        </references>
      </pivotArea>
    </chartFormat>
    <chartFormat chart="2" format="4">
      <pivotArea type="data" outline="0" fieldPosition="0">
        <references count="2">
          <reference field="4294967294" count="1" selected="0">
            <x v="0"/>
          </reference>
          <reference field="2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1CE9D9-EFD3-4F8A-85D5-1FA33A0B9C51}" name="Drill Down Pane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0:F1061" firstHeaderRow="0" firstDataRow="1" firstDataCol="1" rowPageCount="2" colPageCount="1"/>
  <pivotFields count="24">
    <pivotField axis="axisRow" showAll="0">
      <items count="5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t="default"/>
      </items>
    </pivotField>
    <pivotField numFmtId="14" showAll="0"/>
    <pivotField axis="axisPage" showAll="0">
      <items count="5">
        <item x="3"/>
        <item x="2"/>
        <item x="0"/>
        <item x="1"/>
        <item t="default"/>
      </items>
    </pivotField>
    <pivotField showAll="0"/>
    <pivotField showAll="0">
      <items count="4">
        <item x="1"/>
        <item x="2"/>
        <item x="0"/>
        <item t="default"/>
      </items>
    </pivotField>
    <pivotField showAll="0"/>
    <pivotField showAll="0">
      <items count="3">
        <item x="1"/>
        <item x="0"/>
        <item t="default"/>
      </items>
    </pivotField>
    <pivotField showAll="0"/>
    <pivotField dataField="1" numFmtId="2" showAll="0"/>
    <pivotField numFmtId="10" showAll="0"/>
    <pivotField dataField="1" numFmtId="2" showAll="0"/>
    <pivotField numFmtId="2" showAll="0"/>
    <pivotField numFmtId="1" showAll="0"/>
    <pivotField dataField="1" numFmtId="2" showAll="0"/>
    <pivotField numFmtId="9" showAll="0"/>
    <pivotField dataField="1" numFmtId="2" showAll="0"/>
    <pivotField numFmtId="2" showAll="0"/>
    <pivotField numFmtId="2" showAll="0"/>
    <pivotField numFmtId="2" showAll="0"/>
    <pivotField numFmtId="10" showAll="0"/>
    <pivotField numFmtId="10" showAll="0"/>
    <pivotField axis="axisPage" showAll="0">
      <items count="4">
        <item x="2"/>
        <item x="1"/>
        <item x="0"/>
        <item t="default"/>
      </items>
    </pivotField>
    <pivotField axis="axisRow" showAll="0">
      <items count="4">
        <item x="1"/>
        <item x="2"/>
        <item x="0"/>
        <item t="default"/>
      </items>
    </pivotField>
    <pivotField dragToRow="0" dragToCol="0" dragToPage="0" showAll="0" defaultSubtotal="0"/>
  </pivotFields>
  <rowFields count="2">
    <field x="0"/>
    <field x="22"/>
  </rowFields>
  <rowItems count="1041">
    <i>
      <x/>
    </i>
    <i r="1">
      <x v="2"/>
    </i>
    <i>
      <x v="1"/>
    </i>
    <i r="1">
      <x/>
    </i>
    <i>
      <x v="2"/>
    </i>
    <i r="1">
      <x/>
    </i>
    <i>
      <x v="3"/>
    </i>
    <i r="1">
      <x/>
    </i>
    <i>
      <x v="4"/>
    </i>
    <i r="1">
      <x/>
    </i>
    <i>
      <x v="5"/>
    </i>
    <i r="1">
      <x/>
    </i>
    <i>
      <x v="6"/>
    </i>
    <i r="1">
      <x v="2"/>
    </i>
    <i>
      <x v="7"/>
    </i>
    <i r="1">
      <x/>
    </i>
    <i>
      <x v="8"/>
    </i>
    <i r="1">
      <x v="2"/>
    </i>
    <i>
      <x v="9"/>
    </i>
    <i r="1">
      <x/>
    </i>
    <i>
      <x v="10"/>
    </i>
    <i r="1">
      <x v="2"/>
    </i>
    <i>
      <x v="11"/>
    </i>
    <i r="1">
      <x/>
    </i>
    <i>
      <x v="12"/>
    </i>
    <i r="1">
      <x/>
    </i>
    <i>
      <x v="13"/>
    </i>
    <i r="1">
      <x v="2"/>
    </i>
    <i>
      <x v="14"/>
    </i>
    <i r="1">
      <x/>
    </i>
    <i>
      <x v="15"/>
    </i>
    <i r="1">
      <x/>
    </i>
    <i>
      <x v="16"/>
    </i>
    <i r="1">
      <x/>
    </i>
    <i>
      <x v="17"/>
    </i>
    <i r="1">
      <x v="1"/>
    </i>
    <i>
      <x v="18"/>
    </i>
    <i r="1">
      <x v="2"/>
    </i>
    <i>
      <x v="19"/>
    </i>
    <i r="1">
      <x v="2"/>
    </i>
    <i>
      <x v="20"/>
    </i>
    <i r="1">
      <x/>
    </i>
    <i>
      <x v="21"/>
    </i>
    <i r="1">
      <x v="1"/>
    </i>
    <i>
      <x v="22"/>
    </i>
    <i r="1">
      <x/>
    </i>
    <i>
      <x v="23"/>
    </i>
    <i r="1">
      <x v="1"/>
    </i>
    <i>
      <x v="24"/>
    </i>
    <i r="1">
      <x v="1"/>
    </i>
    <i>
      <x v="25"/>
    </i>
    <i r="1">
      <x v="1"/>
    </i>
    <i>
      <x v="26"/>
    </i>
    <i r="1">
      <x v="2"/>
    </i>
    <i>
      <x v="27"/>
    </i>
    <i r="1">
      <x/>
    </i>
    <i>
      <x v="28"/>
    </i>
    <i r="1">
      <x v="2"/>
    </i>
    <i>
      <x v="29"/>
    </i>
    <i r="1">
      <x/>
    </i>
    <i>
      <x v="30"/>
    </i>
    <i r="1">
      <x/>
    </i>
    <i>
      <x v="31"/>
    </i>
    <i r="1">
      <x/>
    </i>
    <i>
      <x v="32"/>
    </i>
    <i r="1">
      <x/>
    </i>
    <i>
      <x v="33"/>
    </i>
    <i r="1">
      <x v="2"/>
    </i>
    <i>
      <x v="34"/>
    </i>
    <i r="1">
      <x/>
    </i>
    <i>
      <x v="35"/>
    </i>
    <i r="1">
      <x/>
    </i>
    <i>
      <x v="36"/>
    </i>
    <i r="1">
      <x v="2"/>
    </i>
    <i>
      <x v="37"/>
    </i>
    <i r="1">
      <x/>
    </i>
    <i>
      <x v="38"/>
    </i>
    <i r="1">
      <x/>
    </i>
    <i>
      <x v="39"/>
    </i>
    <i r="1">
      <x v="1"/>
    </i>
    <i>
      <x v="40"/>
    </i>
    <i r="1">
      <x v="1"/>
    </i>
    <i>
      <x v="41"/>
    </i>
    <i r="1">
      <x v="2"/>
    </i>
    <i>
      <x v="42"/>
    </i>
    <i r="1">
      <x/>
    </i>
    <i>
      <x v="43"/>
    </i>
    <i r="1">
      <x v="2"/>
    </i>
    <i>
      <x v="44"/>
    </i>
    <i r="1">
      <x/>
    </i>
    <i>
      <x v="45"/>
    </i>
    <i r="1">
      <x/>
    </i>
    <i>
      <x v="46"/>
    </i>
    <i r="1">
      <x/>
    </i>
    <i>
      <x v="47"/>
    </i>
    <i r="1">
      <x v="2"/>
    </i>
    <i>
      <x v="48"/>
    </i>
    <i r="1">
      <x v="1"/>
    </i>
    <i>
      <x v="49"/>
    </i>
    <i r="1">
      <x/>
    </i>
    <i>
      <x v="50"/>
    </i>
    <i r="1">
      <x v="2"/>
    </i>
    <i>
      <x v="51"/>
    </i>
    <i r="1">
      <x v="1"/>
    </i>
    <i>
      <x v="52"/>
    </i>
    <i r="1">
      <x v="2"/>
    </i>
    <i>
      <x v="53"/>
    </i>
    <i r="1">
      <x/>
    </i>
    <i>
      <x v="54"/>
    </i>
    <i r="1">
      <x v="2"/>
    </i>
    <i>
      <x v="55"/>
    </i>
    <i r="1">
      <x v="2"/>
    </i>
    <i>
      <x v="56"/>
    </i>
    <i r="1">
      <x/>
    </i>
    <i>
      <x v="57"/>
    </i>
    <i r="1">
      <x/>
    </i>
    <i>
      <x v="58"/>
    </i>
    <i r="1">
      <x/>
    </i>
    <i>
      <x v="59"/>
    </i>
    <i r="1">
      <x/>
    </i>
    <i>
      <x v="60"/>
    </i>
    <i r="1">
      <x v="2"/>
    </i>
    <i>
      <x v="61"/>
    </i>
    <i r="1">
      <x v="2"/>
    </i>
    <i>
      <x v="62"/>
    </i>
    <i r="1">
      <x/>
    </i>
    <i>
      <x v="63"/>
    </i>
    <i r="1">
      <x/>
    </i>
    <i>
      <x v="64"/>
    </i>
    <i r="1">
      <x/>
    </i>
    <i>
      <x v="65"/>
    </i>
    <i r="1">
      <x/>
    </i>
    <i>
      <x v="66"/>
    </i>
    <i r="1">
      <x/>
    </i>
    <i>
      <x v="67"/>
    </i>
    <i r="1">
      <x/>
    </i>
    <i>
      <x v="68"/>
    </i>
    <i r="1">
      <x v="2"/>
    </i>
    <i>
      <x v="69"/>
    </i>
    <i r="1">
      <x v="2"/>
    </i>
    <i>
      <x v="70"/>
    </i>
    <i r="1">
      <x/>
    </i>
    <i>
      <x v="71"/>
    </i>
    <i r="1">
      <x v="1"/>
    </i>
    <i>
      <x v="72"/>
    </i>
    <i r="1">
      <x/>
    </i>
    <i>
      <x v="73"/>
    </i>
    <i r="1">
      <x/>
    </i>
    <i>
      <x v="74"/>
    </i>
    <i r="1">
      <x v="1"/>
    </i>
    <i>
      <x v="75"/>
    </i>
    <i r="1">
      <x/>
    </i>
    <i>
      <x v="76"/>
    </i>
    <i r="1">
      <x/>
    </i>
    <i>
      <x v="77"/>
    </i>
    <i r="1">
      <x v="2"/>
    </i>
    <i>
      <x v="78"/>
    </i>
    <i r="1">
      <x v="1"/>
    </i>
    <i>
      <x v="79"/>
    </i>
    <i r="1">
      <x/>
    </i>
    <i>
      <x v="80"/>
    </i>
    <i r="1">
      <x v="2"/>
    </i>
    <i>
      <x v="81"/>
    </i>
    <i r="1">
      <x v="2"/>
    </i>
    <i>
      <x v="82"/>
    </i>
    <i r="1">
      <x/>
    </i>
    <i>
      <x v="83"/>
    </i>
    <i r="1">
      <x/>
    </i>
    <i>
      <x v="84"/>
    </i>
    <i r="1">
      <x/>
    </i>
    <i>
      <x v="85"/>
    </i>
    <i r="1">
      <x v="1"/>
    </i>
    <i>
      <x v="86"/>
    </i>
    <i r="1">
      <x/>
    </i>
    <i>
      <x v="87"/>
    </i>
    <i r="1">
      <x v="2"/>
    </i>
    <i>
      <x v="88"/>
    </i>
    <i r="1">
      <x/>
    </i>
    <i>
      <x v="89"/>
    </i>
    <i r="1">
      <x v="2"/>
    </i>
    <i>
      <x v="90"/>
    </i>
    <i r="1">
      <x/>
    </i>
    <i>
      <x v="91"/>
    </i>
    <i r="1">
      <x v="2"/>
    </i>
    <i>
      <x v="92"/>
    </i>
    <i r="1">
      <x v="1"/>
    </i>
    <i>
      <x v="93"/>
    </i>
    <i r="1">
      <x/>
    </i>
    <i>
      <x v="94"/>
    </i>
    <i r="1">
      <x/>
    </i>
    <i>
      <x v="95"/>
    </i>
    <i r="1">
      <x v="2"/>
    </i>
    <i>
      <x v="96"/>
    </i>
    <i r="1">
      <x/>
    </i>
    <i>
      <x v="97"/>
    </i>
    <i r="1">
      <x v="2"/>
    </i>
    <i>
      <x v="98"/>
    </i>
    <i r="1">
      <x/>
    </i>
    <i>
      <x v="99"/>
    </i>
    <i r="1">
      <x/>
    </i>
    <i>
      <x v="100"/>
    </i>
    <i r="1">
      <x v="1"/>
    </i>
    <i>
      <x v="101"/>
    </i>
    <i r="1">
      <x v="2"/>
    </i>
    <i>
      <x v="102"/>
    </i>
    <i r="1">
      <x/>
    </i>
    <i>
      <x v="103"/>
    </i>
    <i r="1">
      <x v="1"/>
    </i>
    <i>
      <x v="104"/>
    </i>
    <i r="1">
      <x v="1"/>
    </i>
    <i>
      <x v="105"/>
    </i>
    <i r="1">
      <x v="2"/>
    </i>
    <i>
      <x v="106"/>
    </i>
    <i r="1">
      <x/>
    </i>
    <i>
      <x v="107"/>
    </i>
    <i r="1">
      <x/>
    </i>
    <i>
      <x v="108"/>
    </i>
    <i r="1">
      <x/>
    </i>
    <i>
      <x v="109"/>
    </i>
    <i r="1">
      <x/>
    </i>
    <i>
      <x v="110"/>
    </i>
    <i r="1">
      <x v="2"/>
    </i>
    <i>
      <x v="111"/>
    </i>
    <i r="1">
      <x v="2"/>
    </i>
    <i>
      <x v="112"/>
    </i>
    <i r="1">
      <x/>
    </i>
    <i>
      <x v="113"/>
    </i>
    <i r="1">
      <x/>
    </i>
    <i>
      <x v="114"/>
    </i>
    <i r="1">
      <x v="2"/>
    </i>
    <i>
      <x v="115"/>
    </i>
    <i r="1">
      <x v="1"/>
    </i>
    <i>
      <x v="116"/>
    </i>
    <i r="1">
      <x v="2"/>
    </i>
    <i>
      <x v="117"/>
    </i>
    <i r="1">
      <x v="2"/>
    </i>
    <i>
      <x v="118"/>
    </i>
    <i r="1">
      <x/>
    </i>
    <i>
      <x v="119"/>
    </i>
    <i r="1">
      <x/>
    </i>
    <i>
      <x v="120"/>
    </i>
    <i r="1">
      <x v="1"/>
    </i>
    <i>
      <x v="121"/>
    </i>
    <i r="1">
      <x v="2"/>
    </i>
    <i>
      <x v="122"/>
    </i>
    <i r="1">
      <x v="2"/>
    </i>
    <i>
      <x v="123"/>
    </i>
    <i r="1">
      <x/>
    </i>
    <i>
      <x v="124"/>
    </i>
    <i r="1">
      <x/>
    </i>
    <i>
      <x v="125"/>
    </i>
    <i r="1">
      <x/>
    </i>
    <i>
      <x v="126"/>
    </i>
    <i r="1">
      <x/>
    </i>
    <i>
      <x v="127"/>
    </i>
    <i r="1">
      <x v="2"/>
    </i>
    <i>
      <x v="128"/>
    </i>
    <i r="1">
      <x v="2"/>
    </i>
    <i>
      <x v="129"/>
    </i>
    <i r="1">
      <x/>
    </i>
    <i>
      <x v="130"/>
    </i>
    <i r="1">
      <x/>
    </i>
    <i>
      <x v="131"/>
    </i>
    <i r="1">
      <x/>
    </i>
    <i>
      <x v="132"/>
    </i>
    <i r="1">
      <x/>
    </i>
    <i>
      <x v="133"/>
    </i>
    <i r="1">
      <x/>
    </i>
    <i>
      <x v="134"/>
    </i>
    <i r="1">
      <x v="2"/>
    </i>
    <i>
      <x v="135"/>
    </i>
    <i r="1">
      <x/>
    </i>
    <i>
      <x v="136"/>
    </i>
    <i r="1">
      <x v="2"/>
    </i>
    <i>
      <x v="137"/>
    </i>
    <i r="1">
      <x v="2"/>
    </i>
    <i>
      <x v="138"/>
    </i>
    <i r="1">
      <x v="2"/>
    </i>
    <i>
      <x v="139"/>
    </i>
    <i r="1">
      <x/>
    </i>
    <i>
      <x v="140"/>
    </i>
    <i r="1">
      <x/>
    </i>
    <i>
      <x v="141"/>
    </i>
    <i r="1">
      <x v="2"/>
    </i>
    <i>
      <x v="142"/>
    </i>
    <i r="1">
      <x/>
    </i>
    <i>
      <x v="143"/>
    </i>
    <i r="1">
      <x v="2"/>
    </i>
    <i>
      <x v="144"/>
    </i>
    <i r="1">
      <x v="1"/>
    </i>
    <i>
      <x v="145"/>
    </i>
    <i r="1">
      <x v="2"/>
    </i>
    <i>
      <x v="146"/>
    </i>
    <i r="1">
      <x/>
    </i>
    <i>
      <x v="147"/>
    </i>
    <i r="1">
      <x/>
    </i>
    <i>
      <x v="148"/>
    </i>
    <i r="1">
      <x/>
    </i>
    <i>
      <x v="149"/>
    </i>
    <i r="1">
      <x/>
    </i>
    <i>
      <x v="150"/>
    </i>
    <i r="1">
      <x/>
    </i>
    <i>
      <x v="151"/>
    </i>
    <i r="1">
      <x/>
    </i>
    <i>
      <x v="152"/>
    </i>
    <i r="1">
      <x v="1"/>
    </i>
    <i>
      <x v="153"/>
    </i>
    <i r="1">
      <x v="1"/>
    </i>
    <i>
      <x v="154"/>
    </i>
    <i r="1">
      <x/>
    </i>
    <i>
      <x v="155"/>
    </i>
    <i r="1">
      <x/>
    </i>
    <i>
      <x v="156"/>
    </i>
    <i r="1">
      <x v="1"/>
    </i>
    <i>
      <x v="157"/>
    </i>
    <i r="1">
      <x v="1"/>
    </i>
    <i>
      <x v="158"/>
    </i>
    <i r="1">
      <x v="2"/>
    </i>
    <i>
      <x v="159"/>
    </i>
    <i r="1">
      <x/>
    </i>
    <i>
      <x v="160"/>
    </i>
    <i r="1">
      <x v="2"/>
    </i>
    <i>
      <x v="161"/>
    </i>
    <i r="1">
      <x v="2"/>
    </i>
    <i>
      <x v="162"/>
    </i>
    <i r="1">
      <x v="2"/>
    </i>
    <i>
      <x v="163"/>
    </i>
    <i r="1">
      <x/>
    </i>
    <i>
      <x v="164"/>
    </i>
    <i r="1">
      <x/>
    </i>
    <i>
      <x v="165"/>
    </i>
    <i r="1">
      <x v="1"/>
    </i>
    <i>
      <x v="166"/>
    </i>
    <i r="1">
      <x v="2"/>
    </i>
    <i>
      <x v="167"/>
    </i>
    <i r="1">
      <x v="2"/>
    </i>
    <i>
      <x v="168"/>
    </i>
    <i r="1">
      <x v="2"/>
    </i>
    <i>
      <x v="169"/>
    </i>
    <i r="1">
      <x/>
    </i>
    <i>
      <x v="170"/>
    </i>
    <i r="1">
      <x/>
    </i>
    <i>
      <x v="171"/>
    </i>
    <i r="1">
      <x/>
    </i>
    <i>
      <x v="172"/>
    </i>
    <i r="1">
      <x/>
    </i>
    <i>
      <x v="173"/>
    </i>
    <i r="1">
      <x v="2"/>
    </i>
    <i>
      <x v="174"/>
    </i>
    <i r="1">
      <x/>
    </i>
    <i>
      <x v="175"/>
    </i>
    <i r="1">
      <x/>
    </i>
    <i>
      <x v="176"/>
    </i>
    <i r="1">
      <x/>
    </i>
    <i>
      <x v="177"/>
    </i>
    <i r="1">
      <x v="1"/>
    </i>
    <i>
      <x v="178"/>
    </i>
    <i r="1">
      <x/>
    </i>
    <i>
      <x v="179"/>
    </i>
    <i r="1">
      <x/>
    </i>
    <i>
      <x v="180"/>
    </i>
    <i r="1">
      <x/>
    </i>
    <i>
      <x v="181"/>
    </i>
    <i r="1">
      <x/>
    </i>
    <i>
      <x v="182"/>
    </i>
    <i r="1">
      <x v="2"/>
    </i>
    <i>
      <x v="183"/>
    </i>
    <i r="1">
      <x/>
    </i>
    <i>
      <x v="184"/>
    </i>
    <i r="1">
      <x/>
    </i>
    <i>
      <x v="185"/>
    </i>
    <i r="1">
      <x/>
    </i>
    <i>
      <x v="186"/>
    </i>
    <i r="1">
      <x v="1"/>
    </i>
    <i>
      <x v="187"/>
    </i>
    <i r="1">
      <x/>
    </i>
    <i>
      <x v="188"/>
    </i>
    <i r="1">
      <x/>
    </i>
    <i>
      <x v="189"/>
    </i>
    <i r="1">
      <x/>
    </i>
    <i>
      <x v="190"/>
    </i>
    <i r="1">
      <x v="2"/>
    </i>
    <i>
      <x v="191"/>
    </i>
    <i r="1">
      <x/>
    </i>
    <i>
      <x v="192"/>
    </i>
    <i r="1">
      <x/>
    </i>
    <i>
      <x v="193"/>
    </i>
    <i r="1">
      <x/>
    </i>
    <i>
      <x v="194"/>
    </i>
    <i r="1">
      <x v="2"/>
    </i>
    <i>
      <x v="195"/>
    </i>
    <i r="1">
      <x v="2"/>
    </i>
    <i>
      <x v="196"/>
    </i>
    <i r="1">
      <x v="2"/>
    </i>
    <i>
      <x v="197"/>
    </i>
    <i r="1">
      <x/>
    </i>
    <i>
      <x v="198"/>
    </i>
    <i r="1">
      <x/>
    </i>
    <i>
      <x v="199"/>
    </i>
    <i r="1">
      <x v="1"/>
    </i>
    <i>
      <x v="200"/>
    </i>
    <i r="1">
      <x/>
    </i>
    <i>
      <x v="201"/>
    </i>
    <i r="1">
      <x v="2"/>
    </i>
    <i>
      <x v="202"/>
    </i>
    <i r="1">
      <x v="2"/>
    </i>
    <i>
      <x v="203"/>
    </i>
    <i r="1">
      <x/>
    </i>
    <i>
      <x v="204"/>
    </i>
    <i r="1">
      <x v="2"/>
    </i>
    <i>
      <x v="205"/>
    </i>
    <i r="1">
      <x v="1"/>
    </i>
    <i>
      <x v="206"/>
    </i>
    <i r="1">
      <x/>
    </i>
    <i>
      <x v="207"/>
    </i>
    <i r="1">
      <x/>
    </i>
    <i>
      <x v="208"/>
    </i>
    <i r="1">
      <x v="1"/>
    </i>
    <i>
      <x v="209"/>
    </i>
    <i r="1">
      <x v="1"/>
    </i>
    <i>
      <x v="210"/>
    </i>
    <i r="1">
      <x/>
    </i>
    <i>
      <x v="211"/>
    </i>
    <i r="1">
      <x v="2"/>
    </i>
    <i>
      <x v="212"/>
    </i>
    <i r="1">
      <x/>
    </i>
    <i>
      <x v="213"/>
    </i>
    <i r="1">
      <x/>
    </i>
    <i>
      <x v="214"/>
    </i>
    <i r="1">
      <x/>
    </i>
    <i>
      <x v="215"/>
    </i>
    <i r="1">
      <x v="1"/>
    </i>
    <i>
      <x v="216"/>
    </i>
    <i r="1">
      <x v="2"/>
    </i>
    <i>
      <x v="217"/>
    </i>
    <i r="1">
      <x v="2"/>
    </i>
    <i>
      <x v="218"/>
    </i>
    <i r="1">
      <x v="1"/>
    </i>
    <i>
      <x v="219"/>
    </i>
    <i r="1">
      <x v="2"/>
    </i>
    <i>
      <x v="220"/>
    </i>
    <i r="1">
      <x v="2"/>
    </i>
    <i>
      <x v="221"/>
    </i>
    <i r="1">
      <x v="2"/>
    </i>
    <i>
      <x v="222"/>
    </i>
    <i r="1">
      <x/>
    </i>
    <i>
      <x v="223"/>
    </i>
    <i r="1">
      <x/>
    </i>
    <i>
      <x v="224"/>
    </i>
    <i r="1">
      <x/>
    </i>
    <i>
      <x v="225"/>
    </i>
    <i r="1">
      <x v="1"/>
    </i>
    <i>
      <x v="226"/>
    </i>
    <i r="1">
      <x/>
    </i>
    <i>
      <x v="227"/>
    </i>
    <i r="1">
      <x/>
    </i>
    <i>
      <x v="228"/>
    </i>
    <i r="1">
      <x/>
    </i>
    <i>
      <x v="229"/>
    </i>
    <i r="1">
      <x v="2"/>
    </i>
    <i>
      <x v="230"/>
    </i>
    <i r="1">
      <x v="2"/>
    </i>
    <i>
      <x v="231"/>
    </i>
    <i r="1">
      <x/>
    </i>
    <i>
      <x v="232"/>
    </i>
    <i r="1">
      <x v="1"/>
    </i>
    <i>
      <x v="233"/>
    </i>
    <i r="1">
      <x/>
    </i>
    <i>
      <x v="234"/>
    </i>
    <i r="1">
      <x/>
    </i>
    <i>
      <x v="235"/>
    </i>
    <i r="1">
      <x v="2"/>
    </i>
    <i>
      <x v="236"/>
    </i>
    <i r="1">
      <x/>
    </i>
    <i>
      <x v="237"/>
    </i>
    <i r="1">
      <x v="2"/>
    </i>
    <i>
      <x v="238"/>
    </i>
    <i r="1">
      <x v="2"/>
    </i>
    <i>
      <x v="239"/>
    </i>
    <i r="1">
      <x v="2"/>
    </i>
    <i>
      <x v="240"/>
    </i>
    <i r="1">
      <x v="2"/>
    </i>
    <i>
      <x v="241"/>
    </i>
    <i r="1">
      <x v="1"/>
    </i>
    <i>
      <x v="242"/>
    </i>
    <i r="1">
      <x v="1"/>
    </i>
    <i>
      <x v="243"/>
    </i>
    <i r="1">
      <x/>
    </i>
    <i>
      <x v="244"/>
    </i>
    <i r="1">
      <x v="2"/>
    </i>
    <i>
      <x v="245"/>
    </i>
    <i r="1">
      <x v="2"/>
    </i>
    <i>
      <x v="246"/>
    </i>
    <i r="1">
      <x v="1"/>
    </i>
    <i>
      <x v="247"/>
    </i>
    <i r="1">
      <x/>
    </i>
    <i>
      <x v="248"/>
    </i>
    <i r="1">
      <x/>
    </i>
    <i>
      <x v="249"/>
    </i>
    <i r="1">
      <x/>
    </i>
    <i>
      <x v="250"/>
    </i>
    <i r="1">
      <x/>
    </i>
    <i>
      <x v="251"/>
    </i>
    <i r="1">
      <x v="2"/>
    </i>
    <i>
      <x v="252"/>
    </i>
    <i r="1">
      <x v="2"/>
    </i>
    <i>
      <x v="253"/>
    </i>
    <i r="1">
      <x/>
    </i>
    <i>
      <x v="254"/>
    </i>
    <i r="1">
      <x/>
    </i>
    <i>
      <x v="255"/>
    </i>
    <i r="1">
      <x/>
    </i>
    <i>
      <x v="256"/>
    </i>
    <i r="1">
      <x/>
    </i>
    <i>
      <x v="257"/>
    </i>
    <i r="1">
      <x/>
    </i>
    <i>
      <x v="258"/>
    </i>
    <i r="1">
      <x v="1"/>
    </i>
    <i>
      <x v="259"/>
    </i>
    <i r="1">
      <x/>
    </i>
    <i>
      <x v="260"/>
    </i>
    <i r="1">
      <x/>
    </i>
    <i>
      <x v="261"/>
    </i>
    <i r="1">
      <x/>
    </i>
    <i>
      <x v="262"/>
    </i>
    <i r="1">
      <x/>
    </i>
    <i>
      <x v="263"/>
    </i>
    <i r="1">
      <x/>
    </i>
    <i>
      <x v="264"/>
    </i>
    <i r="1">
      <x/>
    </i>
    <i>
      <x v="265"/>
    </i>
    <i r="1">
      <x/>
    </i>
    <i>
      <x v="266"/>
    </i>
    <i r="1">
      <x/>
    </i>
    <i>
      <x v="267"/>
    </i>
    <i r="1">
      <x/>
    </i>
    <i>
      <x v="268"/>
    </i>
    <i r="1">
      <x v="2"/>
    </i>
    <i>
      <x v="269"/>
    </i>
    <i r="1">
      <x/>
    </i>
    <i>
      <x v="270"/>
    </i>
    <i r="1">
      <x v="2"/>
    </i>
    <i>
      <x v="271"/>
    </i>
    <i r="1">
      <x/>
    </i>
    <i>
      <x v="272"/>
    </i>
    <i r="1">
      <x v="2"/>
    </i>
    <i>
      <x v="273"/>
    </i>
    <i r="1">
      <x v="2"/>
    </i>
    <i>
      <x v="274"/>
    </i>
    <i r="1">
      <x v="2"/>
    </i>
    <i>
      <x v="275"/>
    </i>
    <i r="1">
      <x/>
    </i>
    <i>
      <x v="276"/>
    </i>
    <i r="1">
      <x/>
    </i>
    <i>
      <x v="277"/>
    </i>
    <i r="1">
      <x/>
    </i>
    <i>
      <x v="278"/>
    </i>
    <i r="1">
      <x/>
    </i>
    <i>
      <x v="279"/>
    </i>
    <i r="1">
      <x/>
    </i>
    <i>
      <x v="280"/>
    </i>
    <i r="1">
      <x/>
    </i>
    <i>
      <x v="281"/>
    </i>
    <i r="1">
      <x v="2"/>
    </i>
    <i>
      <x v="282"/>
    </i>
    <i r="1">
      <x/>
    </i>
    <i>
      <x v="283"/>
    </i>
    <i r="1">
      <x/>
    </i>
    <i>
      <x v="284"/>
    </i>
    <i r="1">
      <x v="2"/>
    </i>
    <i>
      <x v="285"/>
    </i>
    <i r="1">
      <x v="1"/>
    </i>
    <i>
      <x v="286"/>
    </i>
    <i r="1">
      <x v="2"/>
    </i>
    <i>
      <x v="287"/>
    </i>
    <i r="1">
      <x/>
    </i>
    <i>
      <x v="288"/>
    </i>
    <i r="1">
      <x v="2"/>
    </i>
    <i>
      <x v="289"/>
    </i>
    <i r="1">
      <x/>
    </i>
    <i>
      <x v="290"/>
    </i>
    <i r="1">
      <x v="1"/>
    </i>
    <i>
      <x v="291"/>
    </i>
    <i r="1">
      <x v="2"/>
    </i>
    <i>
      <x v="292"/>
    </i>
    <i r="1">
      <x/>
    </i>
    <i>
      <x v="293"/>
    </i>
    <i r="1">
      <x/>
    </i>
    <i>
      <x v="294"/>
    </i>
    <i r="1">
      <x v="1"/>
    </i>
    <i>
      <x v="295"/>
    </i>
    <i r="1">
      <x/>
    </i>
    <i>
      <x v="296"/>
    </i>
    <i r="1">
      <x/>
    </i>
    <i>
      <x v="297"/>
    </i>
    <i r="1">
      <x/>
    </i>
    <i>
      <x v="298"/>
    </i>
    <i r="1">
      <x/>
    </i>
    <i>
      <x v="299"/>
    </i>
    <i r="1">
      <x/>
    </i>
    <i>
      <x v="300"/>
    </i>
    <i r="1">
      <x v="1"/>
    </i>
    <i>
      <x v="301"/>
    </i>
    <i r="1">
      <x/>
    </i>
    <i>
      <x v="302"/>
    </i>
    <i r="1">
      <x/>
    </i>
    <i>
      <x v="303"/>
    </i>
    <i r="1">
      <x v="2"/>
    </i>
    <i>
      <x v="304"/>
    </i>
    <i r="1">
      <x v="2"/>
    </i>
    <i>
      <x v="305"/>
    </i>
    <i r="1">
      <x v="2"/>
    </i>
    <i>
      <x v="306"/>
    </i>
    <i r="1">
      <x v="2"/>
    </i>
    <i>
      <x v="307"/>
    </i>
    <i r="1">
      <x v="2"/>
    </i>
    <i>
      <x v="308"/>
    </i>
    <i r="1">
      <x/>
    </i>
    <i>
      <x v="309"/>
    </i>
    <i r="1">
      <x/>
    </i>
    <i>
      <x v="310"/>
    </i>
    <i r="1">
      <x/>
    </i>
    <i>
      <x v="311"/>
    </i>
    <i r="1">
      <x v="2"/>
    </i>
    <i>
      <x v="312"/>
    </i>
    <i r="1">
      <x v="2"/>
    </i>
    <i>
      <x v="313"/>
    </i>
    <i r="1">
      <x/>
    </i>
    <i>
      <x v="314"/>
    </i>
    <i r="1">
      <x/>
    </i>
    <i>
      <x v="315"/>
    </i>
    <i r="1">
      <x v="2"/>
    </i>
    <i>
      <x v="316"/>
    </i>
    <i r="1">
      <x/>
    </i>
    <i>
      <x v="317"/>
    </i>
    <i r="1">
      <x/>
    </i>
    <i>
      <x v="318"/>
    </i>
    <i r="1">
      <x/>
    </i>
    <i>
      <x v="319"/>
    </i>
    <i r="1">
      <x/>
    </i>
    <i>
      <x v="320"/>
    </i>
    <i r="1">
      <x/>
    </i>
    <i>
      <x v="321"/>
    </i>
    <i r="1">
      <x v="2"/>
    </i>
    <i>
      <x v="322"/>
    </i>
    <i r="1">
      <x v="1"/>
    </i>
    <i>
      <x v="323"/>
    </i>
    <i r="1">
      <x v="2"/>
    </i>
    <i>
      <x v="324"/>
    </i>
    <i r="1">
      <x v="2"/>
    </i>
    <i>
      <x v="325"/>
    </i>
    <i r="1">
      <x/>
    </i>
    <i>
      <x v="326"/>
    </i>
    <i r="1">
      <x v="2"/>
    </i>
    <i>
      <x v="327"/>
    </i>
    <i r="1">
      <x/>
    </i>
    <i>
      <x v="328"/>
    </i>
    <i r="1">
      <x v="2"/>
    </i>
    <i>
      <x v="329"/>
    </i>
    <i r="1">
      <x v="1"/>
    </i>
    <i>
      <x v="330"/>
    </i>
    <i r="1">
      <x/>
    </i>
    <i>
      <x v="331"/>
    </i>
    <i r="1">
      <x/>
    </i>
    <i>
      <x v="332"/>
    </i>
    <i r="1">
      <x/>
    </i>
    <i>
      <x v="333"/>
    </i>
    <i r="1">
      <x/>
    </i>
    <i>
      <x v="334"/>
    </i>
    <i r="1">
      <x v="1"/>
    </i>
    <i>
      <x v="335"/>
    </i>
    <i r="1">
      <x/>
    </i>
    <i>
      <x v="336"/>
    </i>
    <i r="1">
      <x/>
    </i>
    <i>
      <x v="337"/>
    </i>
    <i r="1">
      <x v="2"/>
    </i>
    <i>
      <x v="338"/>
    </i>
    <i r="1">
      <x v="2"/>
    </i>
    <i>
      <x v="339"/>
    </i>
    <i r="1">
      <x/>
    </i>
    <i>
      <x v="340"/>
    </i>
    <i r="1">
      <x/>
    </i>
    <i>
      <x v="341"/>
    </i>
    <i r="1">
      <x/>
    </i>
    <i>
      <x v="342"/>
    </i>
    <i r="1">
      <x v="2"/>
    </i>
    <i>
      <x v="343"/>
    </i>
    <i r="1">
      <x v="2"/>
    </i>
    <i>
      <x v="344"/>
    </i>
    <i r="1">
      <x/>
    </i>
    <i>
      <x v="345"/>
    </i>
    <i r="1">
      <x/>
    </i>
    <i>
      <x v="346"/>
    </i>
    <i r="1">
      <x v="1"/>
    </i>
    <i>
      <x v="347"/>
    </i>
    <i r="1">
      <x v="2"/>
    </i>
    <i>
      <x v="348"/>
    </i>
    <i r="1">
      <x/>
    </i>
    <i>
      <x v="349"/>
    </i>
    <i r="1">
      <x v="1"/>
    </i>
    <i>
      <x v="350"/>
    </i>
    <i r="1">
      <x/>
    </i>
    <i>
      <x v="351"/>
    </i>
    <i r="1">
      <x/>
    </i>
    <i>
      <x v="352"/>
    </i>
    <i r="1">
      <x v="1"/>
    </i>
    <i>
      <x v="353"/>
    </i>
    <i r="1">
      <x v="2"/>
    </i>
    <i>
      <x v="354"/>
    </i>
    <i r="1">
      <x/>
    </i>
    <i>
      <x v="355"/>
    </i>
    <i r="1">
      <x v="2"/>
    </i>
    <i>
      <x v="356"/>
    </i>
    <i r="1">
      <x v="2"/>
    </i>
    <i>
      <x v="357"/>
    </i>
    <i r="1">
      <x/>
    </i>
    <i>
      <x v="358"/>
    </i>
    <i r="1">
      <x/>
    </i>
    <i>
      <x v="359"/>
    </i>
    <i r="1">
      <x/>
    </i>
    <i>
      <x v="360"/>
    </i>
    <i r="1">
      <x/>
    </i>
    <i>
      <x v="361"/>
    </i>
    <i r="1">
      <x/>
    </i>
    <i>
      <x v="362"/>
    </i>
    <i r="1">
      <x v="1"/>
    </i>
    <i>
      <x v="363"/>
    </i>
    <i r="1">
      <x v="2"/>
    </i>
    <i>
      <x v="364"/>
    </i>
    <i r="1">
      <x v="1"/>
    </i>
    <i>
      <x v="365"/>
    </i>
    <i r="1">
      <x v="2"/>
    </i>
    <i>
      <x v="366"/>
    </i>
    <i r="1">
      <x v="2"/>
    </i>
    <i>
      <x v="367"/>
    </i>
    <i r="1">
      <x v="2"/>
    </i>
    <i>
      <x v="368"/>
    </i>
    <i r="1">
      <x/>
    </i>
    <i>
      <x v="369"/>
    </i>
    <i r="1">
      <x v="1"/>
    </i>
    <i>
      <x v="370"/>
    </i>
    <i r="1">
      <x/>
    </i>
    <i>
      <x v="371"/>
    </i>
    <i r="1">
      <x/>
    </i>
    <i>
      <x v="372"/>
    </i>
    <i r="1">
      <x v="1"/>
    </i>
    <i>
      <x v="373"/>
    </i>
    <i r="1">
      <x/>
    </i>
    <i>
      <x v="374"/>
    </i>
    <i r="1">
      <x v="2"/>
    </i>
    <i>
      <x v="375"/>
    </i>
    <i r="1">
      <x/>
    </i>
    <i>
      <x v="376"/>
    </i>
    <i r="1">
      <x/>
    </i>
    <i>
      <x v="377"/>
    </i>
    <i r="1">
      <x/>
    </i>
    <i>
      <x v="378"/>
    </i>
    <i r="1">
      <x v="2"/>
    </i>
    <i>
      <x v="379"/>
    </i>
    <i r="1">
      <x/>
    </i>
    <i>
      <x v="380"/>
    </i>
    <i r="1">
      <x/>
    </i>
    <i>
      <x v="381"/>
    </i>
    <i r="1">
      <x v="2"/>
    </i>
    <i>
      <x v="382"/>
    </i>
    <i r="1">
      <x/>
    </i>
    <i>
      <x v="383"/>
    </i>
    <i r="1">
      <x v="2"/>
    </i>
    <i>
      <x v="384"/>
    </i>
    <i r="1">
      <x v="2"/>
    </i>
    <i>
      <x v="385"/>
    </i>
    <i r="1">
      <x/>
    </i>
    <i>
      <x v="386"/>
    </i>
    <i r="1">
      <x/>
    </i>
    <i>
      <x v="387"/>
    </i>
    <i r="1">
      <x v="2"/>
    </i>
    <i>
      <x v="388"/>
    </i>
    <i r="1">
      <x v="2"/>
    </i>
    <i>
      <x v="389"/>
    </i>
    <i r="1">
      <x v="1"/>
    </i>
    <i>
      <x v="390"/>
    </i>
    <i r="1">
      <x v="2"/>
    </i>
    <i>
      <x v="391"/>
    </i>
    <i r="1">
      <x v="2"/>
    </i>
    <i>
      <x v="392"/>
    </i>
    <i r="1">
      <x v="2"/>
    </i>
    <i>
      <x v="393"/>
    </i>
    <i r="1">
      <x/>
    </i>
    <i>
      <x v="394"/>
    </i>
    <i r="1">
      <x v="2"/>
    </i>
    <i>
      <x v="395"/>
    </i>
    <i r="1">
      <x/>
    </i>
    <i>
      <x v="396"/>
    </i>
    <i r="1">
      <x/>
    </i>
    <i>
      <x v="397"/>
    </i>
    <i r="1">
      <x/>
    </i>
    <i>
      <x v="398"/>
    </i>
    <i r="1">
      <x/>
    </i>
    <i>
      <x v="399"/>
    </i>
    <i r="1">
      <x v="1"/>
    </i>
    <i>
      <x v="400"/>
    </i>
    <i r="1">
      <x/>
    </i>
    <i>
      <x v="401"/>
    </i>
    <i r="1">
      <x/>
    </i>
    <i>
      <x v="402"/>
    </i>
    <i r="1">
      <x v="2"/>
    </i>
    <i>
      <x v="403"/>
    </i>
    <i r="1">
      <x/>
    </i>
    <i>
      <x v="404"/>
    </i>
    <i r="1">
      <x/>
    </i>
    <i>
      <x v="405"/>
    </i>
    <i r="1">
      <x v="1"/>
    </i>
    <i>
      <x v="406"/>
    </i>
    <i r="1">
      <x/>
    </i>
    <i>
      <x v="407"/>
    </i>
    <i r="1">
      <x/>
    </i>
    <i>
      <x v="408"/>
    </i>
    <i r="1">
      <x/>
    </i>
    <i>
      <x v="409"/>
    </i>
    <i r="1">
      <x/>
    </i>
    <i>
      <x v="410"/>
    </i>
    <i r="1">
      <x v="2"/>
    </i>
    <i>
      <x v="411"/>
    </i>
    <i r="1">
      <x/>
    </i>
    <i>
      <x v="412"/>
    </i>
    <i r="1">
      <x v="2"/>
    </i>
    <i>
      <x v="413"/>
    </i>
    <i r="1">
      <x/>
    </i>
    <i>
      <x v="414"/>
    </i>
    <i r="1">
      <x v="1"/>
    </i>
    <i>
      <x v="415"/>
    </i>
    <i r="1">
      <x v="1"/>
    </i>
    <i>
      <x v="416"/>
    </i>
    <i r="1">
      <x/>
    </i>
    <i>
      <x v="417"/>
    </i>
    <i r="1">
      <x/>
    </i>
    <i>
      <x v="418"/>
    </i>
    <i r="1">
      <x/>
    </i>
    <i>
      <x v="419"/>
    </i>
    <i r="1">
      <x v="2"/>
    </i>
    <i>
      <x v="420"/>
    </i>
    <i r="1">
      <x v="1"/>
    </i>
    <i>
      <x v="421"/>
    </i>
    <i r="1">
      <x v="2"/>
    </i>
    <i>
      <x v="422"/>
    </i>
    <i r="1">
      <x/>
    </i>
    <i>
      <x v="423"/>
    </i>
    <i r="1">
      <x/>
    </i>
    <i>
      <x v="424"/>
    </i>
    <i r="1">
      <x v="1"/>
    </i>
    <i>
      <x v="425"/>
    </i>
    <i r="1">
      <x v="1"/>
    </i>
    <i>
      <x v="426"/>
    </i>
    <i r="1">
      <x/>
    </i>
    <i>
      <x v="427"/>
    </i>
    <i r="1">
      <x/>
    </i>
    <i>
      <x v="428"/>
    </i>
    <i r="1">
      <x v="1"/>
    </i>
    <i>
      <x v="429"/>
    </i>
    <i r="1">
      <x v="1"/>
    </i>
    <i>
      <x v="430"/>
    </i>
    <i r="1">
      <x/>
    </i>
    <i>
      <x v="431"/>
    </i>
    <i r="1">
      <x/>
    </i>
    <i>
      <x v="432"/>
    </i>
    <i r="1">
      <x/>
    </i>
    <i>
      <x v="433"/>
    </i>
    <i r="1">
      <x/>
    </i>
    <i>
      <x v="434"/>
    </i>
    <i r="1">
      <x v="1"/>
    </i>
    <i>
      <x v="435"/>
    </i>
    <i r="1">
      <x/>
    </i>
    <i>
      <x v="436"/>
    </i>
    <i r="1">
      <x v="1"/>
    </i>
    <i>
      <x v="437"/>
    </i>
    <i r="1">
      <x v="2"/>
    </i>
    <i>
      <x v="438"/>
    </i>
    <i r="1">
      <x v="1"/>
    </i>
    <i>
      <x v="439"/>
    </i>
    <i r="1">
      <x/>
    </i>
    <i>
      <x v="440"/>
    </i>
    <i r="1">
      <x v="1"/>
    </i>
    <i>
      <x v="441"/>
    </i>
    <i r="1">
      <x v="1"/>
    </i>
    <i>
      <x v="442"/>
    </i>
    <i r="1">
      <x/>
    </i>
    <i>
      <x v="443"/>
    </i>
    <i r="1">
      <x/>
    </i>
    <i>
      <x v="444"/>
    </i>
    <i r="1">
      <x/>
    </i>
    <i>
      <x v="445"/>
    </i>
    <i r="1">
      <x/>
    </i>
    <i>
      <x v="446"/>
    </i>
    <i r="1">
      <x v="2"/>
    </i>
    <i>
      <x v="447"/>
    </i>
    <i r="1">
      <x v="2"/>
    </i>
    <i>
      <x v="448"/>
    </i>
    <i r="1">
      <x v="2"/>
    </i>
    <i>
      <x v="449"/>
    </i>
    <i r="1">
      <x/>
    </i>
    <i>
      <x v="450"/>
    </i>
    <i r="1">
      <x v="2"/>
    </i>
    <i>
      <x v="451"/>
    </i>
    <i r="1">
      <x v="2"/>
    </i>
    <i>
      <x v="452"/>
    </i>
    <i r="1">
      <x/>
    </i>
    <i>
      <x v="453"/>
    </i>
    <i r="1">
      <x v="2"/>
    </i>
    <i>
      <x v="454"/>
    </i>
    <i r="1">
      <x/>
    </i>
    <i>
      <x v="455"/>
    </i>
    <i r="1">
      <x/>
    </i>
    <i>
      <x v="456"/>
    </i>
    <i r="1">
      <x v="1"/>
    </i>
    <i>
      <x v="457"/>
    </i>
    <i r="1">
      <x/>
    </i>
    <i>
      <x v="458"/>
    </i>
    <i r="1">
      <x/>
    </i>
    <i>
      <x v="459"/>
    </i>
    <i r="1">
      <x/>
    </i>
    <i>
      <x v="460"/>
    </i>
    <i r="1">
      <x/>
    </i>
    <i>
      <x v="461"/>
    </i>
    <i r="1">
      <x/>
    </i>
    <i>
      <x v="462"/>
    </i>
    <i r="1">
      <x/>
    </i>
    <i>
      <x v="463"/>
    </i>
    <i r="1">
      <x v="1"/>
    </i>
    <i>
      <x v="464"/>
    </i>
    <i r="1">
      <x v="1"/>
    </i>
    <i>
      <x v="465"/>
    </i>
    <i r="1">
      <x/>
    </i>
    <i>
      <x v="466"/>
    </i>
    <i r="1">
      <x v="2"/>
    </i>
    <i>
      <x v="467"/>
    </i>
    <i r="1">
      <x v="2"/>
    </i>
    <i>
      <x v="468"/>
    </i>
    <i r="1">
      <x v="2"/>
    </i>
    <i>
      <x v="469"/>
    </i>
    <i r="1">
      <x/>
    </i>
    <i>
      <x v="470"/>
    </i>
    <i r="1">
      <x/>
    </i>
    <i>
      <x v="471"/>
    </i>
    <i r="1">
      <x/>
    </i>
    <i>
      <x v="472"/>
    </i>
    <i r="1">
      <x v="2"/>
    </i>
    <i>
      <x v="473"/>
    </i>
    <i r="1">
      <x v="1"/>
    </i>
    <i>
      <x v="474"/>
    </i>
    <i r="1">
      <x v="2"/>
    </i>
    <i>
      <x v="475"/>
    </i>
    <i r="1">
      <x/>
    </i>
    <i>
      <x v="476"/>
    </i>
    <i r="1">
      <x/>
    </i>
    <i>
      <x v="477"/>
    </i>
    <i r="1">
      <x v="2"/>
    </i>
    <i>
      <x v="478"/>
    </i>
    <i r="1">
      <x v="2"/>
    </i>
    <i>
      <x v="479"/>
    </i>
    <i r="1">
      <x v="2"/>
    </i>
    <i>
      <x v="480"/>
    </i>
    <i r="1">
      <x/>
    </i>
    <i>
      <x v="481"/>
    </i>
    <i r="1">
      <x/>
    </i>
    <i>
      <x v="482"/>
    </i>
    <i r="1">
      <x v="1"/>
    </i>
    <i>
      <x v="483"/>
    </i>
    <i r="1">
      <x/>
    </i>
    <i>
      <x v="484"/>
    </i>
    <i r="1">
      <x v="2"/>
    </i>
    <i>
      <x v="485"/>
    </i>
    <i r="1">
      <x/>
    </i>
    <i>
      <x v="486"/>
    </i>
    <i r="1">
      <x v="2"/>
    </i>
    <i>
      <x v="487"/>
    </i>
    <i r="1">
      <x/>
    </i>
    <i>
      <x v="488"/>
    </i>
    <i r="1">
      <x v="1"/>
    </i>
    <i>
      <x v="489"/>
    </i>
    <i r="1">
      <x/>
    </i>
    <i>
      <x v="490"/>
    </i>
    <i r="1">
      <x v="2"/>
    </i>
    <i>
      <x v="491"/>
    </i>
    <i r="1">
      <x/>
    </i>
    <i>
      <x v="492"/>
    </i>
    <i r="1">
      <x/>
    </i>
    <i>
      <x v="493"/>
    </i>
    <i r="1">
      <x/>
    </i>
    <i>
      <x v="494"/>
    </i>
    <i r="1">
      <x/>
    </i>
    <i>
      <x v="495"/>
    </i>
    <i r="1">
      <x v="1"/>
    </i>
    <i>
      <x v="496"/>
    </i>
    <i r="1">
      <x/>
    </i>
    <i>
      <x v="497"/>
    </i>
    <i r="1">
      <x/>
    </i>
    <i>
      <x v="498"/>
    </i>
    <i r="1">
      <x v="2"/>
    </i>
    <i>
      <x v="499"/>
    </i>
    <i r="1">
      <x/>
    </i>
    <i>
      <x v="500"/>
    </i>
    <i r="1">
      <x/>
    </i>
    <i>
      <x v="501"/>
    </i>
    <i r="1">
      <x/>
    </i>
    <i>
      <x v="502"/>
    </i>
    <i r="1">
      <x/>
    </i>
    <i>
      <x v="503"/>
    </i>
    <i r="1">
      <x/>
    </i>
    <i>
      <x v="504"/>
    </i>
    <i r="1">
      <x v="2"/>
    </i>
    <i>
      <x v="505"/>
    </i>
    <i r="1">
      <x/>
    </i>
    <i>
      <x v="506"/>
    </i>
    <i r="1">
      <x/>
    </i>
    <i>
      <x v="507"/>
    </i>
    <i r="1">
      <x v="1"/>
    </i>
    <i>
      <x v="508"/>
    </i>
    <i r="1">
      <x/>
    </i>
    <i>
      <x v="509"/>
    </i>
    <i r="1">
      <x v="2"/>
    </i>
    <i>
      <x v="510"/>
    </i>
    <i r="1">
      <x/>
    </i>
    <i>
      <x v="511"/>
    </i>
    <i r="1">
      <x/>
    </i>
    <i>
      <x v="512"/>
    </i>
    <i r="1">
      <x v="2"/>
    </i>
    <i>
      <x v="513"/>
    </i>
    <i r="1">
      <x/>
    </i>
    <i>
      <x v="514"/>
    </i>
    <i r="1">
      <x/>
    </i>
    <i>
      <x v="515"/>
    </i>
    <i r="1">
      <x/>
    </i>
    <i>
      <x v="516"/>
    </i>
    <i r="1">
      <x v="1"/>
    </i>
    <i>
      <x v="517"/>
    </i>
    <i r="1">
      <x v="2"/>
    </i>
    <i>
      <x v="518"/>
    </i>
    <i r="1">
      <x/>
    </i>
    <i>
      <x v="519"/>
    </i>
    <i r="1">
      <x v="2"/>
    </i>
    <i t="grand">
      <x/>
    </i>
  </rowItems>
  <colFields count="1">
    <field x="-2"/>
  </colFields>
  <colItems count="4">
    <i>
      <x/>
    </i>
    <i i="1">
      <x v="1"/>
    </i>
    <i i="2">
      <x v="2"/>
    </i>
    <i i="3">
      <x v="3"/>
    </i>
  </colItems>
  <pageFields count="2">
    <pageField fld="2" hier="-1"/>
    <pageField fld="21" hier="-1"/>
  </pageFields>
  <dataFields count="4">
    <dataField name="Sum of Revenue" fld="15" baseField="0" baseItem="0" numFmtId="2"/>
    <dataField name="Sum of Logistics_Cost" fld="13" baseField="0" baseItem="0" numFmtId="2"/>
    <dataField name="Sum of Net_Sales" fld="10" baseField="0" baseItem="0" numFmtId="2"/>
    <dataField name="Sum of List_Price" fld="8"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3F714D0-7174-44E6-B464-537426EDD6AF}" name="PivotTable2" cacheId="0" applyNumberFormats="0" applyBorderFormats="0" applyFontFormats="0" applyPatternFormats="0" applyAlignmentFormats="0" applyWidthHeightFormats="1" dataCaption="Values" missingCaption="0" updatedVersion="8" minRefreshableVersion="3" useAutoFormatting="1" pageOverThenDown="1" itemPrintTitles="1" mergeItem="1" createdVersion="8" indent="0" outline="1" outlineData="1" multipleFieldFilters="0" chartFormat="2">
  <location ref="C41:H46" firstHeaderRow="1" firstDataRow="2" firstDataCol="1"/>
  <pivotFields count="24">
    <pivotField axis="axisRow" showAll="0" measureFilter="1">
      <items count="5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t="default"/>
      </items>
    </pivotField>
    <pivotField numFmtId="14" showAll="0"/>
    <pivotField axis="axisCol" showAll="0">
      <items count="5">
        <item x="3"/>
        <item x="2"/>
        <item x="0"/>
        <item x="1"/>
        <item t="default"/>
      </items>
    </pivotField>
    <pivotField showAll="0"/>
    <pivotField showAll="0"/>
    <pivotField showAll="0"/>
    <pivotField showAll="0"/>
    <pivotField showAll="0"/>
    <pivotField numFmtId="2" showAll="0"/>
    <pivotField numFmtId="10" showAll="0"/>
    <pivotField numFmtId="2" showAll="0"/>
    <pivotField numFmtId="2" showAll="0"/>
    <pivotField numFmtId="1" showAll="0"/>
    <pivotField numFmtId="2" showAll="0"/>
    <pivotField numFmtId="9" showAll="0"/>
    <pivotField numFmtId="2" showAll="0"/>
    <pivotField numFmtId="2" showAll="0"/>
    <pivotField numFmtId="2" showAll="0"/>
    <pivotField numFmtId="2" showAll="0"/>
    <pivotField dataField="1" numFmtId="10" showAll="0">
      <items count="521">
        <item x="15"/>
        <item x="279"/>
        <item x="193"/>
        <item x="304"/>
        <item x="379"/>
        <item x="337"/>
        <item x="31"/>
        <item x="87"/>
        <item x="114"/>
        <item x="422"/>
        <item x="259"/>
        <item x="214"/>
        <item x="280"/>
        <item x="455"/>
        <item x="359"/>
        <item x="115"/>
        <item x="403"/>
        <item x="68"/>
        <item x="278"/>
        <item x="72"/>
        <item x="3"/>
        <item x="207"/>
        <item x="302"/>
        <item x="244"/>
        <item x="73"/>
        <item x="99"/>
        <item x="238"/>
        <item x="370"/>
        <item x="134"/>
        <item x="89"/>
        <item x="113"/>
        <item x="129"/>
        <item x="189"/>
        <item x="361"/>
        <item x="393"/>
        <item x="59"/>
        <item x="106"/>
        <item x="210"/>
        <item x="460"/>
        <item x="170"/>
        <item x="287"/>
        <item x="336"/>
        <item x="231"/>
        <item x="387"/>
        <item x="123"/>
        <item x="433"/>
        <item x="107"/>
        <item x="283"/>
        <item x="454"/>
        <item x="480"/>
        <item x="271"/>
        <item x="265"/>
        <item x="62"/>
        <item x="30"/>
        <item x="263"/>
        <item x="335"/>
        <item x="38"/>
        <item x="112"/>
        <item x="511"/>
        <item x="254"/>
        <item x="164"/>
        <item x="126"/>
        <item x="348"/>
        <item x="185"/>
        <item x="105"/>
        <item x="12"/>
        <item x="34"/>
        <item x="276"/>
        <item x="152"/>
        <item x="439"/>
        <item x="518"/>
        <item x="366"/>
        <item x="507"/>
        <item x="328"/>
        <item x="331"/>
        <item x="17"/>
        <item x="395"/>
        <item x="175"/>
        <item x="376"/>
        <item x="49"/>
        <item x="435"/>
        <item x="224"/>
        <item x="9"/>
        <item x="386"/>
        <item x="266"/>
        <item x="320"/>
        <item x="243"/>
        <item x="95"/>
        <item x="341"/>
        <item x="181"/>
        <item x="35"/>
        <item x="298"/>
        <item x="299"/>
        <item x="203"/>
        <item x="102"/>
        <item x="32"/>
        <item x="150"/>
        <item x="317"/>
        <item x="506"/>
        <item x="119"/>
        <item x="169"/>
        <item x="4"/>
        <item x="406"/>
        <item x="345"/>
        <item x="284"/>
        <item x="83"/>
        <item x="508"/>
        <item x="319"/>
        <item x="229"/>
        <item x="118"/>
        <item x="457"/>
        <item x="131"/>
        <item x="398"/>
        <item x="213"/>
        <item x="340"/>
        <item x="375"/>
        <item x="426"/>
        <item x="339"/>
        <item x="295"/>
        <item x="461"/>
        <item x="332"/>
        <item x="264"/>
        <item x="312"/>
        <item x="172"/>
        <item x="248"/>
        <item x="407"/>
        <item x="468"/>
        <item x="306"/>
        <item x="314"/>
        <item x="0"/>
        <item x="176"/>
        <item x="256"/>
        <item x="124"/>
        <item x="160"/>
        <item x="56"/>
        <item x="234"/>
        <item x="257"/>
        <item x="233"/>
        <item x="452"/>
        <item x="84"/>
        <item x="70"/>
        <item x="239"/>
        <item x="296"/>
        <item x="360"/>
        <item x="64"/>
        <item x="154"/>
        <item x="79"/>
        <item x="57"/>
        <item x="289"/>
        <item x="273"/>
        <item x="409"/>
        <item x="365"/>
        <item x="262"/>
        <item x="380"/>
        <item x="179"/>
        <item x="347"/>
        <item x="147"/>
        <item x="8"/>
        <item x="292"/>
        <item x="431"/>
        <item x="205"/>
        <item x="130"/>
        <item x="201"/>
        <item x="330"/>
        <item x="354"/>
        <item x="432"/>
        <item x="309"/>
        <item x="140"/>
        <item x="162"/>
        <item x="20"/>
        <item x="318"/>
        <item x="293"/>
        <item x="416"/>
        <item x="10"/>
        <item x="449"/>
        <item x="343"/>
        <item x="81"/>
        <item x="397"/>
        <item x="481"/>
        <item x="161"/>
        <item x="516"/>
        <item x="46"/>
        <item x="493"/>
        <item x="458"/>
        <item x="316"/>
        <item x="108"/>
        <item x="251"/>
        <item x="133"/>
        <item x="470"/>
        <item x="86"/>
        <item x="324"/>
        <item x="191"/>
        <item x="417"/>
        <item x="513"/>
        <item x="158"/>
        <item x="139"/>
        <item x="373"/>
        <item x="63"/>
        <item x="109"/>
        <item x="69"/>
        <item x="155"/>
        <item x="400"/>
        <item x="421"/>
        <item x="145"/>
        <item x="286"/>
        <item x="408"/>
        <item x="5"/>
        <item x="358"/>
        <item x="471"/>
        <item x="311"/>
        <item x="351"/>
        <item x="88"/>
        <item x="187"/>
        <item x="80"/>
        <item x="55"/>
        <item x="401"/>
        <item x="247"/>
        <item x="411"/>
        <item x="228"/>
        <item x="136"/>
        <item x="253"/>
        <item x="85"/>
        <item x="182"/>
        <item x="48"/>
        <item x="268"/>
        <item x="325"/>
        <item x="101"/>
        <item x="504"/>
        <item x="382"/>
        <item x="183"/>
        <item x="484"/>
        <item x="221"/>
        <item x="364"/>
        <item x="58"/>
        <item x="22"/>
        <item x="269"/>
        <item x="467"/>
        <item x="303"/>
        <item x="75"/>
        <item x="1"/>
        <item x="200"/>
        <item x="478"/>
        <item x="392"/>
        <item x="146"/>
        <item x="404"/>
        <item x="503"/>
        <item x="230"/>
        <item x="267"/>
        <item x="7"/>
        <item x="39"/>
        <item x="377"/>
        <item x="91"/>
        <item x="132"/>
        <item x="52"/>
        <item x="315"/>
        <item x="367"/>
        <item x="427"/>
        <item x="514"/>
        <item x="371"/>
        <item x="43"/>
        <item x="29"/>
        <item x="156"/>
        <item x="473"/>
        <item x="491"/>
        <item x="429"/>
        <item x="444"/>
        <item x="197"/>
        <item x="217"/>
        <item x="135"/>
        <item x="28"/>
        <item x="282"/>
        <item x="250"/>
        <item x="240"/>
        <item x="466"/>
        <item x="122"/>
        <item x="252"/>
        <item x="477"/>
        <item x="368"/>
        <item x="505"/>
        <item x="2"/>
        <item x="517"/>
        <item x="206"/>
        <item x="245"/>
        <item x="419"/>
        <item x="13"/>
        <item x="344"/>
        <item x="121"/>
        <item x="215"/>
        <item x="492"/>
        <item x="385"/>
        <item x="443"/>
        <item x="297"/>
        <item x="463"/>
        <item x="357"/>
        <item x="453"/>
        <item x="509"/>
        <item x="226"/>
        <item x="353"/>
        <item x="41"/>
        <item x="74"/>
        <item x="437"/>
        <item x="333"/>
        <item x="174"/>
        <item x="82"/>
        <item x="308"/>
        <item x="451"/>
        <item x="499"/>
        <item x="241"/>
        <item x="502"/>
        <item x="290"/>
        <item x="40"/>
        <item x="500"/>
        <item x="223"/>
        <item x="153"/>
        <item x="98"/>
        <item x="313"/>
        <item x="489"/>
        <item x="472"/>
        <item x="389"/>
        <item x="36"/>
        <item x="301"/>
        <item x="65"/>
        <item x="327"/>
        <item x="16"/>
        <item x="45"/>
        <item x="456"/>
        <item x="125"/>
        <item x="143"/>
        <item x="42"/>
        <item x="462"/>
        <item x="142"/>
        <item x="381"/>
        <item x="501"/>
        <item x="242"/>
        <item x="405"/>
        <item x="338"/>
        <item x="219"/>
        <item x="198"/>
        <item x="479"/>
        <item x="350"/>
        <item x="476"/>
        <item x="487"/>
        <item x="498"/>
        <item x="184"/>
        <item x="258"/>
        <item x="321"/>
        <item x="418"/>
        <item x="342"/>
        <item x="445"/>
        <item x="96"/>
        <item x="26"/>
        <item x="93"/>
        <item x="326"/>
        <item x="148"/>
        <item x="496"/>
        <item x="430"/>
        <item x="90"/>
        <item x="188"/>
        <item x="519"/>
        <item x="446"/>
        <item x="180"/>
        <item x="151"/>
        <item x="171"/>
        <item x="415"/>
        <item x="24"/>
        <item x="77"/>
        <item x="310"/>
        <item x="23"/>
        <item x="450"/>
        <item x="212"/>
        <item x="483"/>
        <item x="204"/>
        <item x="447"/>
        <item x="232"/>
        <item x="448"/>
        <item x="27"/>
        <item x="66"/>
        <item x="165"/>
        <item x="399"/>
        <item x="440"/>
        <item x="281"/>
        <item x="434"/>
        <item x="211"/>
        <item x="488"/>
        <item x="14"/>
        <item x="117"/>
        <item x="192"/>
        <item x="54"/>
        <item x="383"/>
        <item x="307"/>
        <item x="288"/>
        <item x="402"/>
        <item x="459"/>
        <item x="144"/>
        <item x="18"/>
        <item x="11"/>
        <item x="374"/>
        <item x="352"/>
        <item x="428"/>
        <item x="159"/>
        <item x="103"/>
        <item x="474"/>
        <item x="442"/>
        <item x="512"/>
        <item x="50"/>
        <item x="438"/>
        <item x="423"/>
        <item x="61"/>
        <item x="515"/>
        <item x="235"/>
        <item x="396"/>
        <item x="227"/>
        <item x="47"/>
        <item x="163"/>
        <item x="110"/>
        <item x="97"/>
        <item x="149"/>
        <item x="494"/>
        <item x="372"/>
        <item x="202"/>
        <item x="94"/>
        <item x="485"/>
        <item x="322"/>
        <item x="277"/>
        <item x="195"/>
        <item x="111"/>
        <item x="486"/>
        <item x="127"/>
        <item x="305"/>
        <item x="222"/>
        <item x="67"/>
        <item x="272"/>
        <item x="334"/>
        <item x="246"/>
        <item x="274"/>
        <item x="384"/>
        <item x="497"/>
        <item x="475"/>
        <item x="300"/>
        <item x="190"/>
        <item x="6"/>
        <item x="178"/>
        <item x="469"/>
        <item x="157"/>
        <item x="168"/>
        <item x="225"/>
        <item x="76"/>
        <item x="495"/>
        <item x="44"/>
        <item x="51"/>
        <item x="128"/>
        <item x="464"/>
        <item x="166"/>
        <item x="270"/>
        <item x="413"/>
        <item x="275"/>
        <item x="196"/>
        <item x="173"/>
        <item x="116"/>
        <item x="349"/>
        <item x="410"/>
        <item x="141"/>
        <item x="167"/>
        <item x="260"/>
        <item x="249"/>
        <item x="510"/>
        <item x="209"/>
        <item x="291"/>
        <item x="329"/>
        <item x="261"/>
        <item x="414"/>
        <item x="424"/>
        <item x="92"/>
        <item x="137"/>
        <item x="323"/>
        <item x="33"/>
        <item x="255"/>
        <item x="37"/>
        <item x="237"/>
        <item x="236"/>
        <item x="388"/>
        <item x="53"/>
        <item x="218"/>
        <item x="465"/>
        <item x="194"/>
        <item x="21"/>
        <item x="104"/>
        <item x="394"/>
        <item x="355"/>
        <item x="138"/>
        <item x="19"/>
        <item x="346"/>
        <item x="362"/>
        <item x="369"/>
        <item x="412"/>
        <item x="216"/>
        <item x="294"/>
        <item x="391"/>
        <item x="25"/>
        <item x="363"/>
        <item x="199"/>
        <item x="356"/>
        <item x="490"/>
        <item x="436"/>
        <item x="120"/>
        <item x="220"/>
        <item x="285"/>
        <item x="100"/>
        <item x="208"/>
        <item x="177"/>
        <item x="71"/>
        <item x="60"/>
        <item x="390"/>
        <item x="482"/>
        <item x="378"/>
        <item x="186"/>
        <item x="441"/>
        <item x="420"/>
        <item x="78"/>
        <item x="425"/>
        <item t="default"/>
      </items>
    </pivotField>
    <pivotField numFmtId="10" showAll="0"/>
    <pivotField axis="axisRow" showAll="0">
      <items count="4">
        <item x="2"/>
        <item x="1"/>
        <item sd="0" x="0"/>
        <item t="default"/>
      </items>
    </pivotField>
    <pivotField axis="axisRow" showAll="0">
      <items count="4">
        <item sd="0" x="1"/>
        <item sd="0" x="2"/>
        <item sd="0" x="0"/>
        <item t="default"/>
      </items>
    </pivotField>
    <pivotField dragToRow="0" dragToCol="0" dragToPage="0" showAll="0" defaultSubtotal="0"/>
  </pivotFields>
  <rowFields count="3">
    <field x="22"/>
    <field x="21"/>
    <field x="0"/>
  </rowFields>
  <rowItems count="4">
    <i>
      <x/>
    </i>
    <i>
      <x v="1"/>
    </i>
    <i>
      <x v="2"/>
    </i>
    <i t="grand">
      <x/>
    </i>
  </rowItems>
  <colFields count="1">
    <field x="2"/>
  </colFields>
  <colItems count="5">
    <i>
      <x/>
    </i>
    <i>
      <x v="1"/>
    </i>
    <i>
      <x v="2"/>
    </i>
    <i>
      <x v="3"/>
    </i>
    <i t="grand">
      <x/>
    </i>
  </colItems>
  <dataFields count="1">
    <dataField name="Sum of Gross_Margin_Pct" fld="19" baseField="0" baseItem="0" numFmtId="10"/>
  </dataFields>
  <chartFormats count="4">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1">
    <filter fld="0" type="count" evalOrder="-1" id="40"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808E289-631A-4741-A59F-7C6092450D98}" autoFormatId="16" applyNumberFormats="0" applyBorderFormats="0" applyFontFormats="0" applyPatternFormats="0" applyAlignmentFormats="0" applyWidthHeightFormats="0">
  <queryTableRefresh nextId="25">
    <queryTableFields count="23">
      <queryTableField id="1" name="Order_ID" tableColumnId="1"/>
      <queryTableField id="2" name="Order_Date" tableColumnId="2"/>
      <queryTableField id="3" name="Product_Category" tableColumnId="3"/>
      <queryTableField id="4" name="Product_SKU" tableColumnId="4"/>
      <queryTableField id="5" name="Region" tableColumnId="5"/>
      <queryTableField id="6" name="Country" tableColumnId="6"/>
      <queryTableField id="7" name="Business_Unit" tableColumnId="7"/>
      <queryTableField id="8" name="Vendor" tableColumnId="8"/>
      <queryTableField id="9" name="List_Price" tableColumnId="9"/>
      <queryTableField id="10" name="Discount_Pct" tableColumnId="10"/>
      <queryTableField id="11" name="Net_Sales" tableColumnId="11"/>
      <queryTableField id="12" name="Unit_Cost" tableColumnId="12"/>
      <queryTableField id="13" name="Units_Sold" tableColumnId="13"/>
      <queryTableField id="14" name="Logistics_Cost" tableColumnId="14"/>
      <queryTableField id="15" name="Benchmark_Margin_Pct" tableColumnId="15"/>
      <queryTableField id="16" name="Revenue" tableColumnId="16"/>
      <queryTableField id="17" name="Total_Unit_Cost" tableColumnId="17"/>
      <queryTableField id="18" name="Total_Cost" tableColumnId="18"/>
      <queryTableField id="19" name="Gross_Profit" tableColumnId="19"/>
      <queryTableField id="20" name="Gross_Margin_Pct" tableColumnId="20"/>
      <queryTableField id="21" name="Margin_Variance" tableColumnId="21"/>
      <queryTableField id="22" name="Margin_Risk" tableColumnId="22"/>
      <queryTableField id="23" name="Discount_Band"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A2AE68DF-1AD3-4FB1-9AE2-3092F36BB472}" sourceName="Product_Category">
  <pivotTables>
    <pivotTable tabId="3" name="Drill Down Panel"/>
    <pivotTable tabId="3" name="Discount vs Margin Scatter Source"/>
    <pivotTable tabId="3" name="KPI BASE METRICS"/>
    <pivotTable tabId="3" name="Margin Risk Distribution"/>
    <pivotTable tabId="3" name="Revenue by Category"/>
  </pivotTables>
  <data>
    <tabular pivotCacheId="1377617701">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00246F4-7758-403A-9CDB-08CF906E2346}" sourceName="Region">
  <pivotTables>
    <pivotTable tabId="3" name="Drill Down Panel"/>
    <pivotTable tabId="3" name="Discount vs Margin Scatter Source"/>
    <pivotTable tabId="3" name="KPI BASE METRICS"/>
    <pivotTable tabId="3" name="Margin Risk Distribution"/>
    <pivotTable tabId="3" name="Revenue by Category"/>
  </pivotTables>
  <data>
    <tabular pivotCacheId="1377617701">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Unit" xr10:uid="{B12FAE57-DA3B-4AD9-A3D8-AD79B38938B1}" sourceName="Business_Unit">
  <pivotTables>
    <pivotTable tabId="3" name="Drill Down Panel"/>
    <pivotTable tabId="3" name="Discount vs Margin Scatter Source"/>
    <pivotTable tabId="3" name="KPI BASE METRICS"/>
    <pivotTable tabId="3" name="Margin Risk Distribution"/>
    <pivotTable tabId="3" name="Revenue by Category"/>
  </pivotTables>
  <data>
    <tabular pivotCacheId="1377617701">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gin_Risk" xr10:uid="{5C0752AA-6041-44BF-AAC0-C4A4C7A36A96}" sourceName="Margin_Risk">
  <pivotTables>
    <pivotTable tabId="3" name="Drill Down Panel"/>
    <pivotTable tabId="3" name="Discount vs Margin Scatter Source"/>
    <pivotTable tabId="3" name="KPI BASE METRICS"/>
    <pivotTable tabId="3" name="Margin Risk Distribution"/>
    <pivotTable tabId="3" name="Revenue by Category"/>
  </pivotTables>
  <data>
    <tabular pivotCacheId="1377617701">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1" xr10:uid="{06BCD62E-B674-44BD-B9E6-0018A83D649A}" cache="Slicer_Product_Category" caption="Product Category" style="SlicerStyleDark5" rowHeight="241300"/>
  <slicer name="Region 1" xr10:uid="{8314528C-D7F1-4D2A-805F-9020A88F7779}" cache="Slicer_Region" caption="Region" style="SlicerStyleDark5" rowHeight="241300"/>
  <slicer name="Business_Unit 1" xr10:uid="{9EDC52CE-F541-4D91-8F5B-8B733BA30577}" cache="Slicer_Business_Unit" caption="Business Unit" style="SlicerStyleDark5" rowHeight="241300"/>
  <slicer name="Margin_Risk 1" xr10:uid="{9C1F7E5F-DA04-4B9D-8906-26CEDF166527}" cache="Slicer_Margin_Risk" caption="Margin Risk" style="SlicerStyleDark5"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F4A45D-3D6C-48A4-8D22-F11B40CF2129}" name="Sales_Data" displayName="Sales_Data" ref="A3:O523" headerRowDxfId="24" headerRowBorderDxfId="23" tableBorderDxfId="22">
  <autoFilter ref="A3:O523" xr:uid="{D9F4A45D-3D6C-48A4-8D22-F11B40CF2129}"/>
  <tableColumns count="15">
    <tableColumn id="1" xr3:uid="{C457CD52-620E-4D28-A614-A8DEE6D9AE62}" name="Order_ID" totalsRowLabel="Total"/>
    <tableColumn id="2" xr3:uid="{E74FA7B4-4FA8-42CE-9E89-EFBEF73A4BC4}" name="Order_Date" dataDxfId="21"/>
    <tableColumn id="3" xr3:uid="{9B4FBBB7-0C0B-4BC2-8CF1-4F3E9EA7C6CB}" name="Region"/>
    <tableColumn id="4" xr3:uid="{622B7882-3CDD-4A64-8F57-5DC762FC75C5}" name="Country"/>
    <tableColumn id="5" xr3:uid="{38616322-3558-45EF-A58E-E483159BB5BE}" name="Business_Unit"/>
    <tableColumn id="6" xr3:uid="{AC3F0971-B51F-446E-BEDD-C8550B413596}" name="Product_Category"/>
    <tableColumn id="7" xr3:uid="{64F93C16-BCA1-43D7-B7BA-F64136410993}" name="Product_SKU"/>
    <tableColumn id="8" xr3:uid="{BDF752DC-FB01-478B-8D77-D340ED1EF468}" name="Vendor"/>
    <tableColumn id="9" xr3:uid="{BD701009-F947-48B7-A270-4FF9D4FBD91B}" name="List_Price"/>
    <tableColumn id="10" xr3:uid="{997F9671-FBC4-4318-9D19-14310FCDD044}" name="Discount_Pct"/>
    <tableColumn id="11" xr3:uid="{7D5756DC-5DD3-4EEF-8CA1-941CAF6A851E}" name="Net_Sales"/>
    <tableColumn id="12" xr3:uid="{28A9A15B-A7DF-4827-B3B9-E89AB3727E7C}" name="Unit_Cost"/>
    <tableColumn id="13" xr3:uid="{514C8DBD-CADA-4BFC-8046-5A3DC1362B65}" name="Logistics_Cost"/>
    <tableColumn id="14" xr3:uid="{230A773C-0235-4A38-9F1B-E48A9A953D57}" name="Units_Sold"/>
    <tableColumn id="15" xr3:uid="{4BB5D1D1-5CA7-4581-AE28-BFFC0E833450}" name="Benchmark_Margin_Pct" totalsRowFunction="sum"/>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75E62EB-B874-451D-933F-428139A0BD77}" name="Financial_Sales_Cleaned" displayName="Financial_Sales_Cleaned" ref="A3:W523" tableType="queryTable" totalsRowShown="0">
  <autoFilter ref="A3:W523" xr:uid="{375E62EB-B874-451D-933F-428139A0BD77}"/>
  <tableColumns count="23">
    <tableColumn id="1" xr3:uid="{0B132102-8DFE-4609-AE2F-A4AC19F1ACA3}" uniqueName="1" name="Order_ID" queryTableFieldId="1" dataDxfId="20"/>
    <tableColumn id="2" xr3:uid="{B5AD122B-3381-4445-962C-779813A0AEB7}" uniqueName="2" name="Order_Date" queryTableFieldId="2" dataDxfId="19"/>
    <tableColumn id="3" xr3:uid="{EDEE9372-007D-4590-9F18-3299E35D5E41}" uniqueName="3" name="Product_Category" queryTableFieldId="3" dataDxfId="18"/>
    <tableColumn id="4" xr3:uid="{E5424A13-2C9F-4013-8428-18D0142A1026}" uniqueName="4" name="Product_SKU" queryTableFieldId="4" dataDxfId="17"/>
    <tableColumn id="5" xr3:uid="{781202F3-976C-45EA-8EBB-7A08D24D208D}" uniqueName="5" name="Region" queryTableFieldId="5" dataDxfId="16"/>
    <tableColumn id="6" xr3:uid="{957EDB9D-B752-480A-8A0C-2A5A84ABF844}" uniqueName="6" name="Country" queryTableFieldId="6" dataDxfId="15"/>
    <tableColumn id="7" xr3:uid="{113D9711-9FFE-49FD-80C5-7F6840074685}" uniqueName="7" name="Business_Unit" queryTableFieldId="7" dataDxfId="14"/>
    <tableColumn id="8" xr3:uid="{A9658362-89AA-4F22-9E58-A260BDA4B375}" uniqueName="8" name="Vendor" queryTableFieldId="8" dataDxfId="13"/>
    <tableColumn id="9" xr3:uid="{59B221F4-8692-44E6-80BD-1194DAF3BC77}" uniqueName="9" name="List_Price" queryTableFieldId="9" dataDxfId="12"/>
    <tableColumn id="10" xr3:uid="{C0E5A6F4-DE6C-4AB6-9D6C-DEC2963FABB0}" uniqueName="10" name="Discount_Pct" queryTableFieldId="10" dataDxfId="11"/>
    <tableColumn id="11" xr3:uid="{90492079-B252-4F2D-B0AA-4BC35DD5ED0C}" uniqueName="11" name="Net_Sales" queryTableFieldId="11" dataDxfId="10"/>
    <tableColumn id="12" xr3:uid="{2BD3BF0D-1C68-4474-A11D-317DC57E731C}" uniqueName="12" name="Unit_Cost" queryTableFieldId="12" dataDxfId="9"/>
    <tableColumn id="13" xr3:uid="{3B38D769-8B27-43B7-A6E1-06BD8F98050B}" uniqueName="13" name="Units_Sold" queryTableFieldId="13" dataDxfId="8"/>
    <tableColumn id="14" xr3:uid="{22EE0DA9-3679-4870-8EAC-C88162D76924}" uniqueName="14" name="Logistics_Cost" queryTableFieldId="14" dataDxfId="7"/>
    <tableColumn id="15" xr3:uid="{06159601-3803-46D7-91C0-EC2B5BD0E05E}" uniqueName="15" name="Benchmark_Margin_Pct" queryTableFieldId="15" dataDxfId="6"/>
    <tableColumn id="16" xr3:uid="{5EA7D30D-6247-4ACA-8616-444BE20F2D19}" uniqueName="16" name="Revenue" queryTableFieldId="16" dataDxfId="5"/>
    <tableColumn id="17" xr3:uid="{8B8B3CEE-FB88-491B-B907-8CB0F8B5C56F}" uniqueName="17" name="Total_Unit_Cost" queryTableFieldId="17" dataDxfId="4"/>
    <tableColumn id="18" xr3:uid="{A49A8FD7-3B4E-4E65-84A6-3F7B99D5A002}" uniqueName="18" name="Total_Cost" queryTableFieldId="18" dataDxfId="3"/>
    <tableColumn id="19" xr3:uid="{B7E3BE40-8DE2-4C9D-A62F-4EB876D9C6AD}" uniqueName="19" name="Gross_Profit" queryTableFieldId="19" dataDxfId="2"/>
    <tableColumn id="20" xr3:uid="{4F0F36BA-035A-42FB-8667-B55CFD254485}" uniqueName="20" name="Gross_Margin_Pct" queryTableFieldId="20" dataDxfId="1"/>
    <tableColumn id="21" xr3:uid="{89BDC4AD-FA30-4603-B318-3F3C4CEE13B9}" uniqueName="21" name="Margin_Variance" queryTableFieldId="21" dataDxfId="0"/>
    <tableColumn id="22" xr3:uid="{FF87C39E-0E74-45DD-B45B-57CBEAF2BAD8}" uniqueName="22" name="Margin_Risk" queryTableFieldId="22"/>
    <tableColumn id="23" xr3:uid="{A88E78E0-6FE0-4518-A5A8-9820142AD196}" uniqueName="23" name="Discount_Band" queryTableFieldId="23"/>
  </tableColumns>
  <tableStyleInfo name="TableStyleMedium6"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5.bin"/><Relationship Id="rId1" Type="http://schemas.openxmlformats.org/officeDocument/2006/relationships/pivotTable" Target="../pivotTables/pivotTable6.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523"/>
  <sheetViews>
    <sheetView workbookViewId="0">
      <selection sqref="A1:O2"/>
    </sheetView>
  </sheetViews>
  <sheetFormatPr defaultRowHeight="15" x14ac:dyDescent="0.25"/>
  <cols>
    <col min="1" max="1" width="10.7109375" customWidth="1"/>
    <col min="2" max="2" width="18.28515625" bestFit="1" customWidth="1"/>
    <col min="3" max="3" width="9.28515625" customWidth="1"/>
    <col min="4" max="4" width="10.140625" customWidth="1"/>
    <col min="5" max="5" width="15.7109375" customWidth="1"/>
    <col min="6" max="6" width="18.85546875" customWidth="1"/>
    <col min="7" max="7" width="14.5703125" customWidth="1"/>
    <col min="8" max="8" width="9.7109375" customWidth="1"/>
    <col min="9" max="9" width="11.5703125" customWidth="1"/>
    <col min="10" max="10" width="14.5703125" customWidth="1"/>
    <col min="11" max="11" width="12" customWidth="1"/>
    <col min="12" max="12" width="11.85546875" customWidth="1"/>
    <col min="13" max="13" width="15.42578125" customWidth="1"/>
    <col min="14" max="14" width="12.7109375" customWidth="1"/>
    <col min="15" max="15" width="24" customWidth="1"/>
  </cols>
  <sheetData>
    <row r="1" spans="1:15" x14ac:dyDescent="0.25">
      <c r="A1" s="16" t="s">
        <v>1061</v>
      </c>
      <c r="B1" s="16"/>
      <c r="C1" s="16"/>
      <c r="D1" s="16"/>
      <c r="E1" s="16"/>
      <c r="F1" s="16"/>
      <c r="G1" s="16"/>
      <c r="H1" s="16"/>
      <c r="I1" s="16"/>
      <c r="J1" s="16"/>
      <c r="K1" s="16"/>
      <c r="L1" s="16"/>
      <c r="M1" s="16"/>
      <c r="N1" s="16"/>
      <c r="O1" s="16"/>
    </row>
    <row r="2" spans="1:15" x14ac:dyDescent="0.25">
      <c r="A2" s="16"/>
      <c r="B2" s="16"/>
      <c r="C2" s="16"/>
      <c r="D2" s="16"/>
      <c r="E2" s="16"/>
      <c r="F2" s="16"/>
      <c r="G2" s="16"/>
      <c r="H2" s="16"/>
      <c r="I2" s="16"/>
      <c r="J2" s="16"/>
      <c r="K2" s="16"/>
      <c r="L2" s="16"/>
      <c r="M2" s="16"/>
      <c r="N2" s="16"/>
      <c r="O2" s="16"/>
    </row>
    <row r="3" spans="1:15" x14ac:dyDescent="0.25">
      <c r="A3" s="7" t="s">
        <v>0</v>
      </c>
      <c r="B3" s="7" t="s">
        <v>1</v>
      </c>
      <c r="C3" s="7" t="s">
        <v>2</v>
      </c>
      <c r="D3" s="7" t="s">
        <v>3</v>
      </c>
      <c r="E3" s="7" t="s">
        <v>4</v>
      </c>
      <c r="F3" s="7" t="s">
        <v>5</v>
      </c>
      <c r="G3" s="7" t="s">
        <v>6</v>
      </c>
      <c r="H3" s="7" t="s">
        <v>7</v>
      </c>
      <c r="I3" s="7" t="s">
        <v>8</v>
      </c>
      <c r="J3" s="7" t="s">
        <v>9</v>
      </c>
      <c r="K3" s="7" t="s">
        <v>10</v>
      </c>
      <c r="L3" s="7" t="s">
        <v>11</v>
      </c>
      <c r="M3" s="7" t="s">
        <v>12</v>
      </c>
      <c r="N3" s="7" t="s">
        <v>13</v>
      </c>
      <c r="O3" s="7" t="s">
        <v>14</v>
      </c>
    </row>
    <row r="4" spans="1:15" x14ac:dyDescent="0.25">
      <c r="A4" t="s">
        <v>15</v>
      </c>
      <c r="B4" s="1">
        <v>45394</v>
      </c>
      <c r="C4" t="s">
        <v>535</v>
      </c>
      <c r="D4" t="s">
        <v>538</v>
      </c>
      <c r="E4" t="s">
        <v>545</v>
      </c>
      <c r="F4" t="s">
        <v>547</v>
      </c>
      <c r="G4" t="s">
        <v>551</v>
      </c>
      <c r="H4" t="s">
        <v>1042</v>
      </c>
      <c r="I4">
        <v>7637</v>
      </c>
      <c r="J4">
        <v>0.18</v>
      </c>
      <c r="K4">
        <v>6262.34</v>
      </c>
      <c r="L4">
        <v>5653.47</v>
      </c>
      <c r="M4">
        <v>173</v>
      </c>
      <c r="N4">
        <v>2</v>
      </c>
      <c r="O4">
        <v>0.35</v>
      </c>
    </row>
    <row r="5" spans="1:15" x14ac:dyDescent="0.25">
      <c r="A5" t="s">
        <v>16</v>
      </c>
      <c r="B5" s="1">
        <v>45471</v>
      </c>
      <c r="C5" t="s">
        <v>536</v>
      </c>
      <c r="D5" t="s">
        <v>539</v>
      </c>
      <c r="E5" t="s">
        <v>546</v>
      </c>
      <c r="F5" t="s">
        <v>548</v>
      </c>
      <c r="G5" t="s">
        <v>552</v>
      </c>
      <c r="H5" t="s">
        <v>1043</v>
      </c>
      <c r="I5">
        <v>5154</v>
      </c>
      <c r="J5">
        <v>0.28000000000000003</v>
      </c>
      <c r="K5">
        <v>3710.88</v>
      </c>
      <c r="L5">
        <v>2846.25</v>
      </c>
      <c r="M5">
        <v>199</v>
      </c>
      <c r="N5">
        <v>1</v>
      </c>
      <c r="O5">
        <v>0.32</v>
      </c>
    </row>
    <row r="6" spans="1:15" x14ac:dyDescent="0.25">
      <c r="A6" t="s">
        <v>17</v>
      </c>
      <c r="B6" s="1">
        <v>45384</v>
      </c>
      <c r="C6" t="s">
        <v>535</v>
      </c>
      <c r="D6" t="s">
        <v>540</v>
      </c>
      <c r="E6" t="s">
        <v>546</v>
      </c>
      <c r="F6" t="s">
        <v>547</v>
      </c>
      <c r="G6" t="s">
        <v>553</v>
      </c>
      <c r="H6" t="s">
        <v>1043</v>
      </c>
      <c r="I6">
        <v>5442</v>
      </c>
      <c r="J6">
        <v>0.21</v>
      </c>
      <c r="K6">
        <v>4299.18</v>
      </c>
      <c r="L6">
        <v>3259.59</v>
      </c>
      <c r="M6">
        <v>95</v>
      </c>
      <c r="N6">
        <v>1</v>
      </c>
      <c r="O6">
        <v>0.43</v>
      </c>
    </row>
    <row r="7" spans="1:15" x14ac:dyDescent="0.25">
      <c r="A7" t="s">
        <v>18</v>
      </c>
      <c r="B7" s="1">
        <v>45306</v>
      </c>
      <c r="C7" t="s">
        <v>535</v>
      </c>
      <c r="D7" t="s">
        <v>540</v>
      </c>
      <c r="E7" t="s">
        <v>546</v>
      </c>
      <c r="F7" t="s">
        <v>548</v>
      </c>
      <c r="G7" t="s">
        <v>554</v>
      </c>
      <c r="H7" t="s">
        <v>1044</v>
      </c>
      <c r="I7">
        <v>1869</v>
      </c>
      <c r="J7">
        <v>0.34</v>
      </c>
      <c r="K7">
        <v>1233.54</v>
      </c>
      <c r="L7">
        <v>1374.06</v>
      </c>
      <c r="M7">
        <v>92</v>
      </c>
      <c r="N7">
        <v>2</v>
      </c>
      <c r="O7">
        <v>0.39</v>
      </c>
    </row>
    <row r="8" spans="1:15" x14ac:dyDescent="0.25">
      <c r="A8" t="s">
        <v>19</v>
      </c>
      <c r="B8" s="1">
        <v>45398</v>
      </c>
      <c r="C8" t="s">
        <v>535</v>
      </c>
      <c r="D8" t="s">
        <v>540</v>
      </c>
      <c r="E8" t="s">
        <v>546</v>
      </c>
      <c r="F8" t="s">
        <v>549</v>
      </c>
      <c r="G8" t="s">
        <v>555</v>
      </c>
      <c r="H8" t="s">
        <v>1044</v>
      </c>
      <c r="I8">
        <v>5638</v>
      </c>
      <c r="J8">
        <v>0.28000000000000003</v>
      </c>
      <c r="K8">
        <v>4059.36</v>
      </c>
      <c r="L8">
        <v>3875.98</v>
      </c>
      <c r="M8">
        <v>66</v>
      </c>
      <c r="N8">
        <v>3</v>
      </c>
      <c r="O8">
        <v>0.3</v>
      </c>
    </row>
    <row r="9" spans="1:15" x14ac:dyDescent="0.25">
      <c r="A9" t="s">
        <v>20</v>
      </c>
      <c r="B9" s="1">
        <v>45363</v>
      </c>
      <c r="C9" t="s">
        <v>537</v>
      </c>
      <c r="D9" t="s">
        <v>541</v>
      </c>
      <c r="E9" t="s">
        <v>546</v>
      </c>
      <c r="F9" t="s">
        <v>550</v>
      </c>
      <c r="G9" t="s">
        <v>556</v>
      </c>
      <c r="H9" t="s">
        <v>1045</v>
      </c>
      <c r="I9">
        <v>7380</v>
      </c>
      <c r="J9">
        <v>0.32</v>
      </c>
      <c r="K9">
        <v>5018.3999999999996</v>
      </c>
      <c r="L9">
        <v>4097.93</v>
      </c>
      <c r="M9">
        <v>155</v>
      </c>
      <c r="N9">
        <v>3</v>
      </c>
      <c r="O9">
        <v>0.3</v>
      </c>
    </row>
    <row r="10" spans="1:15" x14ac:dyDescent="0.25">
      <c r="A10" t="s">
        <v>21</v>
      </c>
      <c r="B10" s="1">
        <v>45312</v>
      </c>
      <c r="C10" t="s">
        <v>537</v>
      </c>
      <c r="D10" t="s">
        <v>542</v>
      </c>
      <c r="E10" t="s">
        <v>545</v>
      </c>
      <c r="F10" t="s">
        <v>547</v>
      </c>
      <c r="G10" t="s">
        <v>557</v>
      </c>
      <c r="H10" t="s">
        <v>1043</v>
      </c>
      <c r="I10">
        <v>5822</v>
      </c>
      <c r="J10">
        <v>0.12</v>
      </c>
      <c r="K10">
        <v>5123.3599999999997</v>
      </c>
      <c r="L10">
        <v>3312.69</v>
      </c>
      <c r="M10">
        <v>36</v>
      </c>
      <c r="N10">
        <v>2</v>
      </c>
      <c r="O10">
        <v>0.3</v>
      </c>
    </row>
    <row r="11" spans="1:15" x14ac:dyDescent="0.25">
      <c r="A11" t="s">
        <v>22</v>
      </c>
      <c r="B11" s="1">
        <v>45394</v>
      </c>
      <c r="C11" t="s">
        <v>535</v>
      </c>
      <c r="D11" t="s">
        <v>538</v>
      </c>
      <c r="E11" t="s">
        <v>546</v>
      </c>
      <c r="F11" t="s">
        <v>548</v>
      </c>
      <c r="G11" t="s">
        <v>558</v>
      </c>
      <c r="H11" t="s">
        <v>1045</v>
      </c>
      <c r="I11">
        <v>1906</v>
      </c>
      <c r="J11">
        <v>0.31</v>
      </c>
      <c r="K11">
        <v>1315.14</v>
      </c>
      <c r="L11">
        <v>993.04</v>
      </c>
      <c r="M11">
        <v>80</v>
      </c>
      <c r="N11">
        <v>1</v>
      </c>
      <c r="O11">
        <v>0.38</v>
      </c>
    </row>
    <row r="12" spans="1:15" x14ac:dyDescent="0.25">
      <c r="A12" t="s">
        <v>23</v>
      </c>
      <c r="B12" s="1">
        <v>45413</v>
      </c>
      <c r="C12" t="s">
        <v>537</v>
      </c>
      <c r="D12" t="s">
        <v>541</v>
      </c>
      <c r="E12" t="s">
        <v>545</v>
      </c>
      <c r="F12" t="s">
        <v>548</v>
      </c>
      <c r="G12" t="s">
        <v>559</v>
      </c>
      <c r="H12" t="s">
        <v>1043</v>
      </c>
      <c r="I12">
        <v>2264</v>
      </c>
      <c r="J12">
        <v>0.18</v>
      </c>
      <c r="K12">
        <v>1856.48</v>
      </c>
      <c r="L12">
        <v>1634.4</v>
      </c>
      <c r="M12">
        <v>48</v>
      </c>
      <c r="N12">
        <v>2</v>
      </c>
      <c r="O12">
        <v>0.36</v>
      </c>
    </row>
    <row r="13" spans="1:15" x14ac:dyDescent="0.25">
      <c r="A13" t="s">
        <v>24</v>
      </c>
      <c r="B13" s="1">
        <v>45366</v>
      </c>
      <c r="C13" t="s">
        <v>537</v>
      </c>
      <c r="D13" t="s">
        <v>543</v>
      </c>
      <c r="E13" t="s">
        <v>545</v>
      </c>
      <c r="F13" t="s">
        <v>550</v>
      </c>
      <c r="G13" t="s">
        <v>560</v>
      </c>
      <c r="H13" t="s">
        <v>1042</v>
      </c>
      <c r="I13">
        <v>4974</v>
      </c>
      <c r="J13">
        <v>0.3</v>
      </c>
      <c r="K13">
        <v>3481.8</v>
      </c>
      <c r="L13">
        <v>3348.81</v>
      </c>
      <c r="M13">
        <v>140</v>
      </c>
      <c r="N13">
        <v>1</v>
      </c>
      <c r="O13">
        <v>0.32</v>
      </c>
    </row>
    <row r="14" spans="1:15" x14ac:dyDescent="0.25">
      <c r="A14" t="s">
        <v>25</v>
      </c>
      <c r="B14" s="1">
        <v>45379</v>
      </c>
      <c r="C14" t="s">
        <v>536</v>
      </c>
      <c r="D14" t="s">
        <v>544</v>
      </c>
      <c r="E14" t="s">
        <v>546</v>
      </c>
      <c r="F14" t="s">
        <v>547</v>
      </c>
      <c r="G14" t="s">
        <v>561</v>
      </c>
      <c r="H14" t="s">
        <v>1045</v>
      </c>
      <c r="I14">
        <v>5079</v>
      </c>
      <c r="J14">
        <v>0.18</v>
      </c>
      <c r="K14">
        <v>4164.78</v>
      </c>
      <c r="L14">
        <v>3507.72</v>
      </c>
      <c r="M14">
        <v>182</v>
      </c>
      <c r="N14">
        <v>1</v>
      </c>
      <c r="O14">
        <v>0.28999999999999998</v>
      </c>
    </row>
    <row r="15" spans="1:15" x14ac:dyDescent="0.25">
      <c r="A15" t="s">
        <v>26</v>
      </c>
      <c r="B15" s="1">
        <v>45408</v>
      </c>
      <c r="C15" t="s">
        <v>537</v>
      </c>
      <c r="D15" t="s">
        <v>542</v>
      </c>
      <c r="E15" t="s">
        <v>545</v>
      </c>
      <c r="F15" t="s">
        <v>548</v>
      </c>
      <c r="G15" t="s">
        <v>562</v>
      </c>
      <c r="H15" t="s">
        <v>1042</v>
      </c>
      <c r="I15">
        <v>1300</v>
      </c>
      <c r="J15">
        <v>0.26</v>
      </c>
      <c r="K15">
        <v>962</v>
      </c>
      <c r="L15">
        <v>614.41999999999996</v>
      </c>
      <c r="M15">
        <v>56</v>
      </c>
      <c r="N15">
        <v>1</v>
      </c>
      <c r="O15">
        <v>0.32</v>
      </c>
    </row>
    <row r="16" spans="1:15" x14ac:dyDescent="0.25">
      <c r="A16" t="s">
        <v>27</v>
      </c>
      <c r="B16" s="1">
        <v>45391</v>
      </c>
      <c r="C16" t="s">
        <v>536</v>
      </c>
      <c r="D16" t="s">
        <v>539</v>
      </c>
      <c r="E16" t="s">
        <v>545</v>
      </c>
      <c r="F16" t="s">
        <v>547</v>
      </c>
      <c r="G16" t="s">
        <v>563</v>
      </c>
      <c r="H16" t="s">
        <v>1044</v>
      </c>
      <c r="I16">
        <v>2753</v>
      </c>
      <c r="J16">
        <v>0.27</v>
      </c>
      <c r="K16">
        <v>2009.69</v>
      </c>
      <c r="L16">
        <v>1994.76</v>
      </c>
      <c r="M16">
        <v>83</v>
      </c>
      <c r="N16">
        <v>2</v>
      </c>
      <c r="O16">
        <v>0.36</v>
      </c>
    </row>
    <row r="17" spans="1:15" x14ac:dyDescent="0.25">
      <c r="A17" t="s">
        <v>28</v>
      </c>
      <c r="B17" s="1">
        <v>45395</v>
      </c>
      <c r="C17" t="s">
        <v>535</v>
      </c>
      <c r="D17" t="s">
        <v>538</v>
      </c>
      <c r="E17" t="s">
        <v>546</v>
      </c>
      <c r="F17" t="s">
        <v>550</v>
      </c>
      <c r="G17" t="s">
        <v>564</v>
      </c>
      <c r="H17" t="s">
        <v>1043</v>
      </c>
      <c r="I17">
        <v>3769</v>
      </c>
      <c r="J17">
        <v>0.16</v>
      </c>
      <c r="K17">
        <v>3165.96</v>
      </c>
      <c r="L17">
        <v>2355.9899999999998</v>
      </c>
      <c r="M17">
        <v>110</v>
      </c>
      <c r="N17">
        <v>1</v>
      </c>
      <c r="O17">
        <v>0.32</v>
      </c>
    </row>
    <row r="18" spans="1:15" x14ac:dyDescent="0.25">
      <c r="A18" t="s">
        <v>29</v>
      </c>
      <c r="B18" s="1">
        <v>45443</v>
      </c>
      <c r="C18" t="s">
        <v>536</v>
      </c>
      <c r="D18" t="s">
        <v>539</v>
      </c>
      <c r="E18" t="s">
        <v>546</v>
      </c>
      <c r="F18" t="s">
        <v>547</v>
      </c>
      <c r="G18" t="s">
        <v>565</v>
      </c>
      <c r="H18" t="s">
        <v>1042</v>
      </c>
      <c r="I18">
        <v>2558</v>
      </c>
      <c r="J18">
        <v>0.26</v>
      </c>
      <c r="K18">
        <v>1892.92</v>
      </c>
      <c r="L18">
        <v>1275.8900000000001</v>
      </c>
      <c r="M18">
        <v>55</v>
      </c>
      <c r="N18">
        <v>3</v>
      </c>
      <c r="O18">
        <v>0.42</v>
      </c>
    </row>
    <row r="19" spans="1:15" x14ac:dyDescent="0.25">
      <c r="A19" t="s">
        <v>30</v>
      </c>
      <c r="B19" s="1">
        <v>45422</v>
      </c>
      <c r="C19" t="s">
        <v>536</v>
      </c>
      <c r="D19" t="s">
        <v>544</v>
      </c>
      <c r="E19" t="s">
        <v>545</v>
      </c>
      <c r="F19" t="s">
        <v>547</v>
      </c>
      <c r="G19" t="s">
        <v>566</v>
      </c>
      <c r="H19" t="s">
        <v>1043</v>
      </c>
      <c r="I19">
        <v>59</v>
      </c>
      <c r="J19">
        <v>0.33</v>
      </c>
      <c r="K19">
        <v>39.53</v>
      </c>
      <c r="L19">
        <v>41.88</v>
      </c>
      <c r="M19">
        <v>118</v>
      </c>
      <c r="N19">
        <v>1</v>
      </c>
      <c r="O19">
        <v>0.28000000000000003</v>
      </c>
    </row>
    <row r="20" spans="1:15" x14ac:dyDescent="0.25">
      <c r="A20" t="s">
        <v>31</v>
      </c>
      <c r="B20" s="1">
        <v>45441</v>
      </c>
      <c r="C20" t="s">
        <v>537</v>
      </c>
      <c r="D20" t="s">
        <v>542</v>
      </c>
      <c r="E20" t="s">
        <v>545</v>
      </c>
      <c r="F20" t="s">
        <v>550</v>
      </c>
      <c r="G20" t="s">
        <v>567</v>
      </c>
      <c r="H20" t="s">
        <v>1045</v>
      </c>
      <c r="I20">
        <v>5948</v>
      </c>
      <c r="J20">
        <v>0.23</v>
      </c>
      <c r="K20">
        <v>4579.96</v>
      </c>
      <c r="L20">
        <v>3356.26</v>
      </c>
      <c r="M20">
        <v>95</v>
      </c>
      <c r="N20">
        <v>3</v>
      </c>
      <c r="O20">
        <v>0.42</v>
      </c>
    </row>
    <row r="21" spans="1:15" x14ac:dyDescent="0.25">
      <c r="A21" t="s">
        <v>32</v>
      </c>
      <c r="B21" s="1">
        <v>45344</v>
      </c>
      <c r="C21" t="s">
        <v>535</v>
      </c>
      <c r="D21" t="s">
        <v>538</v>
      </c>
      <c r="E21" t="s">
        <v>546</v>
      </c>
      <c r="F21" t="s">
        <v>547</v>
      </c>
      <c r="G21" t="s">
        <v>568</v>
      </c>
      <c r="H21" t="s">
        <v>1045</v>
      </c>
      <c r="I21">
        <v>454</v>
      </c>
      <c r="J21">
        <v>7.0000000000000007E-2</v>
      </c>
      <c r="K21">
        <v>422.22</v>
      </c>
      <c r="L21">
        <v>322.08</v>
      </c>
      <c r="M21">
        <v>104</v>
      </c>
      <c r="N21">
        <v>1</v>
      </c>
      <c r="O21">
        <v>0.45</v>
      </c>
    </row>
    <row r="22" spans="1:15" x14ac:dyDescent="0.25">
      <c r="A22" t="s">
        <v>33</v>
      </c>
      <c r="B22" s="1">
        <v>45293</v>
      </c>
      <c r="C22" t="s">
        <v>536</v>
      </c>
      <c r="D22" t="s">
        <v>539</v>
      </c>
      <c r="E22" t="s">
        <v>545</v>
      </c>
      <c r="F22" t="s">
        <v>547</v>
      </c>
      <c r="G22" t="s">
        <v>569</v>
      </c>
      <c r="H22" t="s">
        <v>1043</v>
      </c>
      <c r="I22">
        <v>4228</v>
      </c>
      <c r="J22">
        <v>0.12</v>
      </c>
      <c r="K22">
        <v>3720.64</v>
      </c>
      <c r="L22">
        <v>2474.0700000000002</v>
      </c>
      <c r="M22">
        <v>119</v>
      </c>
      <c r="N22">
        <v>1</v>
      </c>
      <c r="O22">
        <v>0.44</v>
      </c>
    </row>
    <row r="23" spans="1:15" x14ac:dyDescent="0.25">
      <c r="A23" t="s">
        <v>34</v>
      </c>
      <c r="B23" s="1">
        <v>45379</v>
      </c>
      <c r="C23" t="s">
        <v>537</v>
      </c>
      <c r="D23" t="s">
        <v>542</v>
      </c>
      <c r="E23" t="s">
        <v>545</v>
      </c>
      <c r="F23" t="s">
        <v>547</v>
      </c>
      <c r="G23" t="s">
        <v>570</v>
      </c>
      <c r="H23" t="s">
        <v>1043</v>
      </c>
      <c r="I23">
        <v>3469</v>
      </c>
      <c r="J23">
        <v>0.13</v>
      </c>
      <c r="K23">
        <v>3018.03</v>
      </c>
      <c r="L23">
        <v>1584.14</v>
      </c>
      <c r="M23">
        <v>171</v>
      </c>
      <c r="N23">
        <v>2</v>
      </c>
      <c r="O23">
        <v>0.41</v>
      </c>
    </row>
    <row r="24" spans="1:15" x14ac:dyDescent="0.25">
      <c r="A24" t="s">
        <v>35</v>
      </c>
      <c r="B24" s="1">
        <v>45449</v>
      </c>
      <c r="C24" t="s">
        <v>537</v>
      </c>
      <c r="D24" t="s">
        <v>542</v>
      </c>
      <c r="E24" t="s">
        <v>545</v>
      </c>
      <c r="F24" t="s">
        <v>550</v>
      </c>
      <c r="G24" t="s">
        <v>571</v>
      </c>
      <c r="H24" t="s">
        <v>1043</v>
      </c>
      <c r="I24">
        <v>7951</v>
      </c>
      <c r="J24">
        <v>0.28999999999999998</v>
      </c>
      <c r="K24">
        <v>5645.21</v>
      </c>
      <c r="L24">
        <v>4985.17</v>
      </c>
      <c r="M24">
        <v>56</v>
      </c>
      <c r="N24">
        <v>3</v>
      </c>
      <c r="O24">
        <v>0.41</v>
      </c>
    </row>
    <row r="25" spans="1:15" x14ac:dyDescent="0.25">
      <c r="A25" t="s">
        <v>36</v>
      </c>
      <c r="B25" s="1">
        <v>45329</v>
      </c>
      <c r="C25" t="s">
        <v>537</v>
      </c>
      <c r="D25" t="s">
        <v>543</v>
      </c>
      <c r="E25" t="s">
        <v>546</v>
      </c>
      <c r="F25" t="s">
        <v>548</v>
      </c>
      <c r="G25" t="s">
        <v>572</v>
      </c>
      <c r="H25" t="s">
        <v>1043</v>
      </c>
      <c r="I25">
        <v>7921</v>
      </c>
      <c r="J25">
        <v>0.05</v>
      </c>
      <c r="K25">
        <v>7524.95</v>
      </c>
      <c r="L25">
        <v>4397.55</v>
      </c>
      <c r="M25">
        <v>107</v>
      </c>
      <c r="N25">
        <v>2</v>
      </c>
      <c r="O25">
        <v>0.35</v>
      </c>
    </row>
    <row r="26" spans="1:15" x14ac:dyDescent="0.25">
      <c r="A26" t="s">
        <v>37</v>
      </c>
      <c r="B26" s="1">
        <v>45421</v>
      </c>
      <c r="C26" t="s">
        <v>536</v>
      </c>
      <c r="D26" t="s">
        <v>539</v>
      </c>
      <c r="E26" t="s">
        <v>546</v>
      </c>
      <c r="F26" t="s">
        <v>550</v>
      </c>
      <c r="G26" t="s">
        <v>573</v>
      </c>
      <c r="H26" t="s">
        <v>1043</v>
      </c>
      <c r="I26">
        <v>7698</v>
      </c>
      <c r="J26">
        <v>0.28999999999999998</v>
      </c>
      <c r="K26">
        <v>5465.58</v>
      </c>
      <c r="L26">
        <v>4379.88</v>
      </c>
      <c r="M26">
        <v>115</v>
      </c>
      <c r="N26">
        <v>3</v>
      </c>
      <c r="O26">
        <v>0.4</v>
      </c>
    </row>
    <row r="27" spans="1:15" x14ac:dyDescent="0.25">
      <c r="A27" t="s">
        <v>38</v>
      </c>
      <c r="B27" s="1">
        <v>45312</v>
      </c>
      <c r="C27" t="s">
        <v>537</v>
      </c>
      <c r="D27" t="s">
        <v>542</v>
      </c>
      <c r="E27" t="s">
        <v>545</v>
      </c>
      <c r="F27" t="s">
        <v>550</v>
      </c>
      <c r="G27" t="s">
        <v>574</v>
      </c>
      <c r="H27" t="s">
        <v>1042</v>
      </c>
      <c r="I27">
        <v>3081</v>
      </c>
      <c r="J27">
        <v>0.06</v>
      </c>
      <c r="K27">
        <v>2896.14</v>
      </c>
      <c r="L27">
        <v>1960.26</v>
      </c>
      <c r="M27">
        <v>135</v>
      </c>
      <c r="N27">
        <v>3</v>
      </c>
      <c r="O27">
        <v>0.38</v>
      </c>
    </row>
    <row r="28" spans="1:15" x14ac:dyDescent="0.25">
      <c r="A28" t="s">
        <v>39</v>
      </c>
      <c r="B28" s="1">
        <v>45452</v>
      </c>
      <c r="C28" t="s">
        <v>536</v>
      </c>
      <c r="D28" t="s">
        <v>539</v>
      </c>
      <c r="E28" t="s">
        <v>546</v>
      </c>
      <c r="F28" t="s">
        <v>548</v>
      </c>
      <c r="G28" t="s">
        <v>575</v>
      </c>
      <c r="H28" t="s">
        <v>1044</v>
      </c>
      <c r="I28">
        <v>6140</v>
      </c>
      <c r="J28">
        <v>0.09</v>
      </c>
      <c r="K28">
        <v>5587.4</v>
      </c>
      <c r="L28">
        <v>3943.49</v>
      </c>
      <c r="M28">
        <v>113</v>
      </c>
      <c r="N28">
        <v>1</v>
      </c>
      <c r="O28">
        <v>0.43</v>
      </c>
    </row>
    <row r="29" spans="1:15" x14ac:dyDescent="0.25">
      <c r="A29" t="s">
        <v>40</v>
      </c>
      <c r="B29" s="1">
        <v>45349</v>
      </c>
      <c r="C29" t="s">
        <v>536</v>
      </c>
      <c r="D29" t="s">
        <v>539</v>
      </c>
      <c r="E29" t="s">
        <v>546</v>
      </c>
      <c r="F29" t="s">
        <v>549</v>
      </c>
      <c r="G29" t="s">
        <v>576</v>
      </c>
      <c r="H29" t="s">
        <v>1043</v>
      </c>
      <c r="I29">
        <v>3172</v>
      </c>
      <c r="J29">
        <v>0.06</v>
      </c>
      <c r="K29">
        <v>2981.68</v>
      </c>
      <c r="L29">
        <v>1588.16</v>
      </c>
      <c r="M29">
        <v>101</v>
      </c>
      <c r="N29">
        <v>2</v>
      </c>
      <c r="O29">
        <v>0.31</v>
      </c>
    </row>
    <row r="30" spans="1:15" x14ac:dyDescent="0.25">
      <c r="A30" t="s">
        <v>41</v>
      </c>
      <c r="B30" s="1">
        <v>45313</v>
      </c>
      <c r="C30" t="s">
        <v>537</v>
      </c>
      <c r="D30" t="s">
        <v>542</v>
      </c>
      <c r="E30" t="s">
        <v>546</v>
      </c>
      <c r="F30" t="s">
        <v>547</v>
      </c>
      <c r="G30" t="s">
        <v>577</v>
      </c>
      <c r="H30" t="s">
        <v>1043</v>
      </c>
      <c r="I30">
        <v>3167</v>
      </c>
      <c r="J30">
        <v>0.16</v>
      </c>
      <c r="K30">
        <v>2660.28</v>
      </c>
      <c r="L30">
        <v>1903.45</v>
      </c>
      <c r="M30">
        <v>54</v>
      </c>
      <c r="N30">
        <v>3</v>
      </c>
      <c r="O30">
        <v>0.28999999999999998</v>
      </c>
    </row>
    <row r="31" spans="1:15" x14ac:dyDescent="0.25">
      <c r="A31" t="s">
        <v>42</v>
      </c>
      <c r="B31" s="1">
        <v>45380</v>
      </c>
      <c r="C31" t="s">
        <v>536</v>
      </c>
      <c r="D31" t="s">
        <v>539</v>
      </c>
      <c r="E31" t="s">
        <v>546</v>
      </c>
      <c r="F31" t="s">
        <v>550</v>
      </c>
      <c r="G31" t="s">
        <v>578</v>
      </c>
      <c r="H31" t="s">
        <v>1043</v>
      </c>
      <c r="I31">
        <v>4252</v>
      </c>
      <c r="J31">
        <v>0.33</v>
      </c>
      <c r="K31">
        <v>2848.84</v>
      </c>
      <c r="L31">
        <v>1991.31</v>
      </c>
      <c r="M31">
        <v>35</v>
      </c>
      <c r="N31">
        <v>1</v>
      </c>
      <c r="O31">
        <v>0.28999999999999998</v>
      </c>
    </row>
    <row r="32" spans="1:15" x14ac:dyDescent="0.25">
      <c r="A32" t="s">
        <v>43</v>
      </c>
      <c r="B32" s="1">
        <v>45340</v>
      </c>
      <c r="C32" t="s">
        <v>535</v>
      </c>
      <c r="D32" t="s">
        <v>538</v>
      </c>
      <c r="E32" t="s">
        <v>546</v>
      </c>
      <c r="F32" t="s">
        <v>548</v>
      </c>
      <c r="G32" t="s">
        <v>579</v>
      </c>
      <c r="H32" t="s">
        <v>1042</v>
      </c>
      <c r="I32">
        <v>4871</v>
      </c>
      <c r="J32">
        <v>0.12</v>
      </c>
      <c r="K32">
        <v>4286.4799999999996</v>
      </c>
      <c r="L32">
        <v>3302.47</v>
      </c>
      <c r="M32">
        <v>87</v>
      </c>
      <c r="N32">
        <v>2</v>
      </c>
      <c r="O32">
        <v>0.41</v>
      </c>
    </row>
    <row r="33" spans="1:15" x14ac:dyDescent="0.25">
      <c r="A33" t="s">
        <v>44</v>
      </c>
      <c r="B33" s="1">
        <v>45350</v>
      </c>
      <c r="C33" t="s">
        <v>536</v>
      </c>
      <c r="D33" t="s">
        <v>544</v>
      </c>
      <c r="E33" t="s">
        <v>545</v>
      </c>
      <c r="F33" t="s">
        <v>548</v>
      </c>
      <c r="G33" t="s">
        <v>580</v>
      </c>
      <c r="H33" t="s">
        <v>1044</v>
      </c>
      <c r="I33">
        <v>968</v>
      </c>
      <c r="J33">
        <v>0.2</v>
      </c>
      <c r="K33">
        <v>774.4</v>
      </c>
      <c r="L33">
        <v>590.13</v>
      </c>
      <c r="M33">
        <v>27</v>
      </c>
      <c r="N33">
        <v>2</v>
      </c>
      <c r="O33">
        <v>0.34</v>
      </c>
    </row>
    <row r="34" spans="1:15" x14ac:dyDescent="0.25">
      <c r="A34" t="s">
        <v>45</v>
      </c>
      <c r="B34" s="1">
        <v>45461</v>
      </c>
      <c r="C34" t="s">
        <v>536</v>
      </c>
      <c r="D34" t="s">
        <v>544</v>
      </c>
      <c r="E34" t="s">
        <v>545</v>
      </c>
      <c r="F34" t="s">
        <v>547</v>
      </c>
      <c r="G34" t="s">
        <v>581</v>
      </c>
      <c r="H34" t="s">
        <v>1042</v>
      </c>
      <c r="I34">
        <v>763</v>
      </c>
      <c r="J34">
        <v>0.22</v>
      </c>
      <c r="K34">
        <v>595.14</v>
      </c>
      <c r="L34">
        <v>535.79</v>
      </c>
      <c r="M34">
        <v>95</v>
      </c>
      <c r="N34">
        <v>2</v>
      </c>
      <c r="O34">
        <v>0.37</v>
      </c>
    </row>
    <row r="35" spans="1:15" x14ac:dyDescent="0.25">
      <c r="A35" t="s">
        <v>46</v>
      </c>
      <c r="B35" s="1">
        <v>45306</v>
      </c>
      <c r="C35" t="s">
        <v>535</v>
      </c>
      <c r="D35" t="s">
        <v>540</v>
      </c>
      <c r="E35" t="s">
        <v>546</v>
      </c>
      <c r="F35" t="s">
        <v>549</v>
      </c>
      <c r="G35" t="s">
        <v>582</v>
      </c>
      <c r="H35" t="s">
        <v>1043</v>
      </c>
      <c r="I35">
        <v>116</v>
      </c>
      <c r="J35">
        <v>0.24</v>
      </c>
      <c r="K35">
        <v>88.16</v>
      </c>
      <c r="L35">
        <v>68.89</v>
      </c>
      <c r="M35">
        <v>120</v>
      </c>
      <c r="N35">
        <v>2</v>
      </c>
      <c r="O35">
        <v>0.38</v>
      </c>
    </row>
    <row r="36" spans="1:15" x14ac:dyDescent="0.25">
      <c r="A36" t="s">
        <v>47</v>
      </c>
      <c r="B36" s="1">
        <v>45466</v>
      </c>
      <c r="C36" t="s">
        <v>535</v>
      </c>
      <c r="D36" t="s">
        <v>538</v>
      </c>
      <c r="E36" t="s">
        <v>546</v>
      </c>
      <c r="F36" t="s">
        <v>548</v>
      </c>
      <c r="G36" t="s">
        <v>583</v>
      </c>
      <c r="H36" t="s">
        <v>1045</v>
      </c>
      <c r="I36">
        <v>5687</v>
      </c>
      <c r="J36">
        <v>0.32</v>
      </c>
      <c r="K36">
        <v>3867.16</v>
      </c>
      <c r="L36">
        <v>3595.7</v>
      </c>
      <c r="M36">
        <v>196</v>
      </c>
      <c r="N36">
        <v>3</v>
      </c>
      <c r="O36">
        <v>0.45</v>
      </c>
    </row>
    <row r="37" spans="1:15" x14ac:dyDescent="0.25">
      <c r="A37" t="s">
        <v>48</v>
      </c>
      <c r="B37" s="1">
        <v>45342</v>
      </c>
      <c r="C37" t="s">
        <v>535</v>
      </c>
      <c r="D37" t="s">
        <v>540</v>
      </c>
      <c r="E37" t="s">
        <v>546</v>
      </c>
      <c r="F37" t="s">
        <v>547</v>
      </c>
      <c r="G37" t="s">
        <v>584</v>
      </c>
      <c r="H37" t="s">
        <v>1043</v>
      </c>
      <c r="I37">
        <v>1655</v>
      </c>
      <c r="J37">
        <v>0.12</v>
      </c>
      <c r="K37">
        <v>1456.4</v>
      </c>
      <c r="L37">
        <v>824.53</v>
      </c>
      <c r="M37">
        <v>84</v>
      </c>
      <c r="N37">
        <v>2</v>
      </c>
      <c r="O37">
        <v>0.33</v>
      </c>
    </row>
    <row r="38" spans="1:15" x14ac:dyDescent="0.25">
      <c r="A38" t="s">
        <v>49</v>
      </c>
      <c r="B38" s="1">
        <v>45399</v>
      </c>
      <c r="C38" t="s">
        <v>536</v>
      </c>
      <c r="D38" t="s">
        <v>539</v>
      </c>
      <c r="E38" t="s">
        <v>546</v>
      </c>
      <c r="F38" t="s">
        <v>548</v>
      </c>
      <c r="G38" t="s">
        <v>585</v>
      </c>
      <c r="H38" t="s">
        <v>1044</v>
      </c>
      <c r="I38">
        <v>1113</v>
      </c>
      <c r="J38">
        <v>0.26</v>
      </c>
      <c r="K38">
        <v>823.62</v>
      </c>
      <c r="L38">
        <v>833.83</v>
      </c>
      <c r="M38">
        <v>15</v>
      </c>
      <c r="N38">
        <v>2</v>
      </c>
      <c r="O38">
        <v>0.38</v>
      </c>
    </row>
    <row r="39" spans="1:15" x14ac:dyDescent="0.25">
      <c r="A39" t="s">
        <v>50</v>
      </c>
      <c r="B39" s="1">
        <v>45346</v>
      </c>
      <c r="C39" t="s">
        <v>536</v>
      </c>
      <c r="D39" t="s">
        <v>544</v>
      </c>
      <c r="E39" t="s">
        <v>546</v>
      </c>
      <c r="F39" t="s">
        <v>550</v>
      </c>
      <c r="G39" t="s">
        <v>586</v>
      </c>
      <c r="H39" t="s">
        <v>1042</v>
      </c>
      <c r="I39">
        <v>6167</v>
      </c>
      <c r="J39">
        <v>0.25</v>
      </c>
      <c r="K39">
        <v>4625.25</v>
      </c>
      <c r="L39">
        <v>4494.59</v>
      </c>
      <c r="M39">
        <v>88</v>
      </c>
      <c r="N39">
        <v>3</v>
      </c>
      <c r="O39">
        <v>0.38</v>
      </c>
    </row>
    <row r="40" spans="1:15" x14ac:dyDescent="0.25">
      <c r="A40" t="s">
        <v>51</v>
      </c>
      <c r="B40" s="1">
        <v>45355</v>
      </c>
      <c r="C40" t="s">
        <v>535</v>
      </c>
      <c r="D40" t="s">
        <v>538</v>
      </c>
      <c r="E40" t="s">
        <v>546</v>
      </c>
      <c r="F40" t="s">
        <v>547</v>
      </c>
      <c r="G40" t="s">
        <v>587</v>
      </c>
      <c r="H40" t="s">
        <v>1043</v>
      </c>
      <c r="I40">
        <v>7029</v>
      </c>
      <c r="J40">
        <v>0.18</v>
      </c>
      <c r="K40">
        <v>5763.78</v>
      </c>
      <c r="L40">
        <v>4233.45</v>
      </c>
      <c r="M40">
        <v>122</v>
      </c>
      <c r="N40">
        <v>3</v>
      </c>
      <c r="O40">
        <v>0.4</v>
      </c>
    </row>
    <row r="41" spans="1:15" x14ac:dyDescent="0.25">
      <c r="A41" t="s">
        <v>52</v>
      </c>
      <c r="B41" s="1">
        <v>45422</v>
      </c>
      <c r="C41" t="s">
        <v>537</v>
      </c>
      <c r="D41" t="s">
        <v>542</v>
      </c>
      <c r="E41" t="s">
        <v>546</v>
      </c>
      <c r="F41" t="s">
        <v>550</v>
      </c>
      <c r="G41" t="s">
        <v>588</v>
      </c>
      <c r="H41" t="s">
        <v>1042</v>
      </c>
      <c r="I41">
        <v>7038</v>
      </c>
      <c r="J41">
        <v>0.21</v>
      </c>
      <c r="K41">
        <v>5560.02</v>
      </c>
      <c r="L41">
        <v>3276.52</v>
      </c>
      <c r="M41">
        <v>187</v>
      </c>
      <c r="N41">
        <v>2</v>
      </c>
      <c r="O41">
        <v>0.37</v>
      </c>
    </row>
    <row r="42" spans="1:15" x14ac:dyDescent="0.25">
      <c r="A42" t="s">
        <v>53</v>
      </c>
      <c r="B42" s="1">
        <v>45342</v>
      </c>
      <c r="C42" t="s">
        <v>537</v>
      </c>
      <c r="D42" t="s">
        <v>542</v>
      </c>
      <c r="E42" t="s">
        <v>545</v>
      </c>
      <c r="F42" t="s">
        <v>549</v>
      </c>
      <c r="G42" t="s">
        <v>589</v>
      </c>
      <c r="H42" t="s">
        <v>1045</v>
      </c>
      <c r="I42">
        <v>1392</v>
      </c>
      <c r="J42">
        <v>0.25</v>
      </c>
      <c r="K42">
        <v>1044</v>
      </c>
      <c r="L42">
        <v>943.87</v>
      </c>
      <c r="M42">
        <v>152</v>
      </c>
      <c r="N42">
        <v>2</v>
      </c>
      <c r="O42">
        <v>0.35</v>
      </c>
    </row>
    <row r="43" spans="1:15" x14ac:dyDescent="0.25">
      <c r="A43" t="s">
        <v>54</v>
      </c>
      <c r="B43" s="1">
        <v>45426</v>
      </c>
      <c r="C43" t="s">
        <v>536</v>
      </c>
      <c r="D43" t="s">
        <v>539</v>
      </c>
      <c r="E43" t="s">
        <v>545</v>
      </c>
      <c r="F43" t="s">
        <v>547</v>
      </c>
      <c r="G43" t="s">
        <v>590</v>
      </c>
      <c r="H43" t="s">
        <v>1042</v>
      </c>
      <c r="I43">
        <v>2019</v>
      </c>
      <c r="J43">
        <v>0.09</v>
      </c>
      <c r="K43">
        <v>1837.29</v>
      </c>
      <c r="L43">
        <v>1351.24</v>
      </c>
      <c r="M43">
        <v>146</v>
      </c>
      <c r="N43">
        <v>2</v>
      </c>
      <c r="O43">
        <v>0.31</v>
      </c>
    </row>
    <row r="44" spans="1:15" x14ac:dyDescent="0.25">
      <c r="A44" t="s">
        <v>55</v>
      </c>
      <c r="B44" s="1">
        <v>45312</v>
      </c>
      <c r="C44" t="s">
        <v>535</v>
      </c>
      <c r="D44" t="s">
        <v>538</v>
      </c>
      <c r="E44" t="s">
        <v>546</v>
      </c>
      <c r="F44" t="s">
        <v>549</v>
      </c>
      <c r="G44" t="s">
        <v>591</v>
      </c>
      <c r="H44" t="s">
        <v>1042</v>
      </c>
      <c r="I44">
        <v>5518</v>
      </c>
      <c r="J44">
        <v>0.09</v>
      </c>
      <c r="K44">
        <v>5021.38</v>
      </c>
      <c r="L44">
        <v>3799.59</v>
      </c>
      <c r="M44">
        <v>23</v>
      </c>
      <c r="N44">
        <v>2</v>
      </c>
      <c r="O44">
        <v>0.42</v>
      </c>
    </row>
    <row r="45" spans="1:15" x14ac:dyDescent="0.25">
      <c r="A45" t="s">
        <v>56</v>
      </c>
      <c r="B45" s="1">
        <v>45364</v>
      </c>
      <c r="C45" t="s">
        <v>535</v>
      </c>
      <c r="D45" t="s">
        <v>540</v>
      </c>
      <c r="E45" t="s">
        <v>545</v>
      </c>
      <c r="F45" t="s">
        <v>548</v>
      </c>
      <c r="G45" t="s">
        <v>592</v>
      </c>
      <c r="H45" t="s">
        <v>1043</v>
      </c>
      <c r="I45">
        <v>4277</v>
      </c>
      <c r="J45">
        <v>0.14000000000000001</v>
      </c>
      <c r="K45">
        <v>3678.22</v>
      </c>
      <c r="L45">
        <v>2679.51</v>
      </c>
      <c r="M45">
        <v>155</v>
      </c>
      <c r="N45">
        <v>3</v>
      </c>
      <c r="O45">
        <v>0.4</v>
      </c>
    </row>
    <row r="46" spans="1:15" x14ac:dyDescent="0.25">
      <c r="A46" t="s">
        <v>57</v>
      </c>
      <c r="B46" s="1">
        <v>45458</v>
      </c>
      <c r="C46" t="s">
        <v>536</v>
      </c>
      <c r="D46" t="s">
        <v>539</v>
      </c>
      <c r="E46" t="s">
        <v>546</v>
      </c>
      <c r="F46" t="s">
        <v>550</v>
      </c>
      <c r="G46" t="s">
        <v>593</v>
      </c>
      <c r="H46" t="s">
        <v>1044</v>
      </c>
      <c r="I46">
        <v>2240</v>
      </c>
      <c r="J46">
        <v>0.22</v>
      </c>
      <c r="K46">
        <v>1747.2</v>
      </c>
      <c r="L46">
        <v>1246.8</v>
      </c>
      <c r="M46">
        <v>62</v>
      </c>
      <c r="N46">
        <v>3</v>
      </c>
      <c r="O46">
        <v>0.37</v>
      </c>
    </row>
    <row r="47" spans="1:15" x14ac:dyDescent="0.25">
      <c r="A47" t="s">
        <v>58</v>
      </c>
      <c r="B47" s="1">
        <v>45309</v>
      </c>
      <c r="C47" t="s">
        <v>537</v>
      </c>
      <c r="D47" t="s">
        <v>541</v>
      </c>
      <c r="E47" t="s">
        <v>545</v>
      </c>
      <c r="F47" t="s">
        <v>548</v>
      </c>
      <c r="G47" t="s">
        <v>594</v>
      </c>
      <c r="H47" t="s">
        <v>1043</v>
      </c>
      <c r="I47">
        <v>5617</v>
      </c>
      <c r="J47">
        <v>0.1</v>
      </c>
      <c r="K47">
        <v>5055.3</v>
      </c>
      <c r="L47">
        <v>4008.23</v>
      </c>
      <c r="M47">
        <v>42</v>
      </c>
      <c r="N47">
        <v>2</v>
      </c>
      <c r="O47">
        <v>0.43</v>
      </c>
    </row>
    <row r="48" spans="1:15" x14ac:dyDescent="0.25">
      <c r="A48" t="s">
        <v>59</v>
      </c>
      <c r="B48" s="1">
        <v>45423</v>
      </c>
      <c r="C48" t="s">
        <v>535</v>
      </c>
      <c r="D48" t="s">
        <v>538</v>
      </c>
      <c r="E48" t="s">
        <v>546</v>
      </c>
      <c r="F48" t="s">
        <v>547</v>
      </c>
      <c r="G48" t="s">
        <v>595</v>
      </c>
      <c r="H48" t="s">
        <v>1045</v>
      </c>
      <c r="I48">
        <v>7628</v>
      </c>
      <c r="J48">
        <v>0.27</v>
      </c>
      <c r="K48">
        <v>5568.44</v>
      </c>
      <c r="L48">
        <v>3509.34</v>
      </c>
      <c r="M48">
        <v>95</v>
      </c>
      <c r="N48">
        <v>2</v>
      </c>
      <c r="O48">
        <v>0.41</v>
      </c>
    </row>
    <row r="49" spans="1:15" x14ac:dyDescent="0.25">
      <c r="A49" t="s">
        <v>60</v>
      </c>
      <c r="B49" s="1">
        <v>45380</v>
      </c>
      <c r="C49" t="s">
        <v>537</v>
      </c>
      <c r="D49" t="s">
        <v>542</v>
      </c>
      <c r="E49" t="s">
        <v>545</v>
      </c>
      <c r="F49" t="s">
        <v>550</v>
      </c>
      <c r="G49" t="s">
        <v>596</v>
      </c>
      <c r="H49" t="s">
        <v>1044</v>
      </c>
      <c r="I49">
        <v>4960</v>
      </c>
      <c r="J49">
        <v>0.3</v>
      </c>
      <c r="K49">
        <v>3472</v>
      </c>
      <c r="L49">
        <v>2421.6999999999998</v>
      </c>
      <c r="M49">
        <v>193</v>
      </c>
      <c r="N49">
        <v>3</v>
      </c>
      <c r="O49">
        <v>0.42</v>
      </c>
    </row>
    <row r="50" spans="1:15" x14ac:dyDescent="0.25">
      <c r="A50" t="s">
        <v>61</v>
      </c>
      <c r="B50" s="1">
        <v>45351</v>
      </c>
      <c r="C50" t="s">
        <v>535</v>
      </c>
      <c r="D50" t="s">
        <v>540</v>
      </c>
      <c r="E50" t="s">
        <v>545</v>
      </c>
      <c r="F50" t="s">
        <v>549</v>
      </c>
      <c r="G50" t="s">
        <v>597</v>
      </c>
      <c r="H50" t="s">
        <v>1043</v>
      </c>
      <c r="I50">
        <v>7628</v>
      </c>
      <c r="J50">
        <v>0.24</v>
      </c>
      <c r="K50">
        <v>5797.28</v>
      </c>
      <c r="L50">
        <v>5020.63</v>
      </c>
      <c r="M50">
        <v>45</v>
      </c>
      <c r="N50">
        <v>2</v>
      </c>
      <c r="O50">
        <v>0.32</v>
      </c>
    </row>
    <row r="51" spans="1:15" x14ac:dyDescent="0.25">
      <c r="A51" t="s">
        <v>62</v>
      </c>
      <c r="B51" s="1">
        <v>45305</v>
      </c>
      <c r="C51" t="s">
        <v>536</v>
      </c>
      <c r="D51" t="s">
        <v>544</v>
      </c>
      <c r="E51" t="s">
        <v>546</v>
      </c>
      <c r="F51" t="s">
        <v>550</v>
      </c>
      <c r="G51" t="s">
        <v>598</v>
      </c>
      <c r="H51" t="s">
        <v>1043</v>
      </c>
      <c r="I51">
        <v>4857</v>
      </c>
      <c r="J51">
        <v>0.18</v>
      </c>
      <c r="K51">
        <v>3982.74</v>
      </c>
      <c r="L51">
        <v>2605.19</v>
      </c>
      <c r="M51">
        <v>116</v>
      </c>
      <c r="N51">
        <v>2</v>
      </c>
      <c r="O51">
        <v>0.38</v>
      </c>
    </row>
    <row r="52" spans="1:15" x14ac:dyDescent="0.25">
      <c r="A52" t="s">
        <v>63</v>
      </c>
      <c r="B52" s="1">
        <v>45300</v>
      </c>
      <c r="C52" t="s">
        <v>535</v>
      </c>
      <c r="D52" t="s">
        <v>540</v>
      </c>
      <c r="E52" t="s">
        <v>545</v>
      </c>
      <c r="F52" t="s">
        <v>548</v>
      </c>
      <c r="G52" t="s">
        <v>599</v>
      </c>
      <c r="H52" t="s">
        <v>1044</v>
      </c>
      <c r="I52">
        <v>3581</v>
      </c>
      <c r="J52">
        <v>0.08</v>
      </c>
      <c r="K52">
        <v>3294.52</v>
      </c>
      <c r="L52">
        <v>2598.46</v>
      </c>
      <c r="M52">
        <v>142</v>
      </c>
      <c r="N52">
        <v>1</v>
      </c>
      <c r="O52">
        <v>0.4</v>
      </c>
    </row>
    <row r="53" spans="1:15" x14ac:dyDescent="0.25">
      <c r="A53" t="s">
        <v>64</v>
      </c>
      <c r="B53" s="1">
        <v>45381</v>
      </c>
      <c r="C53" t="s">
        <v>535</v>
      </c>
      <c r="D53" t="s">
        <v>538</v>
      </c>
      <c r="E53" t="s">
        <v>545</v>
      </c>
      <c r="F53" t="s">
        <v>548</v>
      </c>
      <c r="G53" t="s">
        <v>600</v>
      </c>
      <c r="H53" t="s">
        <v>1043</v>
      </c>
      <c r="I53">
        <v>4196</v>
      </c>
      <c r="J53">
        <v>0.27</v>
      </c>
      <c r="K53">
        <v>3063.08</v>
      </c>
      <c r="L53">
        <v>3064.38</v>
      </c>
      <c r="M53">
        <v>20</v>
      </c>
      <c r="N53">
        <v>3</v>
      </c>
      <c r="O53">
        <v>0.3</v>
      </c>
    </row>
    <row r="54" spans="1:15" x14ac:dyDescent="0.25">
      <c r="A54" t="s">
        <v>65</v>
      </c>
      <c r="B54" s="1">
        <v>45344</v>
      </c>
      <c r="C54" t="s">
        <v>535</v>
      </c>
      <c r="D54" t="s">
        <v>538</v>
      </c>
      <c r="E54" t="s">
        <v>546</v>
      </c>
      <c r="F54" t="s">
        <v>550</v>
      </c>
      <c r="G54" t="s">
        <v>601</v>
      </c>
      <c r="H54" t="s">
        <v>1044</v>
      </c>
      <c r="I54">
        <v>2922</v>
      </c>
      <c r="J54">
        <v>0.15</v>
      </c>
      <c r="K54">
        <v>2483.6999999999998</v>
      </c>
      <c r="L54">
        <v>1587.91</v>
      </c>
      <c r="M54">
        <v>124</v>
      </c>
      <c r="N54">
        <v>3</v>
      </c>
      <c r="O54">
        <v>0.35</v>
      </c>
    </row>
    <row r="55" spans="1:15" x14ac:dyDescent="0.25">
      <c r="A55" t="s">
        <v>66</v>
      </c>
      <c r="B55" s="1">
        <v>45421</v>
      </c>
      <c r="C55" t="s">
        <v>535</v>
      </c>
      <c r="D55" t="s">
        <v>538</v>
      </c>
      <c r="E55" t="s">
        <v>545</v>
      </c>
      <c r="F55" t="s">
        <v>549</v>
      </c>
      <c r="G55" t="s">
        <v>602</v>
      </c>
      <c r="H55" t="s">
        <v>1043</v>
      </c>
      <c r="I55">
        <v>5082</v>
      </c>
      <c r="J55">
        <v>0.08</v>
      </c>
      <c r="K55">
        <v>4675.4399999999996</v>
      </c>
      <c r="L55">
        <v>2918.85</v>
      </c>
      <c r="M55">
        <v>99</v>
      </c>
      <c r="N55">
        <v>3</v>
      </c>
      <c r="O55">
        <v>0.44</v>
      </c>
    </row>
    <row r="56" spans="1:15" x14ac:dyDescent="0.25">
      <c r="A56" t="s">
        <v>67</v>
      </c>
      <c r="B56" s="1">
        <v>45375</v>
      </c>
      <c r="C56" t="s">
        <v>536</v>
      </c>
      <c r="D56" t="s">
        <v>544</v>
      </c>
      <c r="E56" t="s">
        <v>546</v>
      </c>
      <c r="F56" t="s">
        <v>548</v>
      </c>
      <c r="G56" t="s">
        <v>603</v>
      </c>
      <c r="H56" t="s">
        <v>1044</v>
      </c>
      <c r="I56">
        <v>1004</v>
      </c>
      <c r="J56">
        <v>0.19</v>
      </c>
      <c r="K56">
        <v>813.24</v>
      </c>
      <c r="L56">
        <v>494.23</v>
      </c>
      <c r="M56">
        <v>161</v>
      </c>
      <c r="N56">
        <v>1</v>
      </c>
      <c r="O56">
        <v>0.36</v>
      </c>
    </row>
    <row r="57" spans="1:15" x14ac:dyDescent="0.25">
      <c r="A57" t="s">
        <v>68</v>
      </c>
      <c r="B57" s="1">
        <v>45383</v>
      </c>
      <c r="C57" t="s">
        <v>535</v>
      </c>
      <c r="D57" t="s">
        <v>538</v>
      </c>
      <c r="E57" t="s">
        <v>546</v>
      </c>
      <c r="F57" t="s">
        <v>547</v>
      </c>
      <c r="G57" t="s">
        <v>604</v>
      </c>
      <c r="H57" t="s">
        <v>1044</v>
      </c>
      <c r="I57">
        <v>5148</v>
      </c>
      <c r="J57">
        <v>0.24</v>
      </c>
      <c r="K57">
        <v>3912.48</v>
      </c>
      <c r="L57">
        <v>2336.8200000000002</v>
      </c>
      <c r="M57">
        <v>58</v>
      </c>
      <c r="N57">
        <v>3</v>
      </c>
      <c r="O57">
        <v>0.45</v>
      </c>
    </row>
    <row r="58" spans="1:15" x14ac:dyDescent="0.25">
      <c r="A58" t="s">
        <v>69</v>
      </c>
      <c r="B58" s="1">
        <v>45402</v>
      </c>
      <c r="C58" t="s">
        <v>535</v>
      </c>
      <c r="D58" t="s">
        <v>538</v>
      </c>
      <c r="E58" t="s">
        <v>545</v>
      </c>
      <c r="F58" t="s">
        <v>550</v>
      </c>
      <c r="G58" t="s">
        <v>605</v>
      </c>
      <c r="H58" t="s">
        <v>1044</v>
      </c>
      <c r="I58">
        <v>1774</v>
      </c>
      <c r="J58">
        <v>0.11</v>
      </c>
      <c r="K58">
        <v>1578.86</v>
      </c>
      <c r="L58">
        <v>957.74</v>
      </c>
      <c r="M58">
        <v>150</v>
      </c>
      <c r="N58">
        <v>2</v>
      </c>
      <c r="O58">
        <v>0.41</v>
      </c>
    </row>
    <row r="59" spans="1:15" x14ac:dyDescent="0.25">
      <c r="A59" t="s">
        <v>70</v>
      </c>
      <c r="B59" s="1">
        <v>45463</v>
      </c>
      <c r="C59" t="s">
        <v>536</v>
      </c>
      <c r="D59" t="s">
        <v>544</v>
      </c>
      <c r="E59" t="s">
        <v>546</v>
      </c>
      <c r="F59" t="s">
        <v>549</v>
      </c>
      <c r="G59" t="s">
        <v>606</v>
      </c>
      <c r="H59" t="s">
        <v>1045</v>
      </c>
      <c r="I59">
        <v>4574</v>
      </c>
      <c r="J59">
        <v>0.16</v>
      </c>
      <c r="K59">
        <v>3842.16</v>
      </c>
      <c r="L59">
        <v>3206.23</v>
      </c>
      <c r="M59">
        <v>28</v>
      </c>
      <c r="N59">
        <v>2</v>
      </c>
      <c r="O59">
        <v>0.33</v>
      </c>
    </row>
    <row r="60" spans="1:15" x14ac:dyDescent="0.25">
      <c r="A60" t="s">
        <v>71</v>
      </c>
      <c r="B60" s="1">
        <v>45299</v>
      </c>
      <c r="C60" t="s">
        <v>536</v>
      </c>
      <c r="D60" t="s">
        <v>544</v>
      </c>
      <c r="E60" t="s">
        <v>546</v>
      </c>
      <c r="F60" t="s">
        <v>550</v>
      </c>
      <c r="G60" t="s">
        <v>607</v>
      </c>
      <c r="H60" t="s">
        <v>1045</v>
      </c>
      <c r="I60">
        <v>2211</v>
      </c>
      <c r="J60">
        <v>0.2</v>
      </c>
      <c r="K60">
        <v>1768.8</v>
      </c>
      <c r="L60">
        <v>1502.61</v>
      </c>
      <c r="M60">
        <v>141</v>
      </c>
      <c r="N60">
        <v>1</v>
      </c>
      <c r="O60">
        <v>0.34</v>
      </c>
    </row>
    <row r="61" spans="1:15" x14ac:dyDescent="0.25">
      <c r="A61" t="s">
        <v>72</v>
      </c>
      <c r="B61" s="1">
        <v>45466</v>
      </c>
      <c r="C61" t="s">
        <v>536</v>
      </c>
      <c r="D61" t="s">
        <v>539</v>
      </c>
      <c r="E61" t="s">
        <v>546</v>
      </c>
      <c r="F61" t="s">
        <v>549</v>
      </c>
      <c r="G61" t="s">
        <v>608</v>
      </c>
      <c r="H61" t="s">
        <v>1044</v>
      </c>
      <c r="I61">
        <v>1951</v>
      </c>
      <c r="J61">
        <v>0.21</v>
      </c>
      <c r="K61">
        <v>1541.29</v>
      </c>
      <c r="L61">
        <v>1346.63</v>
      </c>
      <c r="M61">
        <v>64</v>
      </c>
      <c r="N61">
        <v>2</v>
      </c>
      <c r="O61">
        <v>0.43</v>
      </c>
    </row>
    <row r="62" spans="1:15" x14ac:dyDescent="0.25">
      <c r="A62" t="s">
        <v>73</v>
      </c>
      <c r="B62" s="1">
        <v>45326</v>
      </c>
      <c r="C62" t="s">
        <v>535</v>
      </c>
      <c r="D62" t="s">
        <v>540</v>
      </c>
      <c r="E62" t="s">
        <v>546</v>
      </c>
      <c r="F62" t="s">
        <v>548</v>
      </c>
      <c r="G62" t="s">
        <v>609</v>
      </c>
      <c r="H62" t="s">
        <v>1044</v>
      </c>
      <c r="I62">
        <v>2540</v>
      </c>
      <c r="J62">
        <v>0.2</v>
      </c>
      <c r="K62">
        <v>2032</v>
      </c>
      <c r="L62">
        <v>1596.43</v>
      </c>
      <c r="M62">
        <v>76</v>
      </c>
      <c r="N62">
        <v>3</v>
      </c>
      <c r="O62">
        <v>0.39</v>
      </c>
    </row>
    <row r="63" spans="1:15" x14ac:dyDescent="0.25">
      <c r="A63" t="s">
        <v>74</v>
      </c>
      <c r="B63" s="1">
        <v>45372</v>
      </c>
      <c r="C63" t="s">
        <v>537</v>
      </c>
      <c r="D63" t="s">
        <v>541</v>
      </c>
      <c r="E63" t="s">
        <v>545</v>
      </c>
      <c r="F63" t="s">
        <v>549</v>
      </c>
      <c r="G63" t="s">
        <v>610</v>
      </c>
      <c r="H63" t="s">
        <v>1042</v>
      </c>
      <c r="I63">
        <v>3241</v>
      </c>
      <c r="J63">
        <v>0.28999999999999998</v>
      </c>
      <c r="K63">
        <v>2301.11</v>
      </c>
      <c r="L63">
        <v>2394.4299999999998</v>
      </c>
      <c r="M63">
        <v>174</v>
      </c>
      <c r="N63">
        <v>2</v>
      </c>
      <c r="O63">
        <v>0.31</v>
      </c>
    </row>
    <row r="64" spans="1:15" x14ac:dyDescent="0.25">
      <c r="A64" t="s">
        <v>75</v>
      </c>
      <c r="B64" s="1">
        <v>45455</v>
      </c>
      <c r="C64" t="s">
        <v>536</v>
      </c>
      <c r="D64" t="s">
        <v>544</v>
      </c>
      <c r="E64" t="s">
        <v>546</v>
      </c>
      <c r="F64" t="s">
        <v>550</v>
      </c>
      <c r="G64" t="s">
        <v>611</v>
      </c>
      <c r="H64" t="s">
        <v>1044</v>
      </c>
      <c r="I64">
        <v>7890</v>
      </c>
      <c r="J64">
        <v>0.11</v>
      </c>
      <c r="K64">
        <v>7022.1</v>
      </c>
      <c r="L64">
        <v>3613.3</v>
      </c>
      <c r="M64">
        <v>134</v>
      </c>
      <c r="N64">
        <v>3</v>
      </c>
      <c r="O64">
        <v>0.38</v>
      </c>
    </row>
    <row r="65" spans="1:15" x14ac:dyDescent="0.25">
      <c r="A65" t="s">
        <v>76</v>
      </c>
      <c r="B65" s="1">
        <v>45341</v>
      </c>
      <c r="C65" t="s">
        <v>537</v>
      </c>
      <c r="D65" t="s">
        <v>543</v>
      </c>
      <c r="E65" t="s">
        <v>545</v>
      </c>
      <c r="F65" t="s">
        <v>547</v>
      </c>
      <c r="G65" t="s">
        <v>612</v>
      </c>
      <c r="H65" t="s">
        <v>1042</v>
      </c>
      <c r="I65">
        <v>3644</v>
      </c>
      <c r="J65">
        <v>0.13</v>
      </c>
      <c r="K65">
        <v>3170.28</v>
      </c>
      <c r="L65">
        <v>2054.88</v>
      </c>
      <c r="M65">
        <v>128</v>
      </c>
      <c r="N65">
        <v>1</v>
      </c>
      <c r="O65">
        <v>0.34</v>
      </c>
    </row>
    <row r="66" spans="1:15" x14ac:dyDescent="0.25">
      <c r="A66" t="s">
        <v>77</v>
      </c>
      <c r="B66" s="1">
        <v>45395</v>
      </c>
      <c r="C66" t="s">
        <v>537</v>
      </c>
      <c r="D66" t="s">
        <v>542</v>
      </c>
      <c r="E66" t="s">
        <v>545</v>
      </c>
      <c r="F66" t="s">
        <v>550</v>
      </c>
      <c r="G66" t="s">
        <v>613</v>
      </c>
      <c r="H66" t="s">
        <v>1044</v>
      </c>
      <c r="I66">
        <v>5669</v>
      </c>
      <c r="J66">
        <v>0.34</v>
      </c>
      <c r="K66">
        <v>3741.54</v>
      </c>
      <c r="L66">
        <v>3877.19</v>
      </c>
      <c r="M66">
        <v>90</v>
      </c>
      <c r="N66">
        <v>2</v>
      </c>
      <c r="O66">
        <v>0.38</v>
      </c>
    </row>
    <row r="67" spans="1:15" x14ac:dyDescent="0.25">
      <c r="A67" t="s">
        <v>78</v>
      </c>
      <c r="B67" s="1">
        <v>45423</v>
      </c>
      <c r="C67" t="s">
        <v>537</v>
      </c>
      <c r="D67" t="s">
        <v>541</v>
      </c>
      <c r="E67" t="s">
        <v>546</v>
      </c>
      <c r="F67" t="s">
        <v>549</v>
      </c>
      <c r="G67" t="s">
        <v>614</v>
      </c>
      <c r="H67" t="s">
        <v>1043</v>
      </c>
      <c r="I67">
        <v>3236</v>
      </c>
      <c r="J67">
        <v>0.2</v>
      </c>
      <c r="K67">
        <v>2588.8000000000002</v>
      </c>
      <c r="L67">
        <v>2176.23</v>
      </c>
      <c r="M67">
        <v>34</v>
      </c>
      <c r="N67">
        <v>3</v>
      </c>
      <c r="O67">
        <v>0.32</v>
      </c>
    </row>
    <row r="68" spans="1:15" x14ac:dyDescent="0.25">
      <c r="A68" t="s">
        <v>79</v>
      </c>
      <c r="B68" s="1">
        <v>45293</v>
      </c>
      <c r="C68" t="s">
        <v>536</v>
      </c>
      <c r="D68" t="s">
        <v>544</v>
      </c>
      <c r="E68" t="s">
        <v>546</v>
      </c>
      <c r="F68" t="s">
        <v>549</v>
      </c>
      <c r="G68" t="s">
        <v>555</v>
      </c>
      <c r="H68" t="s">
        <v>1045</v>
      </c>
      <c r="I68">
        <v>3230</v>
      </c>
      <c r="J68">
        <v>0.26</v>
      </c>
      <c r="K68">
        <v>2390.1999999999998</v>
      </c>
      <c r="L68">
        <v>2115.5100000000002</v>
      </c>
      <c r="M68">
        <v>79</v>
      </c>
      <c r="N68">
        <v>2</v>
      </c>
      <c r="O68">
        <v>0.37</v>
      </c>
    </row>
    <row r="69" spans="1:15" x14ac:dyDescent="0.25">
      <c r="A69" t="s">
        <v>80</v>
      </c>
      <c r="B69" s="1">
        <v>45425</v>
      </c>
      <c r="C69" t="s">
        <v>535</v>
      </c>
      <c r="D69" t="s">
        <v>538</v>
      </c>
      <c r="E69" t="s">
        <v>546</v>
      </c>
      <c r="F69" t="s">
        <v>550</v>
      </c>
      <c r="G69" t="s">
        <v>615</v>
      </c>
      <c r="H69" t="s">
        <v>1045</v>
      </c>
      <c r="I69">
        <v>7191</v>
      </c>
      <c r="J69">
        <v>0.3</v>
      </c>
      <c r="K69">
        <v>5033.7</v>
      </c>
      <c r="L69">
        <v>3681.26</v>
      </c>
      <c r="M69">
        <v>115</v>
      </c>
      <c r="N69">
        <v>2</v>
      </c>
      <c r="O69">
        <v>0.3</v>
      </c>
    </row>
    <row r="70" spans="1:15" x14ac:dyDescent="0.25">
      <c r="A70" t="s">
        <v>81</v>
      </c>
      <c r="B70" s="1">
        <v>45345</v>
      </c>
      <c r="C70" t="s">
        <v>536</v>
      </c>
      <c r="D70" t="s">
        <v>544</v>
      </c>
      <c r="E70" t="s">
        <v>546</v>
      </c>
      <c r="F70" t="s">
        <v>548</v>
      </c>
      <c r="G70" t="s">
        <v>616</v>
      </c>
      <c r="H70" t="s">
        <v>1042</v>
      </c>
      <c r="I70">
        <v>5918</v>
      </c>
      <c r="J70">
        <v>0.25</v>
      </c>
      <c r="K70">
        <v>4438.5</v>
      </c>
      <c r="L70">
        <v>2974.45</v>
      </c>
      <c r="M70">
        <v>182</v>
      </c>
      <c r="N70">
        <v>1</v>
      </c>
      <c r="O70">
        <v>0.35</v>
      </c>
    </row>
    <row r="71" spans="1:15" x14ac:dyDescent="0.25">
      <c r="A71" t="s">
        <v>82</v>
      </c>
      <c r="B71" s="1">
        <v>45397</v>
      </c>
      <c r="C71" t="s">
        <v>537</v>
      </c>
      <c r="D71" t="s">
        <v>543</v>
      </c>
      <c r="E71" t="s">
        <v>546</v>
      </c>
      <c r="F71" t="s">
        <v>550</v>
      </c>
      <c r="G71" t="s">
        <v>617</v>
      </c>
      <c r="H71" t="s">
        <v>1042</v>
      </c>
      <c r="I71">
        <v>5991</v>
      </c>
      <c r="J71">
        <v>0.27</v>
      </c>
      <c r="K71">
        <v>4373.43</v>
      </c>
      <c r="L71">
        <v>2844.76</v>
      </c>
      <c r="M71">
        <v>45</v>
      </c>
      <c r="N71">
        <v>3</v>
      </c>
      <c r="O71">
        <v>0.32</v>
      </c>
    </row>
    <row r="72" spans="1:15" x14ac:dyDescent="0.25">
      <c r="A72" t="s">
        <v>83</v>
      </c>
      <c r="B72" s="1">
        <v>45295</v>
      </c>
      <c r="C72" t="s">
        <v>536</v>
      </c>
      <c r="D72" t="s">
        <v>544</v>
      </c>
      <c r="E72" t="s">
        <v>546</v>
      </c>
      <c r="F72" t="s">
        <v>548</v>
      </c>
      <c r="G72" t="s">
        <v>618</v>
      </c>
      <c r="H72" t="s">
        <v>1045</v>
      </c>
      <c r="I72">
        <v>236</v>
      </c>
      <c r="J72">
        <v>0.14000000000000001</v>
      </c>
      <c r="K72">
        <v>202.96</v>
      </c>
      <c r="L72">
        <v>146.30000000000001</v>
      </c>
      <c r="M72">
        <v>107</v>
      </c>
      <c r="N72">
        <v>3</v>
      </c>
      <c r="O72">
        <v>0.39</v>
      </c>
    </row>
    <row r="73" spans="1:15" x14ac:dyDescent="0.25">
      <c r="A73" t="s">
        <v>84</v>
      </c>
      <c r="B73" s="1">
        <v>45345</v>
      </c>
      <c r="C73" t="s">
        <v>537</v>
      </c>
      <c r="D73" t="s">
        <v>542</v>
      </c>
      <c r="E73" t="s">
        <v>546</v>
      </c>
      <c r="F73" t="s">
        <v>549</v>
      </c>
      <c r="G73" t="s">
        <v>619</v>
      </c>
      <c r="H73" t="s">
        <v>1042</v>
      </c>
      <c r="I73">
        <v>800</v>
      </c>
      <c r="J73">
        <v>0.13</v>
      </c>
      <c r="K73">
        <v>696</v>
      </c>
      <c r="L73">
        <v>502.82</v>
      </c>
      <c r="M73">
        <v>90</v>
      </c>
      <c r="N73">
        <v>2</v>
      </c>
      <c r="O73">
        <v>0.44</v>
      </c>
    </row>
    <row r="74" spans="1:15" x14ac:dyDescent="0.25">
      <c r="A74" t="s">
        <v>85</v>
      </c>
      <c r="B74" s="1">
        <v>45437</v>
      </c>
      <c r="C74" t="s">
        <v>535</v>
      </c>
      <c r="D74" t="s">
        <v>538</v>
      </c>
      <c r="E74" t="s">
        <v>546</v>
      </c>
      <c r="F74" t="s">
        <v>550</v>
      </c>
      <c r="G74" t="s">
        <v>620</v>
      </c>
      <c r="H74" t="s">
        <v>1045</v>
      </c>
      <c r="I74">
        <v>2393</v>
      </c>
      <c r="J74">
        <v>0.27</v>
      </c>
      <c r="K74">
        <v>1746.89</v>
      </c>
      <c r="L74">
        <v>1432.56</v>
      </c>
      <c r="M74">
        <v>180</v>
      </c>
      <c r="N74">
        <v>2</v>
      </c>
      <c r="O74">
        <v>0.36</v>
      </c>
    </row>
    <row r="75" spans="1:15" x14ac:dyDescent="0.25">
      <c r="A75" t="s">
        <v>86</v>
      </c>
      <c r="B75" s="1">
        <v>45335</v>
      </c>
      <c r="C75" t="s">
        <v>536</v>
      </c>
      <c r="D75" t="s">
        <v>544</v>
      </c>
      <c r="E75" t="s">
        <v>546</v>
      </c>
      <c r="F75" t="s">
        <v>547</v>
      </c>
      <c r="G75" t="s">
        <v>621</v>
      </c>
      <c r="H75" t="s">
        <v>1044</v>
      </c>
      <c r="I75">
        <v>3599</v>
      </c>
      <c r="J75">
        <v>0.05</v>
      </c>
      <c r="K75">
        <v>3419.05</v>
      </c>
      <c r="L75">
        <v>1730.86</v>
      </c>
      <c r="M75">
        <v>110</v>
      </c>
      <c r="N75">
        <v>3</v>
      </c>
      <c r="O75">
        <v>0.44</v>
      </c>
    </row>
    <row r="76" spans="1:15" x14ac:dyDescent="0.25">
      <c r="A76" t="s">
        <v>87</v>
      </c>
      <c r="B76" s="1">
        <v>45453</v>
      </c>
      <c r="C76" t="s">
        <v>537</v>
      </c>
      <c r="D76" t="s">
        <v>542</v>
      </c>
      <c r="E76" t="s">
        <v>546</v>
      </c>
      <c r="F76" t="s">
        <v>548</v>
      </c>
      <c r="G76" t="s">
        <v>622</v>
      </c>
      <c r="H76" t="s">
        <v>1042</v>
      </c>
      <c r="I76">
        <v>1391</v>
      </c>
      <c r="J76">
        <v>0.34</v>
      </c>
      <c r="K76">
        <v>918.06</v>
      </c>
      <c r="L76">
        <v>942.43</v>
      </c>
      <c r="M76">
        <v>158</v>
      </c>
      <c r="N76">
        <v>1</v>
      </c>
      <c r="O76">
        <v>0.39</v>
      </c>
    </row>
    <row r="77" spans="1:15" x14ac:dyDescent="0.25">
      <c r="A77" t="s">
        <v>88</v>
      </c>
      <c r="B77" s="1">
        <v>45305</v>
      </c>
      <c r="C77" t="s">
        <v>537</v>
      </c>
      <c r="D77" t="s">
        <v>542</v>
      </c>
      <c r="E77" t="s">
        <v>546</v>
      </c>
      <c r="F77" t="s">
        <v>550</v>
      </c>
      <c r="G77" t="s">
        <v>623</v>
      </c>
      <c r="H77" t="s">
        <v>1044</v>
      </c>
      <c r="I77">
        <v>3692</v>
      </c>
      <c r="J77">
        <v>0.35</v>
      </c>
      <c r="K77">
        <v>2399.8000000000002</v>
      </c>
      <c r="L77">
        <v>2707.04</v>
      </c>
      <c r="M77">
        <v>56</v>
      </c>
      <c r="N77">
        <v>2</v>
      </c>
      <c r="O77">
        <v>0.38</v>
      </c>
    </row>
    <row r="78" spans="1:15" x14ac:dyDescent="0.25">
      <c r="A78" t="s">
        <v>89</v>
      </c>
      <c r="B78" s="1">
        <v>45386</v>
      </c>
      <c r="C78" t="s">
        <v>536</v>
      </c>
      <c r="D78" t="s">
        <v>544</v>
      </c>
      <c r="E78" t="s">
        <v>546</v>
      </c>
      <c r="F78" t="s">
        <v>547</v>
      </c>
      <c r="G78" t="s">
        <v>624</v>
      </c>
      <c r="H78" t="s">
        <v>1044</v>
      </c>
      <c r="I78">
        <v>3903</v>
      </c>
      <c r="J78">
        <v>0.09</v>
      </c>
      <c r="K78">
        <v>3551.73</v>
      </c>
      <c r="L78">
        <v>2612.31</v>
      </c>
      <c r="M78">
        <v>124</v>
      </c>
      <c r="N78">
        <v>2</v>
      </c>
      <c r="O78">
        <v>0.35</v>
      </c>
    </row>
    <row r="79" spans="1:15" x14ac:dyDescent="0.25">
      <c r="A79" t="s">
        <v>90</v>
      </c>
      <c r="B79" s="1">
        <v>45339</v>
      </c>
      <c r="C79" t="s">
        <v>537</v>
      </c>
      <c r="D79" t="s">
        <v>541</v>
      </c>
      <c r="E79" t="s">
        <v>546</v>
      </c>
      <c r="F79" t="s">
        <v>550</v>
      </c>
      <c r="G79" t="s">
        <v>625</v>
      </c>
      <c r="H79" t="s">
        <v>1044</v>
      </c>
      <c r="I79">
        <v>4547</v>
      </c>
      <c r="J79">
        <v>0.21</v>
      </c>
      <c r="K79">
        <v>3592.13</v>
      </c>
      <c r="L79">
        <v>2925.38</v>
      </c>
      <c r="M79">
        <v>23</v>
      </c>
      <c r="N79">
        <v>3</v>
      </c>
      <c r="O79">
        <v>0.34</v>
      </c>
    </row>
    <row r="80" spans="1:15" x14ac:dyDescent="0.25">
      <c r="A80" t="s">
        <v>91</v>
      </c>
      <c r="B80" s="1">
        <v>45306</v>
      </c>
      <c r="C80" t="s">
        <v>535</v>
      </c>
      <c r="D80" t="s">
        <v>538</v>
      </c>
      <c r="E80" t="s">
        <v>545</v>
      </c>
      <c r="F80" t="s">
        <v>548</v>
      </c>
      <c r="G80" t="s">
        <v>626</v>
      </c>
      <c r="H80" t="s">
        <v>1042</v>
      </c>
      <c r="I80">
        <v>7179</v>
      </c>
      <c r="J80">
        <v>0.27</v>
      </c>
      <c r="K80">
        <v>5240.67</v>
      </c>
      <c r="L80">
        <v>3371.31</v>
      </c>
      <c r="M80">
        <v>24</v>
      </c>
      <c r="N80">
        <v>1</v>
      </c>
      <c r="O80">
        <v>0.37</v>
      </c>
    </row>
    <row r="81" spans="1:15" x14ac:dyDescent="0.25">
      <c r="A81" t="s">
        <v>92</v>
      </c>
      <c r="B81" s="1">
        <v>45331</v>
      </c>
      <c r="C81" t="s">
        <v>537</v>
      </c>
      <c r="D81" t="s">
        <v>542</v>
      </c>
      <c r="E81" t="s">
        <v>546</v>
      </c>
      <c r="F81" t="s">
        <v>549</v>
      </c>
      <c r="G81" t="s">
        <v>627</v>
      </c>
      <c r="H81" t="s">
        <v>1042</v>
      </c>
      <c r="I81">
        <v>7087</v>
      </c>
      <c r="J81">
        <v>0.18</v>
      </c>
      <c r="K81">
        <v>5811.34</v>
      </c>
      <c r="L81">
        <v>4171.29</v>
      </c>
      <c r="M81">
        <v>43</v>
      </c>
      <c r="N81">
        <v>2</v>
      </c>
      <c r="O81">
        <v>0.28000000000000003</v>
      </c>
    </row>
    <row r="82" spans="1:15" x14ac:dyDescent="0.25">
      <c r="A82" t="s">
        <v>93</v>
      </c>
      <c r="B82" s="1">
        <v>45373</v>
      </c>
      <c r="C82" t="s">
        <v>535</v>
      </c>
      <c r="D82" t="s">
        <v>538</v>
      </c>
      <c r="E82" t="s">
        <v>545</v>
      </c>
      <c r="F82" t="s">
        <v>549</v>
      </c>
      <c r="G82" t="s">
        <v>628</v>
      </c>
      <c r="H82" t="s">
        <v>1044</v>
      </c>
      <c r="I82">
        <v>7256</v>
      </c>
      <c r="J82">
        <v>0.05</v>
      </c>
      <c r="K82">
        <v>6893.2</v>
      </c>
      <c r="L82">
        <v>3379.88</v>
      </c>
      <c r="M82">
        <v>71</v>
      </c>
      <c r="N82">
        <v>1</v>
      </c>
      <c r="O82">
        <v>0.36</v>
      </c>
    </row>
    <row r="83" spans="1:15" x14ac:dyDescent="0.25">
      <c r="A83" t="s">
        <v>94</v>
      </c>
      <c r="B83" s="1">
        <v>45402</v>
      </c>
      <c r="C83" t="s">
        <v>536</v>
      </c>
      <c r="D83" t="s">
        <v>539</v>
      </c>
      <c r="E83" t="s">
        <v>546</v>
      </c>
      <c r="F83" t="s">
        <v>550</v>
      </c>
      <c r="G83" t="s">
        <v>629</v>
      </c>
      <c r="H83" t="s">
        <v>1044</v>
      </c>
      <c r="I83">
        <v>3480</v>
      </c>
      <c r="J83">
        <v>0.21</v>
      </c>
      <c r="K83">
        <v>2749.2</v>
      </c>
      <c r="L83">
        <v>2330.4899999999998</v>
      </c>
      <c r="M83">
        <v>186</v>
      </c>
      <c r="N83">
        <v>3</v>
      </c>
      <c r="O83">
        <v>0.36</v>
      </c>
    </row>
    <row r="84" spans="1:15" x14ac:dyDescent="0.25">
      <c r="A84" t="s">
        <v>95</v>
      </c>
      <c r="B84" s="1">
        <v>45344</v>
      </c>
      <c r="C84" t="s">
        <v>537</v>
      </c>
      <c r="D84" t="s">
        <v>543</v>
      </c>
      <c r="E84" t="s">
        <v>545</v>
      </c>
      <c r="F84" t="s">
        <v>549</v>
      </c>
      <c r="G84" t="s">
        <v>630</v>
      </c>
      <c r="H84" t="s">
        <v>1045</v>
      </c>
      <c r="I84">
        <v>7882</v>
      </c>
      <c r="J84">
        <v>0.13</v>
      </c>
      <c r="K84">
        <v>6857.34</v>
      </c>
      <c r="L84">
        <v>5699.49</v>
      </c>
      <c r="M84">
        <v>82</v>
      </c>
      <c r="N84">
        <v>3</v>
      </c>
      <c r="O84">
        <v>0.35</v>
      </c>
    </row>
    <row r="85" spans="1:15" x14ac:dyDescent="0.25">
      <c r="A85" t="s">
        <v>96</v>
      </c>
      <c r="B85" s="1">
        <v>45315</v>
      </c>
      <c r="C85" t="s">
        <v>536</v>
      </c>
      <c r="D85" t="s">
        <v>544</v>
      </c>
      <c r="E85" t="s">
        <v>545</v>
      </c>
      <c r="F85" t="s">
        <v>547</v>
      </c>
      <c r="G85" t="s">
        <v>631</v>
      </c>
      <c r="H85" t="s">
        <v>1044</v>
      </c>
      <c r="I85">
        <v>7597</v>
      </c>
      <c r="J85">
        <v>0.18</v>
      </c>
      <c r="K85">
        <v>6229.54</v>
      </c>
      <c r="L85">
        <v>5422.25</v>
      </c>
      <c r="M85">
        <v>55</v>
      </c>
      <c r="N85">
        <v>3</v>
      </c>
      <c r="O85">
        <v>0.43</v>
      </c>
    </row>
    <row r="86" spans="1:15" x14ac:dyDescent="0.25">
      <c r="A86" t="s">
        <v>97</v>
      </c>
      <c r="B86" s="1">
        <v>45445</v>
      </c>
      <c r="C86" t="s">
        <v>535</v>
      </c>
      <c r="D86" t="s">
        <v>540</v>
      </c>
      <c r="E86" t="s">
        <v>546</v>
      </c>
      <c r="F86" t="s">
        <v>549</v>
      </c>
      <c r="G86" t="s">
        <v>632</v>
      </c>
      <c r="H86" t="s">
        <v>1042</v>
      </c>
      <c r="I86">
        <v>7877</v>
      </c>
      <c r="J86">
        <v>0.3</v>
      </c>
      <c r="K86">
        <v>5513.9</v>
      </c>
      <c r="L86">
        <v>4089.51</v>
      </c>
      <c r="M86">
        <v>119</v>
      </c>
      <c r="N86">
        <v>2</v>
      </c>
      <c r="O86">
        <v>0.28999999999999998</v>
      </c>
    </row>
    <row r="87" spans="1:15" x14ac:dyDescent="0.25">
      <c r="A87" t="s">
        <v>98</v>
      </c>
      <c r="B87" s="1">
        <v>45415</v>
      </c>
      <c r="C87" t="s">
        <v>537</v>
      </c>
      <c r="D87" t="s">
        <v>542</v>
      </c>
      <c r="E87" t="s">
        <v>545</v>
      </c>
      <c r="F87" t="s">
        <v>547</v>
      </c>
      <c r="G87" t="s">
        <v>633</v>
      </c>
      <c r="H87" t="s">
        <v>1042</v>
      </c>
      <c r="I87">
        <v>3895</v>
      </c>
      <c r="J87">
        <v>0.28999999999999998</v>
      </c>
      <c r="K87">
        <v>2765.45</v>
      </c>
      <c r="L87">
        <v>2488.65</v>
      </c>
      <c r="M87">
        <v>186</v>
      </c>
      <c r="N87">
        <v>1</v>
      </c>
      <c r="O87">
        <v>0.44</v>
      </c>
    </row>
    <row r="88" spans="1:15" x14ac:dyDescent="0.25">
      <c r="A88" t="s">
        <v>99</v>
      </c>
      <c r="B88" s="1">
        <v>45332</v>
      </c>
      <c r="C88" t="s">
        <v>535</v>
      </c>
      <c r="D88" t="s">
        <v>540</v>
      </c>
      <c r="E88" t="s">
        <v>546</v>
      </c>
      <c r="F88" t="s">
        <v>548</v>
      </c>
      <c r="G88" t="s">
        <v>634</v>
      </c>
      <c r="H88" t="s">
        <v>1043</v>
      </c>
      <c r="I88">
        <v>899</v>
      </c>
      <c r="J88">
        <v>0.26</v>
      </c>
      <c r="K88">
        <v>665.26</v>
      </c>
      <c r="L88">
        <v>446.06</v>
      </c>
      <c r="M88">
        <v>169</v>
      </c>
      <c r="N88">
        <v>3</v>
      </c>
      <c r="O88">
        <v>0.32</v>
      </c>
    </row>
    <row r="89" spans="1:15" x14ac:dyDescent="0.25">
      <c r="A89" t="s">
        <v>100</v>
      </c>
      <c r="B89" s="1">
        <v>45448</v>
      </c>
      <c r="C89" t="s">
        <v>535</v>
      </c>
      <c r="D89" t="s">
        <v>540</v>
      </c>
      <c r="E89" t="s">
        <v>546</v>
      </c>
      <c r="F89" t="s">
        <v>547</v>
      </c>
      <c r="G89" t="s">
        <v>635</v>
      </c>
      <c r="H89" t="s">
        <v>1043</v>
      </c>
      <c r="I89">
        <v>1430</v>
      </c>
      <c r="J89">
        <v>0.08</v>
      </c>
      <c r="K89">
        <v>1315.6</v>
      </c>
      <c r="L89">
        <v>1019.93</v>
      </c>
      <c r="M89">
        <v>76</v>
      </c>
      <c r="N89">
        <v>3</v>
      </c>
      <c r="O89">
        <v>0.3</v>
      </c>
    </row>
    <row r="90" spans="1:15" x14ac:dyDescent="0.25">
      <c r="A90" t="s">
        <v>101</v>
      </c>
      <c r="B90" s="1">
        <v>45306</v>
      </c>
      <c r="C90" t="s">
        <v>536</v>
      </c>
      <c r="D90" t="s">
        <v>539</v>
      </c>
      <c r="E90" t="s">
        <v>545</v>
      </c>
      <c r="F90" t="s">
        <v>550</v>
      </c>
      <c r="G90" t="s">
        <v>636</v>
      </c>
      <c r="H90" t="s">
        <v>1045</v>
      </c>
      <c r="I90">
        <v>5632</v>
      </c>
      <c r="J90">
        <v>0.25</v>
      </c>
      <c r="K90">
        <v>4224</v>
      </c>
      <c r="L90">
        <v>3465.13</v>
      </c>
      <c r="M90">
        <v>196</v>
      </c>
      <c r="N90">
        <v>2</v>
      </c>
      <c r="O90">
        <v>0.35</v>
      </c>
    </row>
    <row r="91" spans="1:15" x14ac:dyDescent="0.25">
      <c r="A91" t="s">
        <v>102</v>
      </c>
      <c r="B91" s="1">
        <v>45336</v>
      </c>
      <c r="C91" t="s">
        <v>536</v>
      </c>
      <c r="D91" t="s">
        <v>539</v>
      </c>
      <c r="E91" t="s">
        <v>546</v>
      </c>
      <c r="F91" t="s">
        <v>549</v>
      </c>
      <c r="G91" t="s">
        <v>637</v>
      </c>
      <c r="H91" t="s">
        <v>1043</v>
      </c>
      <c r="I91">
        <v>86</v>
      </c>
      <c r="J91">
        <v>0.12</v>
      </c>
      <c r="K91">
        <v>75.680000000000007</v>
      </c>
      <c r="L91">
        <v>56.33</v>
      </c>
      <c r="M91">
        <v>90</v>
      </c>
      <c r="N91">
        <v>2</v>
      </c>
      <c r="O91">
        <v>0.36</v>
      </c>
    </row>
    <row r="92" spans="1:15" x14ac:dyDescent="0.25">
      <c r="A92" t="s">
        <v>103</v>
      </c>
      <c r="B92" s="1">
        <v>45356</v>
      </c>
      <c r="C92" t="s">
        <v>537</v>
      </c>
      <c r="D92" t="s">
        <v>542</v>
      </c>
      <c r="E92" t="s">
        <v>545</v>
      </c>
      <c r="F92" t="s">
        <v>548</v>
      </c>
      <c r="G92" t="s">
        <v>638</v>
      </c>
      <c r="H92" t="s">
        <v>1042</v>
      </c>
      <c r="I92">
        <v>3161</v>
      </c>
      <c r="J92">
        <v>0.25</v>
      </c>
      <c r="K92">
        <v>2370.75</v>
      </c>
      <c r="L92">
        <v>1958.93</v>
      </c>
      <c r="M92">
        <v>42</v>
      </c>
      <c r="N92">
        <v>2</v>
      </c>
      <c r="O92">
        <v>0.37</v>
      </c>
    </row>
    <row r="93" spans="1:15" x14ac:dyDescent="0.25">
      <c r="A93" t="s">
        <v>104</v>
      </c>
      <c r="B93" s="1">
        <v>45380</v>
      </c>
      <c r="C93" t="s">
        <v>535</v>
      </c>
      <c r="D93" t="s">
        <v>540</v>
      </c>
      <c r="E93" t="s">
        <v>546</v>
      </c>
      <c r="F93" t="s">
        <v>548</v>
      </c>
      <c r="G93" t="s">
        <v>639</v>
      </c>
      <c r="H93" t="s">
        <v>1045</v>
      </c>
      <c r="I93">
        <v>412</v>
      </c>
      <c r="J93">
        <v>0.12</v>
      </c>
      <c r="K93">
        <v>362.56</v>
      </c>
      <c r="L93">
        <v>300.36</v>
      </c>
      <c r="M93">
        <v>109</v>
      </c>
      <c r="N93">
        <v>3</v>
      </c>
      <c r="O93">
        <v>0.4</v>
      </c>
    </row>
    <row r="94" spans="1:15" x14ac:dyDescent="0.25">
      <c r="A94" t="s">
        <v>105</v>
      </c>
      <c r="B94" s="1">
        <v>45362</v>
      </c>
      <c r="C94" t="s">
        <v>536</v>
      </c>
      <c r="D94" t="s">
        <v>539</v>
      </c>
      <c r="E94" t="s">
        <v>545</v>
      </c>
      <c r="F94" t="s">
        <v>548</v>
      </c>
      <c r="G94" t="s">
        <v>640</v>
      </c>
      <c r="H94" t="s">
        <v>1045</v>
      </c>
      <c r="I94">
        <v>5200</v>
      </c>
      <c r="J94">
        <v>0.3</v>
      </c>
      <c r="K94">
        <v>3640</v>
      </c>
      <c r="L94">
        <v>2541.04</v>
      </c>
      <c r="M94">
        <v>116</v>
      </c>
      <c r="N94">
        <v>1</v>
      </c>
      <c r="O94">
        <v>0.41</v>
      </c>
    </row>
    <row r="95" spans="1:15" x14ac:dyDescent="0.25">
      <c r="A95" t="s">
        <v>106</v>
      </c>
      <c r="B95" s="1">
        <v>45300</v>
      </c>
      <c r="C95" t="s">
        <v>537</v>
      </c>
      <c r="D95" t="s">
        <v>543</v>
      </c>
      <c r="E95" t="s">
        <v>546</v>
      </c>
      <c r="F95" t="s">
        <v>547</v>
      </c>
      <c r="G95" t="s">
        <v>641</v>
      </c>
      <c r="H95" t="s">
        <v>1044</v>
      </c>
      <c r="I95">
        <v>2035</v>
      </c>
      <c r="J95">
        <v>0.14000000000000001</v>
      </c>
      <c r="K95">
        <v>1750.1</v>
      </c>
      <c r="L95">
        <v>1292.3800000000001</v>
      </c>
      <c r="M95">
        <v>122</v>
      </c>
      <c r="N95">
        <v>1</v>
      </c>
      <c r="O95">
        <v>0.39</v>
      </c>
    </row>
    <row r="96" spans="1:15" x14ac:dyDescent="0.25">
      <c r="A96" t="s">
        <v>107</v>
      </c>
      <c r="B96" s="1">
        <v>45379</v>
      </c>
      <c r="C96" t="s">
        <v>537</v>
      </c>
      <c r="D96" t="s">
        <v>542</v>
      </c>
      <c r="E96" t="s">
        <v>546</v>
      </c>
      <c r="F96" t="s">
        <v>548</v>
      </c>
      <c r="G96" t="s">
        <v>642</v>
      </c>
      <c r="H96" t="s">
        <v>1044</v>
      </c>
      <c r="I96">
        <v>6607</v>
      </c>
      <c r="J96">
        <v>0.06</v>
      </c>
      <c r="K96">
        <v>6210.58</v>
      </c>
      <c r="L96">
        <v>3829.89</v>
      </c>
      <c r="M96">
        <v>72</v>
      </c>
      <c r="N96">
        <v>3</v>
      </c>
      <c r="O96">
        <v>0.44</v>
      </c>
    </row>
    <row r="97" spans="1:15" x14ac:dyDescent="0.25">
      <c r="A97" t="s">
        <v>108</v>
      </c>
      <c r="B97" s="1">
        <v>45420</v>
      </c>
      <c r="C97" t="s">
        <v>537</v>
      </c>
      <c r="D97" t="s">
        <v>541</v>
      </c>
      <c r="E97" t="s">
        <v>545</v>
      </c>
      <c r="F97" t="s">
        <v>549</v>
      </c>
      <c r="G97" t="s">
        <v>643</v>
      </c>
      <c r="H97" t="s">
        <v>1043</v>
      </c>
      <c r="I97">
        <v>6594</v>
      </c>
      <c r="J97">
        <v>0.22</v>
      </c>
      <c r="K97">
        <v>5143.32</v>
      </c>
      <c r="L97">
        <v>3651.53</v>
      </c>
      <c r="M97">
        <v>129</v>
      </c>
      <c r="N97">
        <v>3</v>
      </c>
      <c r="O97">
        <v>0.42</v>
      </c>
    </row>
    <row r="98" spans="1:15" x14ac:dyDescent="0.25">
      <c r="A98" t="s">
        <v>109</v>
      </c>
      <c r="B98" s="1">
        <v>45427</v>
      </c>
      <c r="C98" t="s">
        <v>536</v>
      </c>
      <c r="D98" t="s">
        <v>539</v>
      </c>
      <c r="E98" t="s">
        <v>545</v>
      </c>
      <c r="F98" t="s">
        <v>549</v>
      </c>
      <c r="G98" t="s">
        <v>644</v>
      </c>
      <c r="H98" t="s">
        <v>1044</v>
      </c>
      <c r="I98">
        <v>5093</v>
      </c>
      <c r="J98">
        <v>0.28000000000000003</v>
      </c>
      <c r="K98">
        <v>3666.96</v>
      </c>
      <c r="L98">
        <v>2329.42</v>
      </c>
      <c r="M98">
        <v>148</v>
      </c>
      <c r="N98">
        <v>1</v>
      </c>
      <c r="O98">
        <v>0.34</v>
      </c>
    </row>
    <row r="99" spans="1:15" x14ac:dyDescent="0.25">
      <c r="A99" t="s">
        <v>110</v>
      </c>
      <c r="B99" s="1">
        <v>45354</v>
      </c>
      <c r="C99" t="s">
        <v>536</v>
      </c>
      <c r="D99" t="s">
        <v>539</v>
      </c>
      <c r="E99" t="s">
        <v>546</v>
      </c>
      <c r="F99" t="s">
        <v>550</v>
      </c>
      <c r="G99" t="s">
        <v>645</v>
      </c>
      <c r="H99" t="s">
        <v>1043</v>
      </c>
      <c r="I99">
        <v>1503</v>
      </c>
      <c r="J99">
        <v>0.19</v>
      </c>
      <c r="K99">
        <v>1217.43</v>
      </c>
      <c r="L99">
        <v>1102.1400000000001</v>
      </c>
      <c r="M99">
        <v>108</v>
      </c>
      <c r="N99">
        <v>1</v>
      </c>
      <c r="O99">
        <v>0.43</v>
      </c>
    </row>
    <row r="100" spans="1:15" x14ac:dyDescent="0.25">
      <c r="A100" t="s">
        <v>111</v>
      </c>
      <c r="B100" s="1">
        <v>45430</v>
      </c>
      <c r="C100" t="s">
        <v>536</v>
      </c>
      <c r="D100" t="s">
        <v>539</v>
      </c>
      <c r="E100" t="s">
        <v>546</v>
      </c>
      <c r="F100" t="s">
        <v>547</v>
      </c>
      <c r="G100" t="s">
        <v>646</v>
      </c>
      <c r="H100" t="s">
        <v>1042</v>
      </c>
      <c r="I100">
        <v>3251</v>
      </c>
      <c r="J100">
        <v>0.28000000000000003</v>
      </c>
      <c r="K100">
        <v>2340.7199999999998</v>
      </c>
      <c r="L100">
        <v>1687.32</v>
      </c>
      <c r="M100">
        <v>36</v>
      </c>
      <c r="N100">
        <v>3</v>
      </c>
      <c r="O100">
        <v>0.44</v>
      </c>
    </row>
    <row r="101" spans="1:15" x14ac:dyDescent="0.25">
      <c r="A101" t="s">
        <v>112</v>
      </c>
      <c r="B101" s="1">
        <v>45372</v>
      </c>
      <c r="C101" t="s">
        <v>535</v>
      </c>
      <c r="D101" t="s">
        <v>540</v>
      </c>
      <c r="E101" t="s">
        <v>546</v>
      </c>
      <c r="F101" t="s">
        <v>548</v>
      </c>
      <c r="G101" t="s">
        <v>647</v>
      </c>
      <c r="H101" t="s">
        <v>1044</v>
      </c>
      <c r="I101">
        <v>4229</v>
      </c>
      <c r="J101">
        <v>0.17</v>
      </c>
      <c r="K101">
        <v>3510.07</v>
      </c>
      <c r="L101">
        <v>2250.9499999999998</v>
      </c>
      <c r="M101">
        <v>140</v>
      </c>
      <c r="N101">
        <v>3</v>
      </c>
      <c r="O101">
        <v>0.35</v>
      </c>
    </row>
    <row r="102" spans="1:15" x14ac:dyDescent="0.25">
      <c r="A102" t="s">
        <v>113</v>
      </c>
      <c r="B102" s="1">
        <v>45427</v>
      </c>
      <c r="C102" t="s">
        <v>537</v>
      </c>
      <c r="D102" t="s">
        <v>541</v>
      </c>
      <c r="E102" t="s">
        <v>546</v>
      </c>
      <c r="F102" t="s">
        <v>550</v>
      </c>
      <c r="G102" t="s">
        <v>648</v>
      </c>
      <c r="H102" t="s">
        <v>1042</v>
      </c>
      <c r="I102">
        <v>3106</v>
      </c>
      <c r="J102">
        <v>0.25</v>
      </c>
      <c r="K102">
        <v>2329.5</v>
      </c>
      <c r="L102">
        <v>1741.09</v>
      </c>
      <c r="M102">
        <v>24</v>
      </c>
      <c r="N102">
        <v>3</v>
      </c>
      <c r="O102">
        <v>0.44</v>
      </c>
    </row>
    <row r="103" spans="1:15" x14ac:dyDescent="0.25">
      <c r="A103" t="s">
        <v>114</v>
      </c>
      <c r="B103" s="1">
        <v>45454</v>
      </c>
      <c r="C103" t="s">
        <v>535</v>
      </c>
      <c r="D103" t="s">
        <v>540</v>
      </c>
      <c r="E103" t="s">
        <v>545</v>
      </c>
      <c r="F103" t="s">
        <v>547</v>
      </c>
      <c r="G103" t="s">
        <v>649</v>
      </c>
      <c r="H103" t="s">
        <v>1044</v>
      </c>
      <c r="I103">
        <v>1100</v>
      </c>
      <c r="J103">
        <v>0.3</v>
      </c>
      <c r="K103">
        <v>770</v>
      </c>
      <c r="L103">
        <v>746.14</v>
      </c>
      <c r="M103">
        <v>140</v>
      </c>
      <c r="N103">
        <v>1</v>
      </c>
      <c r="O103">
        <v>0.3</v>
      </c>
    </row>
    <row r="104" spans="1:15" x14ac:dyDescent="0.25">
      <c r="A104" t="s">
        <v>115</v>
      </c>
      <c r="B104" s="1">
        <v>45454</v>
      </c>
      <c r="C104" t="s">
        <v>537</v>
      </c>
      <c r="D104" t="s">
        <v>541</v>
      </c>
      <c r="E104" t="s">
        <v>545</v>
      </c>
      <c r="F104" t="s">
        <v>549</v>
      </c>
      <c r="G104" t="s">
        <v>650</v>
      </c>
      <c r="H104" t="s">
        <v>1045</v>
      </c>
      <c r="I104">
        <v>6927</v>
      </c>
      <c r="J104">
        <v>0.09</v>
      </c>
      <c r="K104">
        <v>6303.57</v>
      </c>
      <c r="L104">
        <v>3377.3</v>
      </c>
      <c r="M104">
        <v>93</v>
      </c>
      <c r="N104">
        <v>1</v>
      </c>
      <c r="O104">
        <v>0.31</v>
      </c>
    </row>
    <row r="105" spans="1:15" x14ac:dyDescent="0.25">
      <c r="A105" t="s">
        <v>116</v>
      </c>
      <c r="B105" s="1">
        <v>45324</v>
      </c>
      <c r="C105" t="s">
        <v>537</v>
      </c>
      <c r="D105" t="s">
        <v>543</v>
      </c>
      <c r="E105" t="s">
        <v>546</v>
      </c>
      <c r="F105" t="s">
        <v>547</v>
      </c>
      <c r="G105" t="s">
        <v>651</v>
      </c>
      <c r="H105" t="s">
        <v>1042</v>
      </c>
      <c r="I105">
        <v>633</v>
      </c>
      <c r="J105">
        <v>0.14000000000000001</v>
      </c>
      <c r="K105">
        <v>544.38</v>
      </c>
      <c r="L105">
        <v>371.3</v>
      </c>
      <c r="M105">
        <v>81</v>
      </c>
      <c r="N105">
        <v>1</v>
      </c>
      <c r="O105">
        <v>0.28999999999999998</v>
      </c>
    </row>
    <row r="106" spans="1:15" x14ac:dyDescent="0.25">
      <c r="A106" t="s">
        <v>117</v>
      </c>
      <c r="B106" s="1">
        <v>45414</v>
      </c>
      <c r="C106" t="s">
        <v>537</v>
      </c>
      <c r="D106" t="s">
        <v>543</v>
      </c>
      <c r="E106" t="s">
        <v>545</v>
      </c>
      <c r="F106" t="s">
        <v>548</v>
      </c>
      <c r="G106" t="s">
        <v>652</v>
      </c>
      <c r="H106" t="s">
        <v>1042</v>
      </c>
      <c r="I106">
        <v>6204</v>
      </c>
      <c r="J106">
        <v>0.26</v>
      </c>
      <c r="K106">
        <v>4590.96</v>
      </c>
      <c r="L106">
        <v>4392.66</v>
      </c>
      <c r="M106">
        <v>111</v>
      </c>
      <c r="N106">
        <v>1</v>
      </c>
      <c r="O106">
        <v>0.28999999999999998</v>
      </c>
    </row>
    <row r="107" spans="1:15" x14ac:dyDescent="0.25">
      <c r="A107" t="s">
        <v>118</v>
      </c>
      <c r="B107" s="1">
        <v>45296</v>
      </c>
      <c r="C107" t="s">
        <v>536</v>
      </c>
      <c r="D107" t="s">
        <v>544</v>
      </c>
      <c r="E107" t="s">
        <v>546</v>
      </c>
      <c r="F107" t="s">
        <v>547</v>
      </c>
      <c r="G107" t="s">
        <v>653</v>
      </c>
      <c r="H107" t="s">
        <v>1045</v>
      </c>
      <c r="I107">
        <v>3167</v>
      </c>
      <c r="J107">
        <v>0.09</v>
      </c>
      <c r="K107">
        <v>2881.97</v>
      </c>
      <c r="L107">
        <v>1899.14</v>
      </c>
      <c r="M107">
        <v>95</v>
      </c>
      <c r="N107">
        <v>1</v>
      </c>
      <c r="O107">
        <v>0.38</v>
      </c>
    </row>
    <row r="108" spans="1:15" x14ac:dyDescent="0.25">
      <c r="A108" t="s">
        <v>119</v>
      </c>
      <c r="B108" s="1">
        <v>45332</v>
      </c>
      <c r="C108" t="s">
        <v>535</v>
      </c>
      <c r="D108" t="s">
        <v>538</v>
      </c>
      <c r="E108" t="s">
        <v>546</v>
      </c>
      <c r="F108" t="s">
        <v>547</v>
      </c>
      <c r="G108" t="s">
        <v>654</v>
      </c>
      <c r="H108" t="s">
        <v>1045</v>
      </c>
      <c r="I108">
        <v>1999</v>
      </c>
      <c r="J108">
        <v>0.06</v>
      </c>
      <c r="K108">
        <v>1879.06</v>
      </c>
      <c r="L108">
        <v>946.67</v>
      </c>
      <c r="M108">
        <v>159</v>
      </c>
      <c r="N108">
        <v>3</v>
      </c>
      <c r="O108">
        <v>0.3</v>
      </c>
    </row>
    <row r="109" spans="1:15" x14ac:dyDescent="0.25">
      <c r="A109" t="s">
        <v>120</v>
      </c>
      <c r="B109" s="1">
        <v>45319</v>
      </c>
      <c r="C109" t="s">
        <v>537</v>
      </c>
      <c r="D109" t="s">
        <v>543</v>
      </c>
      <c r="E109" t="s">
        <v>545</v>
      </c>
      <c r="F109" t="s">
        <v>550</v>
      </c>
      <c r="G109" t="s">
        <v>655</v>
      </c>
      <c r="H109" t="s">
        <v>1043</v>
      </c>
      <c r="I109">
        <v>155</v>
      </c>
      <c r="J109">
        <v>0.1</v>
      </c>
      <c r="K109">
        <v>139.5</v>
      </c>
      <c r="L109">
        <v>74.61</v>
      </c>
      <c r="M109">
        <v>70</v>
      </c>
      <c r="N109">
        <v>3</v>
      </c>
      <c r="O109">
        <v>0.43</v>
      </c>
    </row>
    <row r="110" spans="1:15" x14ac:dyDescent="0.25">
      <c r="A110" t="s">
        <v>121</v>
      </c>
      <c r="B110" s="1">
        <v>45426</v>
      </c>
      <c r="C110" t="s">
        <v>537</v>
      </c>
      <c r="D110" t="s">
        <v>542</v>
      </c>
      <c r="E110" t="s">
        <v>545</v>
      </c>
      <c r="F110" t="s">
        <v>548</v>
      </c>
      <c r="G110" t="s">
        <v>656</v>
      </c>
      <c r="H110" t="s">
        <v>1045</v>
      </c>
      <c r="I110">
        <v>7587</v>
      </c>
      <c r="J110">
        <v>0.33</v>
      </c>
      <c r="K110">
        <v>5083.29</v>
      </c>
      <c r="L110">
        <v>5570.41</v>
      </c>
      <c r="M110">
        <v>101</v>
      </c>
      <c r="N110">
        <v>2</v>
      </c>
      <c r="O110">
        <v>0.41</v>
      </c>
    </row>
    <row r="111" spans="1:15" x14ac:dyDescent="0.25">
      <c r="A111" t="s">
        <v>122</v>
      </c>
      <c r="B111" s="1">
        <v>45363</v>
      </c>
      <c r="C111" t="s">
        <v>536</v>
      </c>
      <c r="D111" t="s">
        <v>539</v>
      </c>
      <c r="E111" t="s">
        <v>545</v>
      </c>
      <c r="F111" t="s">
        <v>548</v>
      </c>
      <c r="G111" t="s">
        <v>639</v>
      </c>
      <c r="H111" t="s">
        <v>1042</v>
      </c>
      <c r="I111">
        <v>949</v>
      </c>
      <c r="J111">
        <v>0.23</v>
      </c>
      <c r="K111">
        <v>730.73</v>
      </c>
      <c r="L111">
        <v>650.21</v>
      </c>
      <c r="M111">
        <v>136</v>
      </c>
      <c r="N111">
        <v>3</v>
      </c>
      <c r="O111">
        <v>0.28999999999999998</v>
      </c>
    </row>
    <row r="112" spans="1:15" x14ac:dyDescent="0.25">
      <c r="A112" t="s">
        <v>123</v>
      </c>
      <c r="B112" s="1">
        <v>45303</v>
      </c>
      <c r="C112" t="s">
        <v>537</v>
      </c>
      <c r="D112" t="s">
        <v>543</v>
      </c>
      <c r="E112" t="s">
        <v>545</v>
      </c>
      <c r="F112" t="s">
        <v>548</v>
      </c>
      <c r="G112" t="s">
        <v>657</v>
      </c>
      <c r="H112" t="s">
        <v>1042</v>
      </c>
      <c r="I112">
        <v>2184</v>
      </c>
      <c r="J112">
        <v>0.25</v>
      </c>
      <c r="K112">
        <v>1638</v>
      </c>
      <c r="L112">
        <v>1296.82</v>
      </c>
      <c r="M112">
        <v>131</v>
      </c>
      <c r="N112">
        <v>3</v>
      </c>
      <c r="O112">
        <v>0.45</v>
      </c>
    </row>
    <row r="113" spans="1:15" x14ac:dyDescent="0.25">
      <c r="A113" t="s">
        <v>124</v>
      </c>
      <c r="B113" s="1">
        <v>45453</v>
      </c>
      <c r="C113" t="s">
        <v>535</v>
      </c>
      <c r="D113" t="s">
        <v>538</v>
      </c>
      <c r="E113" t="s">
        <v>545</v>
      </c>
      <c r="F113" t="s">
        <v>547</v>
      </c>
      <c r="G113" t="s">
        <v>658</v>
      </c>
      <c r="H113" t="s">
        <v>1044</v>
      </c>
      <c r="I113">
        <v>2385</v>
      </c>
      <c r="J113">
        <v>0.2</v>
      </c>
      <c r="K113">
        <v>1908</v>
      </c>
      <c r="L113">
        <v>1470.61</v>
      </c>
      <c r="M113">
        <v>155</v>
      </c>
      <c r="N113">
        <v>3</v>
      </c>
      <c r="O113">
        <v>0.32</v>
      </c>
    </row>
    <row r="114" spans="1:15" x14ac:dyDescent="0.25">
      <c r="A114" t="s">
        <v>125</v>
      </c>
      <c r="B114" s="1">
        <v>45324</v>
      </c>
      <c r="C114" t="s">
        <v>535</v>
      </c>
      <c r="D114" t="s">
        <v>540</v>
      </c>
      <c r="E114" t="s">
        <v>546</v>
      </c>
      <c r="F114" t="s">
        <v>548</v>
      </c>
      <c r="G114" t="s">
        <v>659</v>
      </c>
      <c r="H114" t="s">
        <v>1044</v>
      </c>
      <c r="I114">
        <v>4180</v>
      </c>
      <c r="J114">
        <v>0.12</v>
      </c>
      <c r="K114">
        <v>3678.4</v>
      </c>
      <c r="L114">
        <v>2405.67</v>
      </c>
      <c r="M114">
        <v>106</v>
      </c>
      <c r="N114">
        <v>3</v>
      </c>
      <c r="O114">
        <v>0.36</v>
      </c>
    </row>
    <row r="115" spans="1:15" x14ac:dyDescent="0.25">
      <c r="A115" t="s">
        <v>126</v>
      </c>
      <c r="B115" s="1">
        <v>45339</v>
      </c>
      <c r="C115" t="s">
        <v>535</v>
      </c>
      <c r="D115" t="s">
        <v>540</v>
      </c>
      <c r="E115" t="s">
        <v>545</v>
      </c>
      <c r="F115" t="s">
        <v>550</v>
      </c>
      <c r="G115" t="s">
        <v>660</v>
      </c>
      <c r="H115" t="s">
        <v>1042</v>
      </c>
      <c r="I115">
        <v>6998</v>
      </c>
      <c r="J115">
        <v>0.15</v>
      </c>
      <c r="K115">
        <v>5948.3</v>
      </c>
      <c r="L115">
        <v>3928.06</v>
      </c>
      <c r="M115">
        <v>29</v>
      </c>
      <c r="N115">
        <v>2</v>
      </c>
      <c r="O115">
        <v>0.43</v>
      </c>
    </row>
    <row r="116" spans="1:15" x14ac:dyDescent="0.25">
      <c r="A116" t="s">
        <v>127</v>
      </c>
      <c r="B116" s="1">
        <v>45442</v>
      </c>
      <c r="C116" t="s">
        <v>535</v>
      </c>
      <c r="D116" t="s">
        <v>538</v>
      </c>
      <c r="E116" t="s">
        <v>545</v>
      </c>
      <c r="F116" t="s">
        <v>550</v>
      </c>
      <c r="G116" t="s">
        <v>661</v>
      </c>
      <c r="H116" t="s">
        <v>1042</v>
      </c>
      <c r="I116">
        <v>3861</v>
      </c>
      <c r="J116">
        <v>0.31</v>
      </c>
      <c r="K116">
        <v>2664.09</v>
      </c>
      <c r="L116">
        <v>2780.73</v>
      </c>
      <c r="M116">
        <v>15</v>
      </c>
      <c r="N116">
        <v>3</v>
      </c>
      <c r="O116">
        <v>0.33</v>
      </c>
    </row>
    <row r="117" spans="1:15" x14ac:dyDescent="0.25">
      <c r="A117" t="s">
        <v>128</v>
      </c>
      <c r="B117" s="1">
        <v>45353</v>
      </c>
      <c r="C117" t="s">
        <v>537</v>
      </c>
      <c r="D117" t="s">
        <v>543</v>
      </c>
      <c r="E117" t="s">
        <v>546</v>
      </c>
      <c r="F117" t="s">
        <v>547</v>
      </c>
      <c r="G117" t="s">
        <v>662</v>
      </c>
      <c r="H117" t="s">
        <v>1045</v>
      </c>
      <c r="I117">
        <v>579</v>
      </c>
      <c r="J117">
        <v>0.24</v>
      </c>
      <c r="K117">
        <v>440.04</v>
      </c>
      <c r="L117">
        <v>387.89</v>
      </c>
      <c r="M117">
        <v>108</v>
      </c>
      <c r="N117">
        <v>2</v>
      </c>
      <c r="O117">
        <v>0.4</v>
      </c>
    </row>
    <row r="118" spans="1:15" x14ac:dyDescent="0.25">
      <c r="A118" t="s">
        <v>129</v>
      </c>
      <c r="B118" s="1">
        <v>45328</v>
      </c>
      <c r="C118" t="s">
        <v>537</v>
      </c>
      <c r="D118" t="s">
        <v>541</v>
      </c>
      <c r="E118" t="s">
        <v>546</v>
      </c>
      <c r="F118" t="s">
        <v>550</v>
      </c>
      <c r="G118" t="s">
        <v>663</v>
      </c>
      <c r="H118" t="s">
        <v>1043</v>
      </c>
      <c r="I118">
        <v>51</v>
      </c>
      <c r="J118">
        <v>0.1</v>
      </c>
      <c r="K118">
        <v>45.9</v>
      </c>
      <c r="L118">
        <v>36.020000000000003</v>
      </c>
      <c r="M118">
        <v>50</v>
      </c>
      <c r="N118">
        <v>2</v>
      </c>
      <c r="O118">
        <v>0.3</v>
      </c>
    </row>
    <row r="119" spans="1:15" x14ac:dyDescent="0.25">
      <c r="A119" t="s">
        <v>130</v>
      </c>
      <c r="B119" s="1">
        <v>45390</v>
      </c>
      <c r="C119" t="s">
        <v>536</v>
      </c>
      <c r="D119" t="s">
        <v>544</v>
      </c>
      <c r="E119" t="s">
        <v>546</v>
      </c>
      <c r="F119" t="s">
        <v>549</v>
      </c>
      <c r="G119" t="s">
        <v>664</v>
      </c>
      <c r="H119" t="s">
        <v>1042</v>
      </c>
      <c r="I119">
        <v>179</v>
      </c>
      <c r="J119">
        <v>0.08</v>
      </c>
      <c r="K119">
        <v>164.68</v>
      </c>
      <c r="L119">
        <v>115.57</v>
      </c>
      <c r="M119">
        <v>98</v>
      </c>
      <c r="N119">
        <v>1</v>
      </c>
      <c r="O119">
        <v>0.35</v>
      </c>
    </row>
    <row r="120" spans="1:15" x14ac:dyDescent="0.25">
      <c r="A120" t="s">
        <v>131</v>
      </c>
      <c r="B120" s="1">
        <v>45463</v>
      </c>
      <c r="C120" t="s">
        <v>535</v>
      </c>
      <c r="D120" t="s">
        <v>540</v>
      </c>
      <c r="E120" t="s">
        <v>546</v>
      </c>
      <c r="F120" t="s">
        <v>548</v>
      </c>
      <c r="G120" t="s">
        <v>665</v>
      </c>
      <c r="H120" t="s">
        <v>1042</v>
      </c>
      <c r="I120">
        <v>4073</v>
      </c>
      <c r="J120">
        <v>0.17</v>
      </c>
      <c r="K120">
        <v>3380.59</v>
      </c>
      <c r="L120">
        <v>2122.4699999999998</v>
      </c>
      <c r="M120">
        <v>40</v>
      </c>
      <c r="N120">
        <v>3</v>
      </c>
      <c r="O120">
        <v>0.43</v>
      </c>
    </row>
    <row r="121" spans="1:15" x14ac:dyDescent="0.25">
      <c r="A121" t="s">
        <v>132</v>
      </c>
      <c r="B121" s="1">
        <v>45395</v>
      </c>
      <c r="C121" t="s">
        <v>537</v>
      </c>
      <c r="D121" t="s">
        <v>543</v>
      </c>
      <c r="E121" t="s">
        <v>546</v>
      </c>
      <c r="F121" t="s">
        <v>547</v>
      </c>
      <c r="G121" t="s">
        <v>666</v>
      </c>
      <c r="H121" t="s">
        <v>1043</v>
      </c>
      <c r="I121">
        <v>3482</v>
      </c>
      <c r="J121">
        <v>0.18</v>
      </c>
      <c r="K121">
        <v>2855.24</v>
      </c>
      <c r="L121">
        <v>1826.71</v>
      </c>
      <c r="M121">
        <v>180</v>
      </c>
      <c r="N121">
        <v>1</v>
      </c>
      <c r="O121">
        <v>0.32</v>
      </c>
    </row>
    <row r="122" spans="1:15" x14ac:dyDescent="0.25">
      <c r="A122" t="s">
        <v>133</v>
      </c>
      <c r="B122" s="1">
        <v>45326</v>
      </c>
      <c r="C122" t="s">
        <v>535</v>
      </c>
      <c r="D122" t="s">
        <v>540</v>
      </c>
      <c r="E122" t="s">
        <v>546</v>
      </c>
      <c r="F122" t="s">
        <v>547</v>
      </c>
      <c r="G122" t="s">
        <v>667</v>
      </c>
      <c r="H122" t="s">
        <v>1042</v>
      </c>
      <c r="I122">
        <v>2262</v>
      </c>
      <c r="J122">
        <v>0.28000000000000003</v>
      </c>
      <c r="K122">
        <v>1628.64</v>
      </c>
      <c r="L122">
        <v>1496.57</v>
      </c>
      <c r="M122">
        <v>65</v>
      </c>
      <c r="N122">
        <v>3</v>
      </c>
      <c r="O122">
        <v>0.43</v>
      </c>
    </row>
    <row r="123" spans="1:15" x14ac:dyDescent="0.25">
      <c r="A123" t="s">
        <v>134</v>
      </c>
      <c r="B123" s="1">
        <v>45392</v>
      </c>
      <c r="C123" t="s">
        <v>536</v>
      </c>
      <c r="D123" t="s">
        <v>539</v>
      </c>
      <c r="E123" t="s">
        <v>546</v>
      </c>
      <c r="F123" t="s">
        <v>549</v>
      </c>
      <c r="G123" t="s">
        <v>668</v>
      </c>
      <c r="H123" t="s">
        <v>1043</v>
      </c>
      <c r="I123">
        <v>1018</v>
      </c>
      <c r="J123">
        <v>0.21</v>
      </c>
      <c r="K123">
        <v>804.22</v>
      </c>
      <c r="L123">
        <v>744.14</v>
      </c>
      <c r="M123">
        <v>38</v>
      </c>
      <c r="N123">
        <v>1</v>
      </c>
      <c r="O123">
        <v>0.3</v>
      </c>
    </row>
    <row r="124" spans="1:15" x14ac:dyDescent="0.25">
      <c r="A124" t="s">
        <v>135</v>
      </c>
      <c r="B124" s="1">
        <v>45466</v>
      </c>
      <c r="C124" t="s">
        <v>535</v>
      </c>
      <c r="D124" t="s">
        <v>540</v>
      </c>
      <c r="E124" t="s">
        <v>546</v>
      </c>
      <c r="F124" t="s">
        <v>548</v>
      </c>
      <c r="G124" t="s">
        <v>669</v>
      </c>
      <c r="H124" t="s">
        <v>1045</v>
      </c>
      <c r="I124">
        <v>6884</v>
      </c>
      <c r="J124">
        <v>0.06</v>
      </c>
      <c r="K124">
        <v>6470.96</v>
      </c>
      <c r="L124">
        <v>3404.16</v>
      </c>
      <c r="M124">
        <v>190</v>
      </c>
      <c r="N124">
        <v>2</v>
      </c>
      <c r="O124">
        <v>0.44</v>
      </c>
    </row>
    <row r="125" spans="1:15" x14ac:dyDescent="0.25">
      <c r="A125" t="s">
        <v>136</v>
      </c>
      <c r="B125" s="1">
        <v>45422</v>
      </c>
      <c r="C125" t="s">
        <v>537</v>
      </c>
      <c r="D125" t="s">
        <v>543</v>
      </c>
      <c r="E125" t="s">
        <v>545</v>
      </c>
      <c r="F125" t="s">
        <v>547</v>
      </c>
      <c r="G125" t="s">
        <v>670</v>
      </c>
      <c r="H125" t="s">
        <v>1045</v>
      </c>
      <c r="I125">
        <v>7256</v>
      </c>
      <c r="J125">
        <v>0.19</v>
      </c>
      <c r="K125">
        <v>5877.36</v>
      </c>
      <c r="L125">
        <v>4387.55</v>
      </c>
      <c r="M125">
        <v>187</v>
      </c>
      <c r="N125">
        <v>3</v>
      </c>
      <c r="O125">
        <v>0.39</v>
      </c>
    </row>
    <row r="126" spans="1:15" x14ac:dyDescent="0.25">
      <c r="A126" t="s">
        <v>137</v>
      </c>
      <c r="B126" s="1">
        <v>45292</v>
      </c>
      <c r="C126" t="s">
        <v>536</v>
      </c>
      <c r="D126" t="s">
        <v>544</v>
      </c>
      <c r="E126" t="s">
        <v>546</v>
      </c>
      <c r="F126" t="s">
        <v>550</v>
      </c>
      <c r="G126" t="s">
        <v>671</v>
      </c>
      <c r="H126" t="s">
        <v>1042</v>
      </c>
      <c r="I126">
        <v>2019</v>
      </c>
      <c r="J126">
        <v>0.11</v>
      </c>
      <c r="K126">
        <v>1796.91</v>
      </c>
      <c r="L126">
        <v>1316.45</v>
      </c>
      <c r="M126">
        <v>94</v>
      </c>
      <c r="N126">
        <v>1</v>
      </c>
      <c r="O126">
        <v>0.4</v>
      </c>
    </row>
    <row r="127" spans="1:15" x14ac:dyDescent="0.25">
      <c r="A127" t="s">
        <v>138</v>
      </c>
      <c r="B127" s="1">
        <v>45296</v>
      </c>
      <c r="C127" t="s">
        <v>537</v>
      </c>
      <c r="D127" t="s">
        <v>542</v>
      </c>
      <c r="E127" t="s">
        <v>546</v>
      </c>
      <c r="F127" t="s">
        <v>548</v>
      </c>
      <c r="G127" t="s">
        <v>672</v>
      </c>
      <c r="H127" t="s">
        <v>1043</v>
      </c>
      <c r="I127">
        <v>7410</v>
      </c>
      <c r="J127">
        <v>0.3</v>
      </c>
      <c r="K127">
        <v>5187</v>
      </c>
      <c r="L127">
        <v>5434.38</v>
      </c>
      <c r="M127">
        <v>167</v>
      </c>
      <c r="N127">
        <v>2</v>
      </c>
      <c r="O127">
        <v>0.32</v>
      </c>
    </row>
    <row r="128" spans="1:15" x14ac:dyDescent="0.25">
      <c r="A128" t="s">
        <v>139</v>
      </c>
      <c r="B128" s="1">
        <v>45433</v>
      </c>
      <c r="C128" t="s">
        <v>536</v>
      </c>
      <c r="D128" t="s">
        <v>544</v>
      </c>
      <c r="E128" t="s">
        <v>546</v>
      </c>
      <c r="F128" t="s">
        <v>547</v>
      </c>
      <c r="G128" t="s">
        <v>673</v>
      </c>
      <c r="H128" t="s">
        <v>1042</v>
      </c>
      <c r="I128">
        <v>4490</v>
      </c>
      <c r="J128">
        <v>0.26</v>
      </c>
      <c r="K128">
        <v>3322.6</v>
      </c>
      <c r="L128">
        <v>2931.76</v>
      </c>
      <c r="M128">
        <v>156</v>
      </c>
      <c r="N128">
        <v>3</v>
      </c>
      <c r="O128">
        <v>0.39</v>
      </c>
    </row>
    <row r="129" spans="1:15" x14ac:dyDescent="0.25">
      <c r="A129" t="s">
        <v>140</v>
      </c>
      <c r="B129" s="1">
        <v>45394</v>
      </c>
      <c r="C129" t="s">
        <v>535</v>
      </c>
      <c r="D129" t="s">
        <v>540</v>
      </c>
      <c r="E129" t="s">
        <v>546</v>
      </c>
      <c r="F129" t="s">
        <v>550</v>
      </c>
      <c r="G129" t="s">
        <v>674</v>
      </c>
      <c r="H129" t="s">
        <v>1043</v>
      </c>
      <c r="I129">
        <v>5155</v>
      </c>
      <c r="J129">
        <v>0.23</v>
      </c>
      <c r="K129">
        <v>3969.35</v>
      </c>
      <c r="L129">
        <v>2811.71</v>
      </c>
      <c r="M129">
        <v>170</v>
      </c>
      <c r="N129">
        <v>1</v>
      </c>
      <c r="O129">
        <v>0.45</v>
      </c>
    </row>
    <row r="130" spans="1:15" x14ac:dyDescent="0.25">
      <c r="A130" t="s">
        <v>141</v>
      </c>
      <c r="B130" s="1">
        <v>45318</v>
      </c>
      <c r="C130" t="s">
        <v>535</v>
      </c>
      <c r="D130" t="s">
        <v>540</v>
      </c>
      <c r="E130" t="s">
        <v>546</v>
      </c>
      <c r="F130" t="s">
        <v>547</v>
      </c>
      <c r="G130" t="s">
        <v>675</v>
      </c>
      <c r="H130" t="s">
        <v>1044</v>
      </c>
      <c r="I130">
        <v>1397</v>
      </c>
      <c r="J130">
        <v>0.25</v>
      </c>
      <c r="K130">
        <v>1047.75</v>
      </c>
      <c r="L130">
        <v>949.34</v>
      </c>
      <c r="M130">
        <v>141</v>
      </c>
      <c r="N130">
        <v>2</v>
      </c>
      <c r="O130">
        <v>0.35</v>
      </c>
    </row>
    <row r="131" spans="1:15" x14ac:dyDescent="0.25">
      <c r="A131" t="s">
        <v>142</v>
      </c>
      <c r="B131" s="1">
        <v>45428</v>
      </c>
      <c r="C131" t="s">
        <v>537</v>
      </c>
      <c r="D131" t="s">
        <v>542</v>
      </c>
      <c r="E131" t="s">
        <v>546</v>
      </c>
      <c r="F131" t="s">
        <v>547</v>
      </c>
      <c r="G131" t="s">
        <v>676</v>
      </c>
      <c r="H131" t="s">
        <v>1045</v>
      </c>
      <c r="I131">
        <v>5500</v>
      </c>
      <c r="J131">
        <v>0.16</v>
      </c>
      <c r="K131">
        <v>4620</v>
      </c>
      <c r="L131">
        <v>2964.83</v>
      </c>
      <c r="M131">
        <v>98</v>
      </c>
      <c r="N131">
        <v>1</v>
      </c>
      <c r="O131">
        <v>0.34</v>
      </c>
    </row>
    <row r="132" spans="1:15" x14ac:dyDescent="0.25">
      <c r="A132" t="s">
        <v>143</v>
      </c>
      <c r="B132" s="1">
        <v>45306</v>
      </c>
      <c r="C132" t="s">
        <v>537</v>
      </c>
      <c r="D132" t="s">
        <v>541</v>
      </c>
      <c r="E132" t="s">
        <v>545</v>
      </c>
      <c r="F132" t="s">
        <v>548</v>
      </c>
      <c r="G132" t="s">
        <v>677</v>
      </c>
      <c r="H132" t="s">
        <v>1042</v>
      </c>
      <c r="I132">
        <v>6798</v>
      </c>
      <c r="J132">
        <v>0.18</v>
      </c>
      <c r="K132">
        <v>5574.36</v>
      </c>
      <c r="L132">
        <v>3543.55</v>
      </c>
      <c r="M132">
        <v>44</v>
      </c>
      <c r="N132">
        <v>2</v>
      </c>
      <c r="O132">
        <v>0.28999999999999998</v>
      </c>
    </row>
    <row r="133" spans="1:15" x14ac:dyDescent="0.25">
      <c r="A133" t="s">
        <v>144</v>
      </c>
      <c r="B133" s="1">
        <v>45381</v>
      </c>
      <c r="C133" t="s">
        <v>537</v>
      </c>
      <c r="D133" t="s">
        <v>543</v>
      </c>
      <c r="E133" t="s">
        <v>545</v>
      </c>
      <c r="F133" t="s">
        <v>550</v>
      </c>
      <c r="G133" t="s">
        <v>678</v>
      </c>
      <c r="H133" t="s">
        <v>1045</v>
      </c>
      <c r="I133">
        <v>1076</v>
      </c>
      <c r="J133">
        <v>0.21</v>
      </c>
      <c r="K133">
        <v>850.04</v>
      </c>
      <c r="L133">
        <v>791.34</v>
      </c>
      <c r="M133">
        <v>165</v>
      </c>
      <c r="N133">
        <v>1</v>
      </c>
      <c r="O133">
        <v>0.42</v>
      </c>
    </row>
    <row r="134" spans="1:15" x14ac:dyDescent="0.25">
      <c r="A134" t="s">
        <v>145</v>
      </c>
      <c r="B134" s="1">
        <v>45333</v>
      </c>
      <c r="C134" t="s">
        <v>535</v>
      </c>
      <c r="D134" t="s">
        <v>538</v>
      </c>
      <c r="E134" t="s">
        <v>546</v>
      </c>
      <c r="F134" t="s">
        <v>549</v>
      </c>
      <c r="G134" t="s">
        <v>679</v>
      </c>
      <c r="H134" t="s">
        <v>1042</v>
      </c>
      <c r="I134">
        <v>5909</v>
      </c>
      <c r="J134">
        <v>0.23</v>
      </c>
      <c r="K134">
        <v>4549.93</v>
      </c>
      <c r="L134">
        <v>4014.96</v>
      </c>
      <c r="M134">
        <v>79</v>
      </c>
      <c r="N134">
        <v>2</v>
      </c>
      <c r="O134">
        <v>0.4</v>
      </c>
    </row>
    <row r="135" spans="1:15" x14ac:dyDescent="0.25">
      <c r="A135" t="s">
        <v>146</v>
      </c>
      <c r="B135" s="1">
        <v>45415</v>
      </c>
      <c r="C135" t="s">
        <v>536</v>
      </c>
      <c r="D135" t="s">
        <v>539</v>
      </c>
      <c r="E135" t="s">
        <v>546</v>
      </c>
      <c r="F135" t="s">
        <v>547</v>
      </c>
      <c r="G135" t="s">
        <v>680</v>
      </c>
      <c r="H135" t="s">
        <v>1044</v>
      </c>
      <c r="I135">
        <v>4481</v>
      </c>
      <c r="J135">
        <v>0.24</v>
      </c>
      <c r="K135">
        <v>3405.56</v>
      </c>
      <c r="L135">
        <v>3223.67</v>
      </c>
      <c r="M135">
        <v>34</v>
      </c>
      <c r="N135">
        <v>3</v>
      </c>
      <c r="O135">
        <v>0.34</v>
      </c>
    </row>
    <row r="136" spans="1:15" x14ac:dyDescent="0.25">
      <c r="A136" t="s">
        <v>147</v>
      </c>
      <c r="B136" s="1">
        <v>45470</v>
      </c>
      <c r="C136" t="s">
        <v>535</v>
      </c>
      <c r="D136" t="s">
        <v>540</v>
      </c>
      <c r="E136" t="s">
        <v>546</v>
      </c>
      <c r="F136" t="s">
        <v>550</v>
      </c>
      <c r="G136" t="s">
        <v>681</v>
      </c>
      <c r="H136" t="s">
        <v>1043</v>
      </c>
      <c r="I136">
        <v>6062</v>
      </c>
      <c r="J136">
        <v>0.24</v>
      </c>
      <c r="K136">
        <v>4607.12</v>
      </c>
      <c r="L136">
        <v>3679.18</v>
      </c>
      <c r="M136">
        <v>36</v>
      </c>
      <c r="N136">
        <v>1</v>
      </c>
      <c r="O136">
        <v>0.42</v>
      </c>
    </row>
    <row r="137" spans="1:15" x14ac:dyDescent="0.25">
      <c r="A137" t="s">
        <v>148</v>
      </c>
      <c r="B137" s="1">
        <v>45354</v>
      </c>
      <c r="C137" t="s">
        <v>537</v>
      </c>
      <c r="D137" t="s">
        <v>543</v>
      </c>
      <c r="E137" t="s">
        <v>546</v>
      </c>
      <c r="F137" t="s">
        <v>550</v>
      </c>
      <c r="G137" t="s">
        <v>682</v>
      </c>
      <c r="H137" t="s">
        <v>1045</v>
      </c>
      <c r="I137">
        <v>6837</v>
      </c>
      <c r="J137">
        <v>0.3</v>
      </c>
      <c r="K137">
        <v>4785.8999999999996</v>
      </c>
      <c r="L137">
        <v>4148.3100000000004</v>
      </c>
      <c r="M137">
        <v>16</v>
      </c>
      <c r="N137">
        <v>3</v>
      </c>
      <c r="O137">
        <v>0.43</v>
      </c>
    </row>
    <row r="138" spans="1:15" x14ac:dyDescent="0.25">
      <c r="A138" t="s">
        <v>149</v>
      </c>
      <c r="B138" s="1">
        <v>45387</v>
      </c>
      <c r="C138" t="s">
        <v>535</v>
      </c>
      <c r="D138" t="s">
        <v>540</v>
      </c>
      <c r="E138" t="s">
        <v>546</v>
      </c>
      <c r="F138" t="s">
        <v>548</v>
      </c>
      <c r="G138" t="s">
        <v>683</v>
      </c>
      <c r="H138" t="s">
        <v>1045</v>
      </c>
      <c r="I138">
        <v>494</v>
      </c>
      <c r="J138">
        <v>0.13</v>
      </c>
      <c r="K138">
        <v>429.78</v>
      </c>
      <c r="L138">
        <v>365.01</v>
      </c>
      <c r="M138">
        <v>127</v>
      </c>
      <c r="N138">
        <v>3</v>
      </c>
      <c r="O138">
        <v>0.42</v>
      </c>
    </row>
    <row r="139" spans="1:15" x14ac:dyDescent="0.25">
      <c r="A139" t="s">
        <v>150</v>
      </c>
      <c r="B139" s="1">
        <v>45343</v>
      </c>
      <c r="C139" t="s">
        <v>535</v>
      </c>
      <c r="D139" t="s">
        <v>538</v>
      </c>
      <c r="E139" t="s">
        <v>545</v>
      </c>
      <c r="F139" t="s">
        <v>548</v>
      </c>
      <c r="G139" t="s">
        <v>684</v>
      </c>
      <c r="H139" t="s">
        <v>1044</v>
      </c>
      <c r="I139">
        <v>7335</v>
      </c>
      <c r="J139">
        <v>0.2</v>
      </c>
      <c r="K139">
        <v>5868</v>
      </c>
      <c r="L139">
        <v>4606.83</v>
      </c>
      <c r="M139">
        <v>35</v>
      </c>
      <c r="N139">
        <v>1</v>
      </c>
      <c r="O139">
        <v>0.39</v>
      </c>
    </row>
    <row r="140" spans="1:15" x14ac:dyDescent="0.25">
      <c r="A140" t="s">
        <v>151</v>
      </c>
      <c r="B140" s="1">
        <v>45387</v>
      </c>
      <c r="C140" t="s">
        <v>535</v>
      </c>
      <c r="D140" t="s">
        <v>540</v>
      </c>
      <c r="E140" t="s">
        <v>545</v>
      </c>
      <c r="F140" t="s">
        <v>550</v>
      </c>
      <c r="G140" t="s">
        <v>685</v>
      </c>
      <c r="H140" t="s">
        <v>1042</v>
      </c>
      <c r="I140">
        <v>1122</v>
      </c>
      <c r="J140">
        <v>0.12</v>
      </c>
      <c r="K140">
        <v>987.36</v>
      </c>
      <c r="L140">
        <v>767.62</v>
      </c>
      <c r="M140">
        <v>59</v>
      </c>
      <c r="N140">
        <v>3</v>
      </c>
      <c r="O140">
        <v>0.42</v>
      </c>
    </row>
    <row r="141" spans="1:15" x14ac:dyDescent="0.25">
      <c r="A141" t="s">
        <v>152</v>
      </c>
      <c r="B141" s="1">
        <v>45423</v>
      </c>
      <c r="C141" t="s">
        <v>537</v>
      </c>
      <c r="D141" t="s">
        <v>542</v>
      </c>
      <c r="E141" t="s">
        <v>545</v>
      </c>
      <c r="F141" t="s">
        <v>550</v>
      </c>
      <c r="G141" t="s">
        <v>686</v>
      </c>
      <c r="H141" t="s">
        <v>1043</v>
      </c>
      <c r="I141">
        <v>3090</v>
      </c>
      <c r="J141">
        <v>0.18</v>
      </c>
      <c r="K141">
        <v>2533.8000000000002</v>
      </c>
      <c r="L141">
        <v>1532.32</v>
      </c>
      <c r="M141">
        <v>58</v>
      </c>
      <c r="N141">
        <v>3</v>
      </c>
      <c r="O141">
        <v>0.43</v>
      </c>
    </row>
    <row r="142" spans="1:15" x14ac:dyDescent="0.25">
      <c r="A142" t="s">
        <v>153</v>
      </c>
      <c r="B142" s="1">
        <v>45442</v>
      </c>
      <c r="C142" t="s">
        <v>536</v>
      </c>
      <c r="D142" t="s">
        <v>539</v>
      </c>
      <c r="E142" t="s">
        <v>546</v>
      </c>
      <c r="F142" t="s">
        <v>547</v>
      </c>
      <c r="G142" t="s">
        <v>687</v>
      </c>
      <c r="H142" t="s">
        <v>1045</v>
      </c>
      <c r="I142">
        <v>7872</v>
      </c>
      <c r="J142">
        <v>0.12</v>
      </c>
      <c r="K142">
        <v>6927.36</v>
      </c>
      <c r="L142">
        <v>4029.33</v>
      </c>
      <c r="M142">
        <v>20</v>
      </c>
      <c r="N142">
        <v>2</v>
      </c>
      <c r="O142">
        <v>0.32</v>
      </c>
    </row>
    <row r="143" spans="1:15" x14ac:dyDescent="0.25">
      <c r="A143" t="s">
        <v>154</v>
      </c>
      <c r="B143" s="1">
        <v>45434</v>
      </c>
      <c r="C143" t="s">
        <v>535</v>
      </c>
      <c r="D143" t="s">
        <v>540</v>
      </c>
      <c r="E143" t="s">
        <v>546</v>
      </c>
      <c r="F143" t="s">
        <v>550</v>
      </c>
      <c r="G143" t="s">
        <v>688</v>
      </c>
      <c r="H143" t="s">
        <v>1042</v>
      </c>
      <c r="I143">
        <v>5972</v>
      </c>
      <c r="J143">
        <v>0.23</v>
      </c>
      <c r="K143">
        <v>4598.4399999999996</v>
      </c>
      <c r="L143">
        <v>3898.24</v>
      </c>
      <c r="M143">
        <v>51</v>
      </c>
      <c r="N143">
        <v>2</v>
      </c>
      <c r="O143">
        <v>0.36</v>
      </c>
    </row>
    <row r="144" spans="1:15" x14ac:dyDescent="0.25">
      <c r="A144" t="s">
        <v>155</v>
      </c>
      <c r="B144" s="1">
        <v>45462</v>
      </c>
      <c r="C144" t="s">
        <v>536</v>
      </c>
      <c r="D144" t="s">
        <v>539</v>
      </c>
      <c r="E144" t="s">
        <v>546</v>
      </c>
      <c r="F144" t="s">
        <v>549</v>
      </c>
      <c r="G144" t="s">
        <v>689</v>
      </c>
      <c r="H144" t="s">
        <v>1044</v>
      </c>
      <c r="I144">
        <v>5749</v>
      </c>
      <c r="J144">
        <v>0.27</v>
      </c>
      <c r="K144">
        <v>4196.7700000000004</v>
      </c>
      <c r="L144">
        <v>3584.59</v>
      </c>
      <c r="M144">
        <v>176</v>
      </c>
      <c r="N144">
        <v>1</v>
      </c>
      <c r="O144">
        <v>0.28999999999999998</v>
      </c>
    </row>
    <row r="145" spans="1:15" x14ac:dyDescent="0.25">
      <c r="A145" t="s">
        <v>156</v>
      </c>
      <c r="B145" s="1">
        <v>45320</v>
      </c>
      <c r="C145" t="s">
        <v>535</v>
      </c>
      <c r="D145" t="s">
        <v>540</v>
      </c>
      <c r="E145" t="s">
        <v>546</v>
      </c>
      <c r="F145" t="s">
        <v>549</v>
      </c>
      <c r="G145" t="s">
        <v>690</v>
      </c>
      <c r="H145" t="s">
        <v>1042</v>
      </c>
      <c r="I145">
        <v>5522</v>
      </c>
      <c r="J145">
        <v>0.12</v>
      </c>
      <c r="K145">
        <v>4859.3599999999997</v>
      </c>
      <c r="L145">
        <v>3072.99</v>
      </c>
      <c r="M145">
        <v>22</v>
      </c>
      <c r="N145">
        <v>1</v>
      </c>
      <c r="O145">
        <v>0.42</v>
      </c>
    </row>
    <row r="146" spans="1:15" x14ac:dyDescent="0.25">
      <c r="A146" t="s">
        <v>157</v>
      </c>
      <c r="B146" s="1">
        <v>45327</v>
      </c>
      <c r="C146" t="s">
        <v>536</v>
      </c>
      <c r="D146" t="s">
        <v>544</v>
      </c>
      <c r="E146" t="s">
        <v>546</v>
      </c>
      <c r="F146" t="s">
        <v>547</v>
      </c>
      <c r="G146" t="s">
        <v>691</v>
      </c>
      <c r="H146" t="s">
        <v>1042</v>
      </c>
      <c r="I146">
        <v>1635</v>
      </c>
      <c r="J146">
        <v>0.25</v>
      </c>
      <c r="K146">
        <v>1226.25</v>
      </c>
      <c r="L146">
        <v>848.97</v>
      </c>
      <c r="M146">
        <v>67</v>
      </c>
      <c r="N146">
        <v>3</v>
      </c>
      <c r="O146">
        <v>0.31</v>
      </c>
    </row>
    <row r="147" spans="1:15" x14ac:dyDescent="0.25">
      <c r="A147" t="s">
        <v>158</v>
      </c>
      <c r="B147" s="1">
        <v>45304</v>
      </c>
      <c r="C147" t="s">
        <v>536</v>
      </c>
      <c r="D147" t="s">
        <v>544</v>
      </c>
      <c r="E147" t="s">
        <v>546</v>
      </c>
      <c r="F147" t="s">
        <v>550</v>
      </c>
      <c r="G147" t="s">
        <v>692</v>
      </c>
      <c r="H147" t="s">
        <v>1044</v>
      </c>
      <c r="I147">
        <v>2451</v>
      </c>
      <c r="J147">
        <v>0.18</v>
      </c>
      <c r="K147">
        <v>2009.82</v>
      </c>
      <c r="L147">
        <v>1348.22</v>
      </c>
      <c r="M147">
        <v>159</v>
      </c>
      <c r="N147">
        <v>2</v>
      </c>
      <c r="O147">
        <v>0.44</v>
      </c>
    </row>
    <row r="148" spans="1:15" x14ac:dyDescent="0.25">
      <c r="A148" t="s">
        <v>159</v>
      </c>
      <c r="B148" s="1">
        <v>45451</v>
      </c>
      <c r="C148" t="s">
        <v>535</v>
      </c>
      <c r="D148" t="s">
        <v>540</v>
      </c>
      <c r="E148" t="s">
        <v>546</v>
      </c>
      <c r="F148" t="s">
        <v>548</v>
      </c>
      <c r="G148" t="s">
        <v>693</v>
      </c>
      <c r="H148" t="s">
        <v>1042</v>
      </c>
      <c r="I148">
        <v>2715</v>
      </c>
      <c r="J148">
        <v>0.08</v>
      </c>
      <c r="K148">
        <v>2497.8000000000002</v>
      </c>
      <c r="L148">
        <v>1588.58</v>
      </c>
      <c r="M148">
        <v>153</v>
      </c>
      <c r="N148">
        <v>1</v>
      </c>
      <c r="O148">
        <v>0.33</v>
      </c>
    </row>
    <row r="149" spans="1:15" x14ac:dyDescent="0.25">
      <c r="A149" t="s">
        <v>160</v>
      </c>
      <c r="B149" s="1">
        <v>45362</v>
      </c>
      <c r="C149" t="s">
        <v>536</v>
      </c>
      <c r="D149" t="s">
        <v>544</v>
      </c>
      <c r="E149" t="s">
        <v>546</v>
      </c>
      <c r="F149" t="s">
        <v>550</v>
      </c>
      <c r="G149" t="s">
        <v>617</v>
      </c>
      <c r="H149" t="s">
        <v>1042</v>
      </c>
      <c r="I149">
        <v>6820</v>
      </c>
      <c r="J149">
        <v>0.1</v>
      </c>
      <c r="K149">
        <v>6138</v>
      </c>
      <c r="L149">
        <v>5099.62</v>
      </c>
      <c r="M149">
        <v>113</v>
      </c>
      <c r="N149">
        <v>1</v>
      </c>
      <c r="O149">
        <v>0.42</v>
      </c>
    </row>
    <row r="150" spans="1:15" x14ac:dyDescent="0.25">
      <c r="A150" t="s">
        <v>161</v>
      </c>
      <c r="B150" s="1">
        <v>45377</v>
      </c>
      <c r="C150" t="s">
        <v>537</v>
      </c>
      <c r="D150" t="s">
        <v>543</v>
      </c>
      <c r="E150" t="s">
        <v>545</v>
      </c>
      <c r="F150" t="s">
        <v>550</v>
      </c>
      <c r="G150" t="s">
        <v>694</v>
      </c>
      <c r="H150" t="s">
        <v>1042</v>
      </c>
      <c r="I150">
        <v>5330</v>
      </c>
      <c r="J150">
        <v>0.23</v>
      </c>
      <c r="K150">
        <v>4104.1000000000004</v>
      </c>
      <c r="L150">
        <v>3208.93</v>
      </c>
      <c r="M150">
        <v>151</v>
      </c>
      <c r="N150">
        <v>1</v>
      </c>
      <c r="O150">
        <v>0.32</v>
      </c>
    </row>
    <row r="151" spans="1:15" x14ac:dyDescent="0.25">
      <c r="A151" t="s">
        <v>162</v>
      </c>
      <c r="B151" s="1">
        <v>45319</v>
      </c>
      <c r="C151" t="s">
        <v>537</v>
      </c>
      <c r="D151" t="s">
        <v>542</v>
      </c>
      <c r="E151" t="s">
        <v>546</v>
      </c>
      <c r="F151" t="s">
        <v>547</v>
      </c>
      <c r="G151" t="s">
        <v>695</v>
      </c>
      <c r="H151" t="s">
        <v>1045</v>
      </c>
      <c r="I151">
        <v>7162</v>
      </c>
      <c r="J151">
        <v>0.2</v>
      </c>
      <c r="K151">
        <v>5729.6</v>
      </c>
      <c r="L151">
        <v>4996.1099999999997</v>
      </c>
      <c r="M151">
        <v>199</v>
      </c>
      <c r="N151">
        <v>3</v>
      </c>
      <c r="O151">
        <v>0.44</v>
      </c>
    </row>
    <row r="152" spans="1:15" x14ac:dyDescent="0.25">
      <c r="A152" t="s">
        <v>163</v>
      </c>
      <c r="B152" s="1">
        <v>45357</v>
      </c>
      <c r="C152" t="s">
        <v>536</v>
      </c>
      <c r="D152" t="s">
        <v>544</v>
      </c>
      <c r="E152" t="s">
        <v>545</v>
      </c>
      <c r="F152" t="s">
        <v>548</v>
      </c>
      <c r="G152" t="s">
        <v>696</v>
      </c>
      <c r="H152" t="s">
        <v>1044</v>
      </c>
      <c r="I152">
        <v>4487</v>
      </c>
      <c r="J152">
        <v>0.22</v>
      </c>
      <c r="K152">
        <v>3499.86</v>
      </c>
      <c r="L152">
        <v>2545.5300000000002</v>
      </c>
      <c r="M152">
        <v>21</v>
      </c>
      <c r="N152">
        <v>3</v>
      </c>
      <c r="O152">
        <v>0.35</v>
      </c>
    </row>
    <row r="153" spans="1:15" x14ac:dyDescent="0.25">
      <c r="A153" t="s">
        <v>164</v>
      </c>
      <c r="B153" s="1">
        <v>45461</v>
      </c>
      <c r="C153" t="s">
        <v>537</v>
      </c>
      <c r="D153" t="s">
        <v>542</v>
      </c>
      <c r="E153" t="s">
        <v>545</v>
      </c>
      <c r="F153" t="s">
        <v>548</v>
      </c>
      <c r="G153" t="s">
        <v>697</v>
      </c>
      <c r="H153" t="s">
        <v>1043</v>
      </c>
      <c r="I153">
        <v>5839</v>
      </c>
      <c r="J153">
        <v>0.27</v>
      </c>
      <c r="K153">
        <v>4262.47</v>
      </c>
      <c r="L153">
        <v>2875.03</v>
      </c>
      <c r="M153">
        <v>16</v>
      </c>
      <c r="N153">
        <v>2</v>
      </c>
      <c r="O153">
        <v>0.28999999999999998</v>
      </c>
    </row>
    <row r="154" spans="1:15" x14ac:dyDescent="0.25">
      <c r="A154" t="s">
        <v>165</v>
      </c>
      <c r="B154" s="1">
        <v>45336</v>
      </c>
      <c r="C154" t="s">
        <v>536</v>
      </c>
      <c r="D154" t="s">
        <v>544</v>
      </c>
      <c r="E154" t="s">
        <v>545</v>
      </c>
      <c r="F154" t="s">
        <v>548</v>
      </c>
      <c r="G154" t="s">
        <v>698</v>
      </c>
      <c r="H154" t="s">
        <v>1043</v>
      </c>
      <c r="I154">
        <v>7423</v>
      </c>
      <c r="J154">
        <v>0.34</v>
      </c>
      <c r="K154">
        <v>4899.18</v>
      </c>
      <c r="L154">
        <v>4767.7299999999996</v>
      </c>
      <c r="M154">
        <v>34</v>
      </c>
      <c r="N154">
        <v>2</v>
      </c>
      <c r="O154">
        <v>0.3</v>
      </c>
    </row>
    <row r="155" spans="1:15" x14ac:dyDescent="0.25">
      <c r="A155" t="s">
        <v>166</v>
      </c>
      <c r="B155" s="1">
        <v>45353</v>
      </c>
      <c r="C155" t="s">
        <v>535</v>
      </c>
      <c r="D155" t="s">
        <v>538</v>
      </c>
      <c r="E155" t="s">
        <v>546</v>
      </c>
      <c r="F155" t="s">
        <v>548</v>
      </c>
      <c r="G155" t="s">
        <v>699</v>
      </c>
      <c r="H155" t="s">
        <v>1043</v>
      </c>
      <c r="I155">
        <v>6529</v>
      </c>
      <c r="J155">
        <v>0.28000000000000003</v>
      </c>
      <c r="K155">
        <v>4700.88</v>
      </c>
      <c r="L155">
        <v>3280.51</v>
      </c>
      <c r="M155">
        <v>140</v>
      </c>
      <c r="N155">
        <v>3</v>
      </c>
      <c r="O155">
        <v>0.35</v>
      </c>
    </row>
    <row r="156" spans="1:15" x14ac:dyDescent="0.25">
      <c r="A156" t="s">
        <v>167</v>
      </c>
      <c r="B156" s="1">
        <v>45425</v>
      </c>
      <c r="C156" t="s">
        <v>535</v>
      </c>
      <c r="D156" t="s">
        <v>540</v>
      </c>
      <c r="E156" t="s">
        <v>546</v>
      </c>
      <c r="F156" t="s">
        <v>550</v>
      </c>
      <c r="G156" t="s">
        <v>700</v>
      </c>
      <c r="H156" t="s">
        <v>1043</v>
      </c>
      <c r="I156">
        <v>1013</v>
      </c>
      <c r="J156">
        <v>0.09</v>
      </c>
      <c r="K156">
        <v>921.83</v>
      </c>
      <c r="L156">
        <v>748.54</v>
      </c>
      <c r="M156">
        <v>197</v>
      </c>
      <c r="N156">
        <v>1</v>
      </c>
      <c r="O156">
        <v>0.44</v>
      </c>
    </row>
    <row r="157" spans="1:15" x14ac:dyDescent="0.25">
      <c r="A157" t="s">
        <v>168</v>
      </c>
      <c r="B157" s="1">
        <v>45319</v>
      </c>
      <c r="C157" t="s">
        <v>537</v>
      </c>
      <c r="D157" t="s">
        <v>542</v>
      </c>
      <c r="E157" t="s">
        <v>545</v>
      </c>
      <c r="F157" t="s">
        <v>549</v>
      </c>
      <c r="G157" t="s">
        <v>690</v>
      </c>
      <c r="H157" t="s">
        <v>1042</v>
      </c>
      <c r="I157">
        <v>1934</v>
      </c>
      <c r="J157">
        <v>0.06</v>
      </c>
      <c r="K157">
        <v>1817.96</v>
      </c>
      <c r="L157">
        <v>1219.9000000000001</v>
      </c>
      <c r="M157">
        <v>160</v>
      </c>
      <c r="N157">
        <v>3</v>
      </c>
      <c r="O157">
        <v>0.35</v>
      </c>
    </row>
    <row r="158" spans="1:15" x14ac:dyDescent="0.25">
      <c r="A158" t="s">
        <v>169</v>
      </c>
      <c r="B158" s="1">
        <v>45319</v>
      </c>
      <c r="C158" t="s">
        <v>536</v>
      </c>
      <c r="D158" t="s">
        <v>544</v>
      </c>
      <c r="E158" t="s">
        <v>546</v>
      </c>
      <c r="F158" t="s">
        <v>550</v>
      </c>
      <c r="G158" t="s">
        <v>701</v>
      </c>
      <c r="H158" t="s">
        <v>1043</v>
      </c>
      <c r="I158">
        <v>3900</v>
      </c>
      <c r="J158">
        <v>0.28000000000000003</v>
      </c>
      <c r="K158">
        <v>2808</v>
      </c>
      <c r="L158">
        <v>2479.81</v>
      </c>
      <c r="M158">
        <v>92</v>
      </c>
      <c r="N158">
        <v>1</v>
      </c>
      <c r="O158">
        <v>0.3</v>
      </c>
    </row>
    <row r="159" spans="1:15" x14ac:dyDescent="0.25">
      <c r="A159" t="s">
        <v>170</v>
      </c>
      <c r="B159" s="1">
        <v>45399</v>
      </c>
      <c r="C159" t="s">
        <v>537</v>
      </c>
      <c r="D159" t="s">
        <v>543</v>
      </c>
      <c r="E159" t="s">
        <v>546</v>
      </c>
      <c r="F159" t="s">
        <v>548</v>
      </c>
      <c r="G159" t="s">
        <v>702</v>
      </c>
      <c r="H159" t="s">
        <v>1042</v>
      </c>
      <c r="I159">
        <v>6957</v>
      </c>
      <c r="J159">
        <v>0.24</v>
      </c>
      <c r="K159">
        <v>5287.32</v>
      </c>
      <c r="L159">
        <v>4452.18</v>
      </c>
      <c r="M159">
        <v>49</v>
      </c>
      <c r="N159">
        <v>1</v>
      </c>
      <c r="O159">
        <v>0.32</v>
      </c>
    </row>
    <row r="160" spans="1:15" x14ac:dyDescent="0.25">
      <c r="A160" t="s">
        <v>171</v>
      </c>
      <c r="B160" s="1">
        <v>45335</v>
      </c>
      <c r="C160" t="s">
        <v>535</v>
      </c>
      <c r="D160" t="s">
        <v>538</v>
      </c>
      <c r="E160" t="s">
        <v>546</v>
      </c>
      <c r="F160" t="s">
        <v>549</v>
      </c>
      <c r="G160" t="s">
        <v>703</v>
      </c>
      <c r="H160" t="s">
        <v>1044</v>
      </c>
      <c r="I160">
        <v>7907</v>
      </c>
      <c r="J160">
        <v>0.09</v>
      </c>
      <c r="K160">
        <v>7195.37</v>
      </c>
      <c r="L160">
        <v>5661.26</v>
      </c>
      <c r="M160">
        <v>71</v>
      </c>
      <c r="N160">
        <v>1</v>
      </c>
      <c r="O160">
        <v>0.34</v>
      </c>
    </row>
    <row r="161" spans="1:15" x14ac:dyDescent="0.25">
      <c r="A161" t="s">
        <v>172</v>
      </c>
      <c r="B161" s="1">
        <v>45375</v>
      </c>
      <c r="C161" t="s">
        <v>537</v>
      </c>
      <c r="D161" t="s">
        <v>543</v>
      </c>
      <c r="E161" t="s">
        <v>545</v>
      </c>
      <c r="F161" t="s">
        <v>548</v>
      </c>
      <c r="G161" t="s">
        <v>704</v>
      </c>
      <c r="H161" t="s">
        <v>1043</v>
      </c>
      <c r="I161">
        <v>3766</v>
      </c>
      <c r="J161">
        <v>0.05</v>
      </c>
      <c r="K161">
        <v>3577.7</v>
      </c>
      <c r="L161">
        <v>2164.87</v>
      </c>
      <c r="M161">
        <v>158</v>
      </c>
      <c r="N161">
        <v>2</v>
      </c>
      <c r="O161">
        <v>0.41</v>
      </c>
    </row>
    <row r="162" spans="1:15" x14ac:dyDescent="0.25">
      <c r="A162" t="s">
        <v>173</v>
      </c>
      <c r="B162" s="1">
        <v>45321</v>
      </c>
      <c r="C162" t="s">
        <v>537</v>
      </c>
      <c r="D162" t="s">
        <v>541</v>
      </c>
      <c r="E162" t="s">
        <v>546</v>
      </c>
      <c r="F162" t="s">
        <v>550</v>
      </c>
      <c r="G162" t="s">
        <v>705</v>
      </c>
      <c r="H162" t="s">
        <v>1045</v>
      </c>
      <c r="I162">
        <v>6258</v>
      </c>
      <c r="J162">
        <v>0.15</v>
      </c>
      <c r="K162">
        <v>5319.3</v>
      </c>
      <c r="L162">
        <v>4382.42</v>
      </c>
      <c r="M162">
        <v>190</v>
      </c>
      <c r="N162">
        <v>2</v>
      </c>
      <c r="O162">
        <v>0.28999999999999998</v>
      </c>
    </row>
    <row r="163" spans="1:15" x14ac:dyDescent="0.25">
      <c r="A163" t="s">
        <v>174</v>
      </c>
      <c r="B163" s="1">
        <v>45366</v>
      </c>
      <c r="C163" t="s">
        <v>535</v>
      </c>
      <c r="D163" t="s">
        <v>540</v>
      </c>
      <c r="E163" t="s">
        <v>546</v>
      </c>
      <c r="F163" t="s">
        <v>547</v>
      </c>
      <c r="G163" t="s">
        <v>706</v>
      </c>
      <c r="H163" t="s">
        <v>1044</v>
      </c>
      <c r="I163">
        <v>6086</v>
      </c>
      <c r="J163">
        <v>0.3</v>
      </c>
      <c r="K163">
        <v>4260.2</v>
      </c>
      <c r="L163">
        <v>2917.78</v>
      </c>
      <c r="M163">
        <v>35</v>
      </c>
      <c r="N163">
        <v>2</v>
      </c>
      <c r="O163">
        <v>0.31</v>
      </c>
    </row>
    <row r="164" spans="1:15" x14ac:dyDescent="0.25">
      <c r="A164" t="s">
        <v>175</v>
      </c>
      <c r="B164" s="1">
        <v>45419</v>
      </c>
      <c r="C164" t="s">
        <v>537</v>
      </c>
      <c r="D164" t="s">
        <v>541</v>
      </c>
      <c r="E164" t="s">
        <v>545</v>
      </c>
      <c r="F164" t="s">
        <v>547</v>
      </c>
      <c r="G164" t="s">
        <v>707</v>
      </c>
      <c r="H164" t="s">
        <v>1045</v>
      </c>
      <c r="I164">
        <v>3543</v>
      </c>
      <c r="J164">
        <v>0.17</v>
      </c>
      <c r="K164">
        <v>2940.69</v>
      </c>
      <c r="L164">
        <v>2610.7199999999998</v>
      </c>
      <c r="M164">
        <v>122</v>
      </c>
      <c r="N164">
        <v>1</v>
      </c>
      <c r="O164">
        <v>0.3</v>
      </c>
    </row>
    <row r="165" spans="1:15" x14ac:dyDescent="0.25">
      <c r="A165" t="s">
        <v>176</v>
      </c>
      <c r="B165" s="1">
        <v>45383</v>
      </c>
      <c r="C165" t="s">
        <v>535</v>
      </c>
      <c r="D165" t="s">
        <v>540</v>
      </c>
      <c r="E165" t="s">
        <v>545</v>
      </c>
      <c r="F165" t="s">
        <v>547</v>
      </c>
      <c r="G165" t="s">
        <v>708</v>
      </c>
      <c r="H165" t="s">
        <v>1042</v>
      </c>
      <c r="I165">
        <v>6222</v>
      </c>
      <c r="J165">
        <v>0.13</v>
      </c>
      <c r="K165">
        <v>5413.14</v>
      </c>
      <c r="L165">
        <v>4536.43</v>
      </c>
      <c r="M165">
        <v>197</v>
      </c>
      <c r="N165">
        <v>1</v>
      </c>
      <c r="O165">
        <v>0.42</v>
      </c>
    </row>
    <row r="166" spans="1:15" x14ac:dyDescent="0.25">
      <c r="A166" t="s">
        <v>177</v>
      </c>
      <c r="B166" s="1">
        <v>45420</v>
      </c>
      <c r="C166" t="s">
        <v>537</v>
      </c>
      <c r="D166" t="s">
        <v>541</v>
      </c>
      <c r="E166" t="s">
        <v>545</v>
      </c>
      <c r="F166" t="s">
        <v>550</v>
      </c>
      <c r="G166" t="s">
        <v>709</v>
      </c>
      <c r="H166" t="s">
        <v>1044</v>
      </c>
      <c r="I166">
        <v>7149</v>
      </c>
      <c r="J166">
        <v>0.19</v>
      </c>
      <c r="K166">
        <v>5790.69</v>
      </c>
      <c r="L166">
        <v>5109.66</v>
      </c>
      <c r="M166">
        <v>78</v>
      </c>
      <c r="N166">
        <v>1</v>
      </c>
      <c r="O166">
        <v>0.36</v>
      </c>
    </row>
    <row r="167" spans="1:15" x14ac:dyDescent="0.25">
      <c r="A167" t="s">
        <v>178</v>
      </c>
      <c r="B167" s="1">
        <v>45412</v>
      </c>
      <c r="C167" t="s">
        <v>535</v>
      </c>
      <c r="D167" t="s">
        <v>538</v>
      </c>
      <c r="E167" t="s">
        <v>545</v>
      </c>
      <c r="F167" t="s">
        <v>547</v>
      </c>
      <c r="G167" t="s">
        <v>710</v>
      </c>
      <c r="H167" t="s">
        <v>1045</v>
      </c>
      <c r="I167">
        <v>7838</v>
      </c>
      <c r="J167">
        <v>0.28999999999999998</v>
      </c>
      <c r="K167">
        <v>5564.98</v>
      </c>
      <c r="L167">
        <v>3774.86</v>
      </c>
      <c r="M167">
        <v>26</v>
      </c>
      <c r="N167">
        <v>1</v>
      </c>
      <c r="O167">
        <v>0.37</v>
      </c>
    </row>
    <row r="168" spans="1:15" x14ac:dyDescent="0.25">
      <c r="A168" t="s">
        <v>179</v>
      </c>
      <c r="B168" s="1">
        <v>45318</v>
      </c>
      <c r="C168" t="s">
        <v>537</v>
      </c>
      <c r="D168" t="s">
        <v>541</v>
      </c>
      <c r="E168" t="s">
        <v>545</v>
      </c>
      <c r="F168" t="s">
        <v>550</v>
      </c>
      <c r="G168" t="s">
        <v>711</v>
      </c>
      <c r="H168" t="s">
        <v>1042</v>
      </c>
      <c r="I168">
        <v>4544</v>
      </c>
      <c r="J168">
        <v>0.33</v>
      </c>
      <c r="K168">
        <v>3044.48</v>
      </c>
      <c r="L168">
        <v>3113.33</v>
      </c>
      <c r="M168">
        <v>60</v>
      </c>
      <c r="N168">
        <v>3</v>
      </c>
      <c r="O168">
        <v>0.35</v>
      </c>
    </row>
    <row r="169" spans="1:15" x14ac:dyDescent="0.25">
      <c r="A169" t="s">
        <v>180</v>
      </c>
      <c r="B169" s="1">
        <v>45412</v>
      </c>
      <c r="C169" t="s">
        <v>537</v>
      </c>
      <c r="D169" t="s">
        <v>543</v>
      </c>
      <c r="E169" t="s">
        <v>546</v>
      </c>
      <c r="F169" t="s">
        <v>549</v>
      </c>
      <c r="G169" t="s">
        <v>712</v>
      </c>
      <c r="H169" t="s">
        <v>1043</v>
      </c>
      <c r="I169">
        <v>1623</v>
      </c>
      <c r="J169">
        <v>7.0000000000000007E-2</v>
      </c>
      <c r="K169">
        <v>1509.39</v>
      </c>
      <c r="L169">
        <v>980.94</v>
      </c>
      <c r="M169">
        <v>90</v>
      </c>
      <c r="N169">
        <v>3</v>
      </c>
      <c r="O169">
        <v>0.41</v>
      </c>
    </row>
    <row r="170" spans="1:15" x14ac:dyDescent="0.25">
      <c r="A170" t="s">
        <v>181</v>
      </c>
      <c r="B170" s="1">
        <v>45407</v>
      </c>
      <c r="C170" t="s">
        <v>535</v>
      </c>
      <c r="D170" t="s">
        <v>540</v>
      </c>
      <c r="E170" t="s">
        <v>545</v>
      </c>
      <c r="F170" t="s">
        <v>550</v>
      </c>
      <c r="G170" t="s">
        <v>713</v>
      </c>
      <c r="H170" t="s">
        <v>1044</v>
      </c>
      <c r="I170">
        <v>3682</v>
      </c>
      <c r="J170">
        <v>0.13</v>
      </c>
      <c r="K170">
        <v>3203.34</v>
      </c>
      <c r="L170">
        <v>1944.88</v>
      </c>
      <c r="M170">
        <v>114</v>
      </c>
      <c r="N170">
        <v>1</v>
      </c>
      <c r="O170">
        <v>0.44</v>
      </c>
    </row>
    <row r="171" spans="1:15" x14ac:dyDescent="0.25">
      <c r="A171" t="s">
        <v>182</v>
      </c>
      <c r="B171" s="1">
        <v>45294</v>
      </c>
      <c r="C171" t="s">
        <v>537</v>
      </c>
      <c r="D171" t="s">
        <v>541</v>
      </c>
      <c r="E171" t="s">
        <v>546</v>
      </c>
      <c r="F171" t="s">
        <v>550</v>
      </c>
      <c r="G171" t="s">
        <v>714</v>
      </c>
      <c r="H171" t="s">
        <v>1042</v>
      </c>
      <c r="I171">
        <v>701</v>
      </c>
      <c r="J171">
        <v>0.19</v>
      </c>
      <c r="K171">
        <v>567.80999999999995</v>
      </c>
      <c r="L171">
        <v>339.42</v>
      </c>
      <c r="M171">
        <v>22</v>
      </c>
      <c r="N171">
        <v>1</v>
      </c>
      <c r="O171">
        <v>0.44</v>
      </c>
    </row>
    <row r="172" spans="1:15" x14ac:dyDescent="0.25">
      <c r="A172" t="s">
        <v>183</v>
      </c>
      <c r="B172" s="1">
        <v>45394</v>
      </c>
      <c r="C172" t="s">
        <v>537</v>
      </c>
      <c r="D172" t="s">
        <v>541</v>
      </c>
      <c r="E172" t="s">
        <v>546</v>
      </c>
      <c r="F172" t="s">
        <v>550</v>
      </c>
      <c r="G172" t="s">
        <v>715</v>
      </c>
      <c r="H172" t="s">
        <v>1042</v>
      </c>
      <c r="I172">
        <v>7619</v>
      </c>
      <c r="J172">
        <v>0.12</v>
      </c>
      <c r="K172">
        <v>6704.72</v>
      </c>
      <c r="L172">
        <v>4279.21</v>
      </c>
      <c r="M172">
        <v>68</v>
      </c>
      <c r="N172">
        <v>2</v>
      </c>
      <c r="O172">
        <v>0.35</v>
      </c>
    </row>
    <row r="173" spans="1:15" x14ac:dyDescent="0.25">
      <c r="A173" t="s">
        <v>184</v>
      </c>
      <c r="B173" s="1">
        <v>45446</v>
      </c>
      <c r="C173" t="s">
        <v>537</v>
      </c>
      <c r="D173" t="s">
        <v>543</v>
      </c>
      <c r="E173" t="s">
        <v>546</v>
      </c>
      <c r="F173" t="s">
        <v>549</v>
      </c>
      <c r="G173" t="s">
        <v>716</v>
      </c>
      <c r="H173" t="s">
        <v>1042</v>
      </c>
      <c r="I173">
        <v>7652</v>
      </c>
      <c r="J173">
        <v>0.32</v>
      </c>
      <c r="K173">
        <v>5203.3599999999997</v>
      </c>
      <c r="L173">
        <v>4925.92</v>
      </c>
      <c r="M173">
        <v>131</v>
      </c>
      <c r="N173">
        <v>2</v>
      </c>
      <c r="O173">
        <v>0.43</v>
      </c>
    </row>
    <row r="174" spans="1:15" x14ac:dyDescent="0.25">
      <c r="A174" t="s">
        <v>185</v>
      </c>
      <c r="B174" s="1">
        <v>45428</v>
      </c>
      <c r="C174" t="s">
        <v>535</v>
      </c>
      <c r="D174" t="s">
        <v>540</v>
      </c>
      <c r="E174" t="s">
        <v>545</v>
      </c>
      <c r="F174" t="s">
        <v>550</v>
      </c>
      <c r="G174" t="s">
        <v>717</v>
      </c>
      <c r="H174" t="s">
        <v>1043</v>
      </c>
      <c r="I174">
        <v>2758</v>
      </c>
      <c r="J174">
        <v>0.34</v>
      </c>
      <c r="K174">
        <v>1820.28</v>
      </c>
      <c r="L174">
        <v>1860.15</v>
      </c>
      <c r="M174">
        <v>144</v>
      </c>
      <c r="N174">
        <v>3</v>
      </c>
      <c r="O174">
        <v>0.39</v>
      </c>
    </row>
    <row r="175" spans="1:15" x14ac:dyDescent="0.25">
      <c r="A175" t="s">
        <v>186</v>
      </c>
      <c r="B175" s="1">
        <v>45353</v>
      </c>
      <c r="C175" t="s">
        <v>537</v>
      </c>
      <c r="D175" t="s">
        <v>543</v>
      </c>
      <c r="E175" t="s">
        <v>546</v>
      </c>
      <c r="F175" t="s">
        <v>548</v>
      </c>
      <c r="G175" t="s">
        <v>718</v>
      </c>
      <c r="H175" t="s">
        <v>1042</v>
      </c>
      <c r="I175">
        <v>3918</v>
      </c>
      <c r="J175">
        <v>0.27</v>
      </c>
      <c r="K175">
        <v>2860.14</v>
      </c>
      <c r="L175">
        <v>1889.98</v>
      </c>
      <c r="M175">
        <v>189</v>
      </c>
      <c r="N175">
        <v>3</v>
      </c>
      <c r="O175">
        <v>0.44</v>
      </c>
    </row>
    <row r="176" spans="1:15" x14ac:dyDescent="0.25">
      <c r="A176" t="s">
        <v>187</v>
      </c>
      <c r="B176" s="1">
        <v>45456</v>
      </c>
      <c r="C176" t="s">
        <v>536</v>
      </c>
      <c r="D176" t="s">
        <v>539</v>
      </c>
      <c r="E176" t="s">
        <v>546</v>
      </c>
      <c r="F176" t="s">
        <v>549</v>
      </c>
      <c r="G176" t="s">
        <v>719</v>
      </c>
      <c r="H176" t="s">
        <v>1043</v>
      </c>
      <c r="I176">
        <v>3804</v>
      </c>
      <c r="J176">
        <v>0.28000000000000003</v>
      </c>
      <c r="K176">
        <v>2738.88</v>
      </c>
      <c r="L176">
        <v>2560.1999999999998</v>
      </c>
      <c r="M176">
        <v>12</v>
      </c>
      <c r="N176">
        <v>3</v>
      </c>
      <c r="O176">
        <v>0.3</v>
      </c>
    </row>
    <row r="177" spans="1:15" x14ac:dyDescent="0.25">
      <c r="A177" t="s">
        <v>188</v>
      </c>
      <c r="B177" s="1">
        <v>45342</v>
      </c>
      <c r="C177" t="s">
        <v>535</v>
      </c>
      <c r="D177" t="s">
        <v>538</v>
      </c>
      <c r="E177" t="s">
        <v>546</v>
      </c>
      <c r="F177" t="s">
        <v>548</v>
      </c>
      <c r="G177" t="s">
        <v>720</v>
      </c>
      <c r="H177" t="s">
        <v>1045</v>
      </c>
      <c r="I177">
        <v>7345</v>
      </c>
      <c r="J177">
        <v>0.18</v>
      </c>
      <c r="K177">
        <v>6022.9</v>
      </c>
      <c r="L177">
        <v>3659.68</v>
      </c>
      <c r="M177">
        <v>195</v>
      </c>
      <c r="N177">
        <v>1</v>
      </c>
      <c r="O177">
        <v>0.41</v>
      </c>
    </row>
    <row r="178" spans="1:15" x14ac:dyDescent="0.25">
      <c r="A178" t="s">
        <v>189</v>
      </c>
      <c r="B178" s="1">
        <v>45463</v>
      </c>
      <c r="C178" t="s">
        <v>535</v>
      </c>
      <c r="D178" t="s">
        <v>538</v>
      </c>
      <c r="E178" t="s">
        <v>546</v>
      </c>
      <c r="F178" t="s">
        <v>549</v>
      </c>
      <c r="G178" t="s">
        <v>721</v>
      </c>
      <c r="H178" t="s">
        <v>1042</v>
      </c>
      <c r="I178">
        <v>5019</v>
      </c>
      <c r="J178">
        <v>0.25</v>
      </c>
      <c r="K178">
        <v>3764.25</v>
      </c>
      <c r="L178">
        <v>2726.72</v>
      </c>
      <c r="M178">
        <v>158</v>
      </c>
      <c r="N178">
        <v>2</v>
      </c>
      <c r="O178">
        <v>0.38</v>
      </c>
    </row>
    <row r="179" spans="1:15" x14ac:dyDescent="0.25">
      <c r="A179" t="s">
        <v>190</v>
      </c>
      <c r="B179" s="1">
        <v>45443</v>
      </c>
      <c r="C179" t="s">
        <v>535</v>
      </c>
      <c r="D179" t="s">
        <v>538</v>
      </c>
      <c r="E179" t="s">
        <v>546</v>
      </c>
      <c r="F179" t="s">
        <v>547</v>
      </c>
      <c r="G179" t="s">
        <v>722</v>
      </c>
      <c r="H179" t="s">
        <v>1042</v>
      </c>
      <c r="I179">
        <v>6791</v>
      </c>
      <c r="J179">
        <v>0.3</v>
      </c>
      <c r="K179">
        <v>4753.7</v>
      </c>
      <c r="L179">
        <v>4767.21</v>
      </c>
      <c r="M179">
        <v>21</v>
      </c>
      <c r="N179">
        <v>1</v>
      </c>
      <c r="O179">
        <v>0.28000000000000003</v>
      </c>
    </row>
    <row r="180" spans="1:15" x14ac:dyDescent="0.25">
      <c r="A180" t="s">
        <v>191</v>
      </c>
      <c r="B180" s="1">
        <v>45350</v>
      </c>
      <c r="C180" t="s">
        <v>537</v>
      </c>
      <c r="D180" t="s">
        <v>542</v>
      </c>
      <c r="E180" t="s">
        <v>545</v>
      </c>
      <c r="F180" t="s">
        <v>547</v>
      </c>
      <c r="G180" t="s">
        <v>723</v>
      </c>
      <c r="H180" t="s">
        <v>1042</v>
      </c>
      <c r="I180">
        <v>1828</v>
      </c>
      <c r="J180">
        <v>0.3</v>
      </c>
      <c r="K180">
        <v>1279.5999999999999</v>
      </c>
      <c r="L180">
        <v>1080.52</v>
      </c>
      <c r="M180">
        <v>110</v>
      </c>
      <c r="N180">
        <v>2</v>
      </c>
      <c r="O180">
        <v>0.34</v>
      </c>
    </row>
    <row r="181" spans="1:15" x14ac:dyDescent="0.25">
      <c r="A181" t="s">
        <v>192</v>
      </c>
      <c r="B181" s="1">
        <v>45409</v>
      </c>
      <c r="C181" t="s">
        <v>537</v>
      </c>
      <c r="D181" t="s">
        <v>543</v>
      </c>
      <c r="E181" t="s">
        <v>546</v>
      </c>
      <c r="F181" t="s">
        <v>548</v>
      </c>
      <c r="G181" t="s">
        <v>724</v>
      </c>
      <c r="H181" t="s">
        <v>1043</v>
      </c>
      <c r="I181">
        <v>5638</v>
      </c>
      <c r="J181">
        <v>0.05</v>
      </c>
      <c r="K181">
        <v>5356.1</v>
      </c>
      <c r="L181">
        <v>2838.8</v>
      </c>
      <c r="M181">
        <v>47</v>
      </c>
      <c r="N181">
        <v>2</v>
      </c>
      <c r="O181">
        <v>0.34</v>
      </c>
    </row>
    <row r="182" spans="1:15" x14ac:dyDescent="0.25">
      <c r="A182" t="s">
        <v>193</v>
      </c>
      <c r="B182" s="1">
        <v>45451</v>
      </c>
      <c r="C182" t="s">
        <v>535</v>
      </c>
      <c r="D182" t="s">
        <v>538</v>
      </c>
      <c r="E182" t="s">
        <v>546</v>
      </c>
      <c r="F182" t="s">
        <v>547</v>
      </c>
      <c r="G182" t="s">
        <v>725</v>
      </c>
      <c r="H182" t="s">
        <v>1042</v>
      </c>
      <c r="I182">
        <v>3342</v>
      </c>
      <c r="J182">
        <v>0.24</v>
      </c>
      <c r="K182">
        <v>2539.92</v>
      </c>
      <c r="L182">
        <v>1568.92</v>
      </c>
      <c r="M182">
        <v>89</v>
      </c>
      <c r="N182">
        <v>2</v>
      </c>
      <c r="O182">
        <v>0.38</v>
      </c>
    </row>
    <row r="183" spans="1:15" x14ac:dyDescent="0.25">
      <c r="A183" t="s">
        <v>194</v>
      </c>
      <c r="B183" s="1">
        <v>45387</v>
      </c>
      <c r="C183" t="s">
        <v>537</v>
      </c>
      <c r="D183" t="s">
        <v>543</v>
      </c>
      <c r="E183" t="s">
        <v>545</v>
      </c>
      <c r="F183" t="s">
        <v>550</v>
      </c>
      <c r="G183" t="s">
        <v>726</v>
      </c>
      <c r="H183" t="s">
        <v>1044</v>
      </c>
      <c r="I183">
        <v>3309</v>
      </c>
      <c r="J183">
        <v>0.3</v>
      </c>
      <c r="K183">
        <v>2316.3000000000002</v>
      </c>
      <c r="L183">
        <v>1983.67</v>
      </c>
      <c r="M183">
        <v>119</v>
      </c>
      <c r="N183">
        <v>3</v>
      </c>
      <c r="O183">
        <v>0.28999999999999998</v>
      </c>
    </row>
    <row r="184" spans="1:15" x14ac:dyDescent="0.25">
      <c r="A184" t="s">
        <v>195</v>
      </c>
      <c r="B184" s="1">
        <v>45471</v>
      </c>
      <c r="C184" t="s">
        <v>537</v>
      </c>
      <c r="D184" t="s">
        <v>543</v>
      </c>
      <c r="E184" t="s">
        <v>546</v>
      </c>
      <c r="F184" t="s">
        <v>550</v>
      </c>
      <c r="G184" t="s">
        <v>727</v>
      </c>
      <c r="H184" t="s">
        <v>1042</v>
      </c>
      <c r="I184">
        <v>7921</v>
      </c>
      <c r="J184">
        <v>0.21</v>
      </c>
      <c r="K184">
        <v>6257.59</v>
      </c>
      <c r="L184">
        <v>4451.91</v>
      </c>
      <c r="M184">
        <v>103</v>
      </c>
      <c r="N184">
        <v>3</v>
      </c>
      <c r="O184">
        <v>0.41</v>
      </c>
    </row>
    <row r="185" spans="1:15" x14ac:dyDescent="0.25">
      <c r="A185" t="s">
        <v>196</v>
      </c>
      <c r="B185" s="1">
        <v>45404</v>
      </c>
      <c r="C185" t="s">
        <v>537</v>
      </c>
      <c r="D185" t="s">
        <v>541</v>
      </c>
      <c r="E185" t="s">
        <v>546</v>
      </c>
      <c r="F185" t="s">
        <v>549</v>
      </c>
      <c r="G185" t="s">
        <v>668</v>
      </c>
      <c r="H185" t="s">
        <v>1042</v>
      </c>
      <c r="I185">
        <v>2860</v>
      </c>
      <c r="J185">
        <v>0.28000000000000003</v>
      </c>
      <c r="K185">
        <v>2059.1999999999998</v>
      </c>
      <c r="L185">
        <v>1916.44</v>
      </c>
      <c r="M185">
        <v>127</v>
      </c>
      <c r="N185">
        <v>1</v>
      </c>
      <c r="O185">
        <v>0.31</v>
      </c>
    </row>
    <row r="186" spans="1:15" x14ac:dyDescent="0.25">
      <c r="A186" t="s">
        <v>197</v>
      </c>
      <c r="B186" s="1">
        <v>45353</v>
      </c>
      <c r="C186" t="s">
        <v>536</v>
      </c>
      <c r="D186" t="s">
        <v>539</v>
      </c>
      <c r="E186" t="s">
        <v>546</v>
      </c>
      <c r="F186" t="s">
        <v>548</v>
      </c>
      <c r="G186" t="s">
        <v>728</v>
      </c>
      <c r="H186" t="s">
        <v>1043</v>
      </c>
      <c r="I186">
        <v>2221</v>
      </c>
      <c r="J186">
        <v>0.17</v>
      </c>
      <c r="K186">
        <v>1843.43</v>
      </c>
      <c r="L186">
        <v>1380.49</v>
      </c>
      <c r="M186">
        <v>153</v>
      </c>
      <c r="N186">
        <v>1</v>
      </c>
      <c r="O186">
        <v>0.31</v>
      </c>
    </row>
    <row r="187" spans="1:15" x14ac:dyDescent="0.25">
      <c r="A187" t="s">
        <v>198</v>
      </c>
      <c r="B187" s="1">
        <v>45343</v>
      </c>
      <c r="C187" t="s">
        <v>537</v>
      </c>
      <c r="D187" t="s">
        <v>543</v>
      </c>
      <c r="E187" t="s">
        <v>546</v>
      </c>
      <c r="F187" t="s">
        <v>548</v>
      </c>
      <c r="G187" t="s">
        <v>729</v>
      </c>
      <c r="H187" t="s">
        <v>1045</v>
      </c>
      <c r="I187">
        <v>1935</v>
      </c>
      <c r="J187">
        <v>0.3</v>
      </c>
      <c r="K187">
        <v>1354.5</v>
      </c>
      <c r="L187">
        <v>1029.27</v>
      </c>
      <c r="M187">
        <v>90</v>
      </c>
      <c r="N187">
        <v>3</v>
      </c>
      <c r="O187">
        <v>0.33</v>
      </c>
    </row>
    <row r="188" spans="1:15" x14ac:dyDescent="0.25">
      <c r="A188" t="s">
        <v>199</v>
      </c>
      <c r="B188" s="1">
        <v>45303</v>
      </c>
      <c r="C188" t="s">
        <v>536</v>
      </c>
      <c r="D188" t="s">
        <v>544</v>
      </c>
      <c r="E188" t="s">
        <v>546</v>
      </c>
      <c r="F188" t="s">
        <v>548</v>
      </c>
      <c r="G188" t="s">
        <v>730</v>
      </c>
      <c r="H188" t="s">
        <v>1044</v>
      </c>
      <c r="I188">
        <v>4726</v>
      </c>
      <c r="J188">
        <v>0.3</v>
      </c>
      <c r="K188">
        <v>3308.2</v>
      </c>
      <c r="L188">
        <v>2390.5500000000002</v>
      </c>
      <c r="M188">
        <v>58</v>
      </c>
      <c r="N188">
        <v>1</v>
      </c>
      <c r="O188">
        <v>0.36</v>
      </c>
    </row>
    <row r="189" spans="1:15" x14ac:dyDescent="0.25">
      <c r="A189" t="s">
        <v>200</v>
      </c>
      <c r="B189" s="1">
        <v>45330</v>
      </c>
      <c r="C189" t="s">
        <v>537</v>
      </c>
      <c r="D189" t="s">
        <v>543</v>
      </c>
      <c r="E189" t="s">
        <v>546</v>
      </c>
      <c r="F189" t="s">
        <v>549</v>
      </c>
      <c r="G189" t="s">
        <v>731</v>
      </c>
      <c r="H189" t="s">
        <v>1044</v>
      </c>
      <c r="I189">
        <v>5155</v>
      </c>
      <c r="J189">
        <v>0.32</v>
      </c>
      <c r="K189">
        <v>3505.4</v>
      </c>
      <c r="L189">
        <v>3526.35</v>
      </c>
      <c r="M189">
        <v>109</v>
      </c>
      <c r="N189">
        <v>2</v>
      </c>
      <c r="O189">
        <v>0.28999999999999998</v>
      </c>
    </row>
    <row r="190" spans="1:15" x14ac:dyDescent="0.25">
      <c r="A190" t="s">
        <v>201</v>
      </c>
      <c r="B190" s="1">
        <v>45421</v>
      </c>
      <c r="C190" t="s">
        <v>535</v>
      </c>
      <c r="D190" t="s">
        <v>540</v>
      </c>
      <c r="E190" t="s">
        <v>545</v>
      </c>
      <c r="F190" t="s">
        <v>549</v>
      </c>
      <c r="G190" t="s">
        <v>664</v>
      </c>
      <c r="H190" t="s">
        <v>1042</v>
      </c>
      <c r="I190">
        <v>6918</v>
      </c>
      <c r="J190">
        <v>7.0000000000000007E-2</v>
      </c>
      <c r="K190">
        <v>6433.74</v>
      </c>
      <c r="L190">
        <v>3231.51</v>
      </c>
      <c r="M190">
        <v>167</v>
      </c>
      <c r="N190">
        <v>2</v>
      </c>
      <c r="O190">
        <v>0.32</v>
      </c>
    </row>
    <row r="191" spans="1:15" x14ac:dyDescent="0.25">
      <c r="A191" t="s">
        <v>202</v>
      </c>
      <c r="B191" s="1">
        <v>45422</v>
      </c>
      <c r="C191" t="s">
        <v>536</v>
      </c>
      <c r="D191" t="s">
        <v>544</v>
      </c>
      <c r="E191" t="s">
        <v>546</v>
      </c>
      <c r="F191" t="s">
        <v>550</v>
      </c>
      <c r="G191" t="s">
        <v>732</v>
      </c>
      <c r="H191" t="s">
        <v>1042</v>
      </c>
      <c r="I191">
        <v>3521</v>
      </c>
      <c r="J191">
        <v>0.28000000000000003</v>
      </c>
      <c r="K191">
        <v>2535.12</v>
      </c>
      <c r="L191">
        <v>2059.5100000000002</v>
      </c>
      <c r="M191">
        <v>79</v>
      </c>
      <c r="N191">
        <v>1</v>
      </c>
      <c r="O191">
        <v>0.36</v>
      </c>
    </row>
    <row r="192" spans="1:15" x14ac:dyDescent="0.25">
      <c r="A192" t="s">
        <v>203</v>
      </c>
      <c r="B192" s="1">
        <v>45404</v>
      </c>
      <c r="C192" t="s">
        <v>536</v>
      </c>
      <c r="D192" t="s">
        <v>544</v>
      </c>
      <c r="E192" t="s">
        <v>545</v>
      </c>
      <c r="F192" t="s">
        <v>550</v>
      </c>
      <c r="G192" t="s">
        <v>705</v>
      </c>
      <c r="H192" t="s">
        <v>1045</v>
      </c>
      <c r="I192">
        <v>7750</v>
      </c>
      <c r="J192">
        <v>0.21</v>
      </c>
      <c r="K192">
        <v>6122.5</v>
      </c>
      <c r="L192">
        <v>4443.3</v>
      </c>
      <c r="M192">
        <v>16</v>
      </c>
      <c r="N192">
        <v>2</v>
      </c>
      <c r="O192">
        <v>0.43</v>
      </c>
    </row>
    <row r="193" spans="1:15" x14ac:dyDescent="0.25">
      <c r="A193" t="s">
        <v>204</v>
      </c>
      <c r="B193" s="1">
        <v>45392</v>
      </c>
      <c r="C193" t="s">
        <v>536</v>
      </c>
      <c r="D193" t="s">
        <v>544</v>
      </c>
      <c r="E193" t="s">
        <v>546</v>
      </c>
      <c r="F193" t="s">
        <v>549</v>
      </c>
      <c r="G193" t="s">
        <v>733</v>
      </c>
      <c r="H193" t="s">
        <v>1044</v>
      </c>
      <c r="I193">
        <v>1499</v>
      </c>
      <c r="J193">
        <v>0.3</v>
      </c>
      <c r="K193">
        <v>1049.3</v>
      </c>
      <c r="L193">
        <v>1028.78</v>
      </c>
      <c r="M193">
        <v>151</v>
      </c>
      <c r="N193">
        <v>1</v>
      </c>
      <c r="O193">
        <v>0.36</v>
      </c>
    </row>
    <row r="194" spans="1:15" x14ac:dyDescent="0.25">
      <c r="A194" t="s">
        <v>205</v>
      </c>
      <c r="B194" s="1">
        <v>45404</v>
      </c>
      <c r="C194" t="s">
        <v>537</v>
      </c>
      <c r="D194" t="s">
        <v>542</v>
      </c>
      <c r="E194" t="s">
        <v>545</v>
      </c>
      <c r="F194" t="s">
        <v>548</v>
      </c>
      <c r="G194" t="s">
        <v>734</v>
      </c>
      <c r="H194" t="s">
        <v>1045</v>
      </c>
      <c r="I194">
        <v>7177</v>
      </c>
      <c r="J194">
        <v>0.15</v>
      </c>
      <c r="K194">
        <v>6100.45</v>
      </c>
      <c r="L194">
        <v>3894.31</v>
      </c>
      <c r="M194">
        <v>94</v>
      </c>
      <c r="N194">
        <v>1</v>
      </c>
      <c r="O194">
        <v>0.31</v>
      </c>
    </row>
    <row r="195" spans="1:15" x14ac:dyDescent="0.25">
      <c r="A195" t="s">
        <v>206</v>
      </c>
      <c r="B195" s="1">
        <v>45372</v>
      </c>
      <c r="C195" t="s">
        <v>537</v>
      </c>
      <c r="D195" t="s">
        <v>542</v>
      </c>
      <c r="E195" t="s">
        <v>546</v>
      </c>
      <c r="F195" t="s">
        <v>549</v>
      </c>
      <c r="G195" t="s">
        <v>735</v>
      </c>
      <c r="H195" t="s">
        <v>1045</v>
      </c>
      <c r="I195">
        <v>6520</v>
      </c>
      <c r="J195">
        <v>0.26</v>
      </c>
      <c r="K195">
        <v>4824.8</v>
      </c>
      <c r="L195">
        <v>4000.23</v>
      </c>
      <c r="M195">
        <v>161</v>
      </c>
      <c r="N195">
        <v>1</v>
      </c>
      <c r="O195">
        <v>0.32</v>
      </c>
    </row>
    <row r="196" spans="1:15" x14ac:dyDescent="0.25">
      <c r="A196" t="s">
        <v>207</v>
      </c>
      <c r="B196" s="1">
        <v>45404</v>
      </c>
      <c r="C196" t="s">
        <v>537</v>
      </c>
      <c r="D196" t="s">
        <v>541</v>
      </c>
      <c r="E196" t="s">
        <v>545</v>
      </c>
      <c r="F196" t="s">
        <v>547</v>
      </c>
      <c r="G196" t="s">
        <v>736</v>
      </c>
      <c r="H196" t="s">
        <v>1045</v>
      </c>
      <c r="I196">
        <v>4674</v>
      </c>
      <c r="J196">
        <v>0.23</v>
      </c>
      <c r="K196">
        <v>3598.98</v>
      </c>
      <c r="L196">
        <v>2420.4</v>
      </c>
      <c r="M196">
        <v>107</v>
      </c>
      <c r="N196">
        <v>1</v>
      </c>
      <c r="O196">
        <v>0.35</v>
      </c>
    </row>
    <row r="197" spans="1:15" x14ac:dyDescent="0.25">
      <c r="A197" t="s">
        <v>208</v>
      </c>
      <c r="B197" s="1">
        <v>45293</v>
      </c>
      <c r="C197" t="s">
        <v>537</v>
      </c>
      <c r="D197" t="s">
        <v>543</v>
      </c>
      <c r="E197" t="s">
        <v>546</v>
      </c>
      <c r="F197" t="s">
        <v>549</v>
      </c>
      <c r="G197" t="s">
        <v>737</v>
      </c>
      <c r="H197" t="s">
        <v>1043</v>
      </c>
      <c r="I197">
        <v>147</v>
      </c>
      <c r="J197">
        <v>0.31</v>
      </c>
      <c r="K197">
        <v>101.43</v>
      </c>
      <c r="L197">
        <v>86.44</v>
      </c>
      <c r="M197">
        <v>176</v>
      </c>
      <c r="N197">
        <v>2</v>
      </c>
      <c r="O197">
        <v>0.33</v>
      </c>
    </row>
    <row r="198" spans="1:15" x14ac:dyDescent="0.25">
      <c r="A198" t="s">
        <v>209</v>
      </c>
      <c r="B198" s="1">
        <v>45421</v>
      </c>
      <c r="C198" t="s">
        <v>536</v>
      </c>
      <c r="D198" t="s">
        <v>544</v>
      </c>
      <c r="E198" t="s">
        <v>546</v>
      </c>
      <c r="F198" t="s">
        <v>548</v>
      </c>
      <c r="G198" t="s">
        <v>738</v>
      </c>
      <c r="H198" t="s">
        <v>1044</v>
      </c>
      <c r="I198">
        <v>2658</v>
      </c>
      <c r="J198">
        <v>0.11</v>
      </c>
      <c r="K198">
        <v>2365.62</v>
      </c>
      <c r="L198">
        <v>1402.32</v>
      </c>
      <c r="M198">
        <v>29</v>
      </c>
      <c r="N198">
        <v>2</v>
      </c>
      <c r="O198">
        <v>0.34</v>
      </c>
    </row>
    <row r="199" spans="1:15" x14ac:dyDescent="0.25">
      <c r="A199" t="s">
        <v>210</v>
      </c>
      <c r="B199" s="1">
        <v>45345</v>
      </c>
      <c r="C199" t="s">
        <v>537</v>
      </c>
      <c r="D199" t="s">
        <v>541</v>
      </c>
      <c r="E199" t="s">
        <v>546</v>
      </c>
      <c r="F199" t="s">
        <v>549</v>
      </c>
      <c r="G199" t="s">
        <v>739</v>
      </c>
      <c r="H199" t="s">
        <v>1044</v>
      </c>
      <c r="I199">
        <v>1799</v>
      </c>
      <c r="J199">
        <v>0.1</v>
      </c>
      <c r="K199">
        <v>1619.1</v>
      </c>
      <c r="L199">
        <v>947.44</v>
      </c>
      <c r="M199">
        <v>134</v>
      </c>
      <c r="N199">
        <v>1</v>
      </c>
      <c r="O199">
        <v>0.38</v>
      </c>
    </row>
    <row r="200" spans="1:15" x14ac:dyDescent="0.25">
      <c r="A200" t="s">
        <v>211</v>
      </c>
      <c r="B200" s="1">
        <v>45378</v>
      </c>
      <c r="C200" t="s">
        <v>537</v>
      </c>
      <c r="D200" t="s">
        <v>542</v>
      </c>
      <c r="E200" t="s">
        <v>546</v>
      </c>
      <c r="F200" t="s">
        <v>548</v>
      </c>
      <c r="G200" t="s">
        <v>740</v>
      </c>
      <c r="H200" t="s">
        <v>1042</v>
      </c>
      <c r="I200">
        <v>5423</v>
      </c>
      <c r="J200">
        <v>0.15</v>
      </c>
      <c r="K200">
        <v>4609.55</v>
      </c>
      <c r="L200">
        <v>2899.84</v>
      </c>
      <c r="M200">
        <v>51</v>
      </c>
      <c r="N200">
        <v>3</v>
      </c>
      <c r="O200">
        <v>0.3</v>
      </c>
    </row>
    <row r="201" spans="1:15" x14ac:dyDescent="0.25">
      <c r="A201" t="s">
        <v>212</v>
      </c>
      <c r="B201" s="1">
        <v>45420</v>
      </c>
      <c r="C201" t="s">
        <v>536</v>
      </c>
      <c r="D201" t="s">
        <v>539</v>
      </c>
      <c r="E201" t="s">
        <v>546</v>
      </c>
      <c r="F201" t="s">
        <v>548</v>
      </c>
      <c r="G201" t="s">
        <v>741</v>
      </c>
      <c r="H201" t="s">
        <v>1044</v>
      </c>
      <c r="I201">
        <v>6902</v>
      </c>
      <c r="J201">
        <v>0.34</v>
      </c>
      <c r="K201">
        <v>4555.32</v>
      </c>
      <c r="L201">
        <v>3527.82</v>
      </c>
      <c r="M201">
        <v>83</v>
      </c>
      <c r="N201">
        <v>1</v>
      </c>
      <c r="O201">
        <v>0.38</v>
      </c>
    </row>
    <row r="202" spans="1:15" x14ac:dyDescent="0.25">
      <c r="A202" t="s">
        <v>213</v>
      </c>
      <c r="B202" s="1">
        <v>45438</v>
      </c>
      <c r="C202" t="s">
        <v>536</v>
      </c>
      <c r="D202" t="s">
        <v>539</v>
      </c>
      <c r="E202" t="s">
        <v>546</v>
      </c>
      <c r="F202" t="s">
        <v>548</v>
      </c>
      <c r="G202" t="s">
        <v>742</v>
      </c>
      <c r="H202" t="s">
        <v>1043</v>
      </c>
      <c r="I202">
        <v>5273</v>
      </c>
      <c r="J202">
        <v>0.21</v>
      </c>
      <c r="K202">
        <v>4165.67</v>
      </c>
      <c r="L202">
        <v>3080.91</v>
      </c>
      <c r="M202">
        <v>21</v>
      </c>
      <c r="N202">
        <v>2</v>
      </c>
      <c r="O202">
        <v>0.33</v>
      </c>
    </row>
    <row r="203" spans="1:15" x14ac:dyDescent="0.25">
      <c r="A203" t="s">
        <v>214</v>
      </c>
      <c r="B203" s="1">
        <v>45417</v>
      </c>
      <c r="C203" t="s">
        <v>535</v>
      </c>
      <c r="D203" t="s">
        <v>540</v>
      </c>
      <c r="E203" t="s">
        <v>546</v>
      </c>
      <c r="F203" t="s">
        <v>548</v>
      </c>
      <c r="G203" t="s">
        <v>743</v>
      </c>
      <c r="H203" t="s">
        <v>1042</v>
      </c>
      <c r="I203">
        <v>6679</v>
      </c>
      <c r="J203">
        <v>0.09</v>
      </c>
      <c r="K203">
        <v>6077.89</v>
      </c>
      <c r="L203">
        <v>3410.33</v>
      </c>
      <c r="M203">
        <v>17</v>
      </c>
      <c r="N203">
        <v>1</v>
      </c>
      <c r="O203">
        <v>0.4</v>
      </c>
    </row>
    <row r="204" spans="1:15" x14ac:dyDescent="0.25">
      <c r="A204" t="s">
        <v>215</v>
      </c>
      <c r="B204" s="1">
        <v>45421</v>
      </c>
      <c r="C204" t="s">
        <v>536</v>
      </c>
      <c r="D204" t="s">
        <v>539</v>
      </c>
      <c r="E204" t="s">
        <v>545</v>
      </c>
      <c r="F204" t="s">
        <v>549</v>
      </c>
      <c r="G204" t="s">
        <v>744</v>
      </c>
      <c r="H204" t="s">
        <v>1043</v>
      </c>
      <c r="I204">
        <v>1831</v>
      </c>
      <c r="J204">
        <v>0.31</v>
      </c>
      <c r="K204">
        <v>1263.3900000000001</v>
      </c>
      <c r="L204">
        <v>888.57</v>
      </c>
      <c r="M204">
        <v>148</v>
      </c>
      <c r="N204">
        <v>2</v>
      </c>
      <c r="O204">
        <v>0.33</v>
      </c>
    </row>
    <row r="205" spans="1:15" x14ac:dyDescent="0.25">
      <c r="A205" t="s">
        <v>216</v>
      </c>
      <c r="B205" s="1">
        <v>45344</v>
      </c>
      <c r="C205" t="s">
        <v>536</v>
      </c>
      <c r="D205" t="s">
        <v>539</v>
      </c>
      <c r="E205" t="s">
        <v>546</v>
      </c>
      <c r="F205" t="s">
        <v>548</v>
      </c>
      <c r="G205" t="s">
        <v>745</v>
      </c>
      <c r="H205" t="s">
        <v>1043</v>
      </c>
      <c r="I205">
        <v>4414</v>
      </c>
      <c r="J205">
        <v>0.15</v>
      </c>
      <c r="K205">
        <v>3751.9</v>
      </c>
      <c r="L205">
        <v>3306.63</v>
      </c>
      <c r="M205">
        <v>68</v>
      </c>
      <c r="N205">
        <v>3</v>
      </c>
      <c r="O205">
        <v>0.3</v>
      </c>
    </row>
    <row r="206" spans="1:15" x14ac:dyDescent="0.25">
      <c r="A206" t="s">
        <v>217</v>
      </c>
      <c r="B206" s="1">
        <v>45463</v>
      </c>
      <c r="C206" t="s">
        <v>535</v>
      </c>
      <c r="D206" t="s">
        <v>540</v>
      </c>
      <c r="E206" t="s">
        <v>546</v>
      </c>
      <c r="F206" t="s">
        <v>547</v>
      </c>
      <c r="G206" t="s">
        <v>746</v>
      </c>
      <c r="H206" t="s">
        <v>1042</v>
      </c>
      <c r="I206">
        <v>5075</v>
      </c>
      <c r="J206">
        <v>0.11</v>
      </c>
      <c r="K206">
        <v>4516.75</v>
      </c>
      <c r="L206">
        <v>2860.82</v>
      </c>
      <c r="M206">
        <v>198</v>
      </c>
      <c r="N206">
        <v>1</v>
      </c>
      <c r="O206">
        <v>0.33</v>
      </c>
    </row>
    <row r="207" spans="1:15" x14ac:dyDescent="0.25">
      <c r="A207" t="s">
        <v>218</v>
      </c>
      <c r="B207" s="1">
        <v>45451</v>
      </c>
      <c r="C207" t="s">
        <v>537</v>
      </c>
      <c r="D207" t="s">
        <v>543</v>
      </c>
      <c r="E207" t="s">
        <v>545</v>
      </c>
      <c r="F207" t="s">
        <v>548</v>
      </c>
      <c r="G207" t="s">
        <v>747</v>
      </c>
      <c r="H207" t="s">
        <v>1045</v>
      </c>
      <c r="I207">
        <v>5564</v>
      </c>
      <c r="J207">
        <v>0.32</v>
      </c>
      <c r="K207">
        <v>3783.52</v>
      </c>
      <c r="L207">
        <v>3591.56</v>
      </c>
      <c r="M207">
        <v>140</v>
      </c>
      <c r="N207">
        <v>2</v>
      </c>
      <c r="O207">
        <v>0.31</v>
      </c>
    </row>
    <row r="208" spans="1:15" x14ac:dyDescent="0.25">
      <c r="A208" t="s">
        <v>219</v>
      </c>
      <c r="B208" s="1">
        <v>45451</v>
      </c>
      <c r="C208" t="s">
        <v>537</v>
      </c>
      <c r="D208" t="s">
        <v>543</v>
      </c>
      <c r="E208" t="s">
        <v>546</v>
      </c>
      <c r="F208" t="s">
        <v>547</v>
      </c>
      <c r="G208" t="s">
        <v>748</v>
      </c>
      <c r="H208" t="s">
        <v>1042</v>
      </c>
      <c r="I208">
        <v>2643</v>
      </c>
      <c r="J208">
        <v>0.15</v>
      </c>
      <c r="K208">
        <v>2246.5500000000002</v>
      </c>
      <c r="L208">
        <v>1546.43</v>
      </c>
      <c r="M208">
        <v>67</v>
      </c>
      <c r="N208">
        <v>3</v>
      </c>
      <c r="O208">
        <v>0.39</v>
      </c>
    </row>
    <row r="209" spans="1:15" x14ac:dyDescent="0.25">
      <c r="A209" t="s">
        <v>220</v>
      </c>
      <c r="B209" s="1">
        <v>45359</v>
      </c>
      <c r="C209" t="s">
        <v>537</v>
      </c>
      <c r="D209" t="s">
        <v>542</v>
      </c>
      <c r="E209" t="s">
        <v>545</v>
      </c>
      <c r="F209" t="s">
        <v>547</v>
      </c>
      <c r="G209" t="s">
        <v>749</v>
      </c>
      <c r="H209" t="s">
        <v>1043</v>
      </c>
      <c r="I209">
        <v>980</v>
      </c>
      <c r="J209">
        <v>0.06</v>
      </c>
      <c r="K209">
        <v>921.2</v>
      </c>
      <c r="L209">
        <v>658.35</v>
      </c>
      <c r="M209">
        <v>171</v>
      </c>
      <c r="N209">
        <v>2</v>
      </c>
      <c r="O209">
        <v>0.33</v>
      </c>
    </row>
    <row r="210" spans="1:15" x14ac:dyDescent="0.25">
      <c r="A210" t="s">
        <v>221</v>
      </c>
      <c r="B210" s="1">
        <v>45414</v>
      </c>
      <c r="C210" t="s">
        <v>536</v>
      </c>
      <c r="D210" t="s">
        <v>539</v>
      </c>
      <c r="E210" t="s">
        <v>545</v>
      </c>
      <c r="F210" t="s">
        <v>550</v>
      </c>
      <c r="G210" t="s">
        <v>750</v>
      </c>
      <c r="H210" t="s">
        <v>1042</v>
      </c>
      <c r="I210">
        <v>6194</v>
      </c>
      <c r="J210">
        <v>0.3</v>
      </c>
      <c r="K210">
        <v>4335.8</v>
      </c>
      <c r="L210">
        <v>3306.25</v>
      </c>
      <c r="M210">
        <v>76</v>
      </c>
      <c r="N210">
        <v>2</v>
      </c>
      <c r="O210">
        <v>0.37</v>
      </c>
    </row>
    <row r="211" spans="1:15" x14ac:dyDescent="0.25">
      <c r="A211" t="s">
        <v>222</v>
      </c>
      <c r="B211" s="1">
        <v>45436</v>
      </c>
      <c r="C211" t="s">
        <v>536</v>
      </c>
      <c r="D211" t="s">
        <v>539</v>
      </c>
      <c r="E211" t="s">
        <v>546</v>
      </c>
      <c r="F211" t="s">
        <v>547</v>
      </c>
      <c r="G211" t="s">
        <v>751</v>
      </c>
      <c r="H211" t="s">
        <v>1045</v>
      </c>
      <c r="I211">
        <v>998</v>
      </c>
      <c r="J211">
        <v>0.25</v>
      </c>
      <c r="K211">
        <v>748.5</v>
      </c>
      <c r="L211">
        <v>730.03</v>
      </c>
      <c r="M211">
        <v>154</v>
      </c>
      <c r="N211">
        <v>3</v>
      </c>
      <c r="O211">
        <v>0.42</v>
      </c>
    </row>
    <row r="212" spans="1:15" x14ac:dyDescent="0.25">
      <c r="A212" t="s">
        <v>223</v>
      </c>
      <c r="B212" s="1">
        <v>45329</v>
      </c>
      <c r="C212" t="s">
        <v>535</v>
      </c>
      <c r="D212" t="s">
        <v>540</v>
      </c>
      <c r="E212" t="s">
        <v>545</v>
      </c>
      <c r="F212" t="s">
        <v>550</v>
      </c>
      <c r="G212" t="s">
        <v>752</v>
      </c>
      <c r="H212" t="s">
        <v>1043</v>
      </c>
      <c r="I212">
        <v>7468</v>
      </c>
      <c r="J212">
        <v>0.05</v>
      </c>
      <c r="K212">
        <v>7094.6</v>
      </c>
      <c r="L212">
        <v>3739.41</v>
      </c>
      <c r="M212">
        <v>107</v>
      </c>
      <c r="N212">
        <v>2</v>
      </c>
      <c r="O212">
        <v>0.36</v>
      </c>
    </row>
    <row r="213" spans="1:15" x14ac:dyDescent="0.25">
      <c r="A213" t="s">
        <v>224</v>
      </c>
      <c r="B213" s="1">
        <v>45315</v>
      </c>
      <c r="C213" t="s">
        <v>535</v>
      </c>
      <c r="D213" t="s">
        <v>538</v>
      </c>
      <c r="E213" t="s">
        <v>546</v>
      </c>
      <c r="F213" t="s">
        <v>550</v>
      </c>
      <c r="G213" t="s">
        <v>753</v>
      </c>
      <c r="H213" t="s">
        <v>1043</v>
      </c>
      <c r="I213">
        <v>6192</v>
      </c>
      <c r="J213">
        <v>0.08</v>
      </c>
      <c r="K213">
        <v>5696.64</v>
      </c>
      <c r="L213">
        <v>3571.33</v>
      </c>
      <c r="M213">
        <v>34</v>
      </c>
      <c r="N213">
        <v>2</v>
      </c>
      <c r="O213">
        <v>0.44</v>
      </c>
    </row>
    <row r="214" spans="1:15" x14ac:dyDescent="0.25">
      <c r="A214" t="s">
        <v>225</v>
      </c>
      <c r="B214" s="1">
        <v>45360</v>
      </c>
      <c r="C214" t="s">
        <v>537</v>
      </c>
      <c r="D214" t="s">
        <v>542</v>
      </c>
      <c r="E214" t="s">
        <v>545</v>
      </c>
      <c r="F214" t="s">
        <v>548</v>
      </c>
      <c r="G214" t="s">
        <v>754</v>
      </c>
      <c r="H214" t="s">
        <v>1044</v>
      </c>
      <c r="I214">
        <v>1499</v>
      </c>
      <c r="J214">
        <v>0.26</v>
      </c>
      <c r="K214">
        <v>1109.26</v>
      </c>
      <c r="L214">
        <v>1052.06</v>
      </c>
      <c r="M214">
        <v>182</v>
      </c>
      <c r="N214">
        <v>3</v>
      </c>
      <c r="O214">
        <v>0.39</v>
      </c>
    </row>
    <row r="215" spans="1:15" x14ac:dyDescent="0.25">
      <c r="A215" t="s">
        <v>226</v>
      </c>
      <c r="B215" s="1">
        <v>45407</v>
      </c>
      <c r="C215" t="s">
        <v>536</v>
      </c>
      <c r="D215" t="s">
        <v>544</v>
      </c>
      <c r="E215" t="s">
        <v>546</v>
      </c>
      <c r="F215" t="s">
        <v>548</v>
      </c>
      <c r="G215" t="s">
        <v>755</v>
      </c>
      <c r="H215" t="s">
        <v>1044</v>
      </c>
      <c r="I215">
        <v>3040</v>
      </c>
      <c r="J215">
        <v>0.18</v>
      </c>
      <c r="K215">
        <v>2492.8000000000002</v>
      </c>
      <c r="L215">
        <v>1567.22</v>
      </c>
      <c r="M215">
        <v>190</v>
      </c>
      <c r="N215">
        <v>1</v>
      </c>
      <c r="O215">
        <v>0.28999999999999998</v>
      </c>
    </row>
    <row r="216" spans="1:15" x14ac:dyDescent="0.25">
      <c r="A216" t="s">
        <v>227</v>
      </c>
      <c r="B216" s="1">
        <v>45389</v>
      </c>
      <c r="C216" t="s">
        <v>537</v>
      </c>
      <c r="D216" t="s">
        <v>542</v>
      </c>
      <c r="E216" t="s">
        <v>546</v>
      </c>
      <c r="F216" t="s">
        <v>549</v>
      </c>
      <c r="G216" t="s">
        <v>756</v>
      </c>
      <c r="H216" t="s">
        <v>1042</v>
      </c>
      <c r="I216">
        <v>6282</v>
      </c>
      <c r="J216">
        <v>0.3</v>
      </c>
      <c r="K216">
        <v>4397.3999999999996</v>
      </c>
      <c r="L216">
        <v>2966.81</v>
      </c>
      <c r="M216">
        <v>196</v>
      </c>
      <c r="N216">
        <v>2</v>
      </c>
      <c r="O216">
        <v>0.41</v>
      </c>
    </row>
    <row r="217" spans="1:15" x14ac:dyDescent="0.25">
      <c r="A217" t="s">
        <v>228</v>
      </c>
      <c r="B217" s="1">
        <v>45430</v>
      </c>
      <c r="C217" t="s">
        <v>536</v>
      </c>
      <c r="D217" t="s">
        <v>544</v>
      </c>
      <c r="E217" t="s">
        <v>545</v>
      </c>
      <c r="F217" t="s">
        <v>549</v>
      </c>
      <c r="G217" t="s">
        <v>757</v>
      </c>
      <c r="H217" t="s">
        <v>1045</v>
      </c>
      <c r="I217">
        <v>7854</v>
      </c>
      <c r="J217">
        <v>0.23</v>
      </c>
      <c r="K217">
        <v>6047.58</v>
      </c>
      <c r="L217">
        <v>5636.74</v>
      </c>
      <c r="M217">
        <v>136</v>
      </c>
      <c r="N217">
        <v>3</v>
      </c>
      <c r="O217">
        <v>0.28999999999999998</v>
      </c>
    </row>
    <row r="218" spans="1:15" x14ac:dyDescent="0.25">
      <c r="A218" t="s">
        <v>229</v>
      </c>
      <c r="B218" s="1">
        <v>45435</v>
      </c>
      <c r="C218" t="s">
        <v>537</v>
      </c>
      <c r="D218" t="s">
        <v>542</v>
      </c>
      <c r="E218" t="s">
        <v>546</v>
      </c>
      <c r="F218" t="s">
        <v>549</v>
      </c>
      <c r="G218" t="s">
        <v>758</v>
      </c>
      <c r="H218" t="s">
        <v>1044</v>
      </c>
      <c r="I218">
        <v>828</v>
      </c>
      <c r="J218">
        <v>0.35</v>
      </c>
      <c r="K218">
        <v>538.20000000000005</v>
      </c>
      <c r="L218">
        <v>585.15</v>
      </c>
      <c r="M218">
        <v>158</v>
      </c>
      <c r="N218">
        <v>1</v>
      </c>
      <c r="O218">
        <v>0.32</v>
      </c>
    </row>
    <row r="219" spans="1:15" x14ac:dyDescent="0.25">
      <c r="A219" t="s">
        <v>230</v>
      </c>
      <c r="B219" s="1">
        <v>45388</v>
      </c>
      <c r="C219" t="s">
        <v>536</v>
      </c>
      <c r="D219" t="s">
        <v>544</v>
      </c>
      <c r="E219" t="s">
        <v>545</v>
      </c>
      <c r="F219" t="s">
        <v>547</v>
      </c>
      <c r="G219" t="s">
        <v>759</v>
      </c>
      <c r="H219" t="s">
        <v>1045</v>
      </c>
      <c r="I219">
        <v>3566</v>
      </c>
      <c r="J219">
        <v>0.06</v>
      </c>
      <c r="K219">
        <v>3352.04</v>
      </c>
      <c r="L219">
        <v>2533.88</v>
      </c>
      <c r="M219">
        <v>74</v>
      </c>
      <c r="N219">
        <v>1</v>
      </c>
      <c r="O219">
        <v>0.4</v>
      </c>
    </row>
    <row r="220" spans="1:15" x14ac:dyDescent="0.25">
      <c r="A220" t="s">
        <v>231</v>
      </c>
      <c r="B220" s="1">
        <v>45415</v>
      </c>
      <c r="C220" t="s">
        <v>537</v>
      </c>
      <c r="D220" t="s">
        <v>543</v>
      </c>
      <c r="E220" t="s">
        <v>546</v>
      </c>
      <c r="F220" t="s">
        <v>548</v>
      </c>
      <c r="G220" t="s">
        <v>760</v>
      </c>
      <c r="H220" t="s">
        <v>1044</v>
      </c>
      <c r="I220">
        <v>2123</v>
      </c>
      <c r="J220">
        <v>0.1</v>
      </c>
      <c r="K220">
        <v>1910.7</v>
      </c>
      <c r="L220">
        <v>1063.99</v>
      </c>
      <c r="M220">
        <v>30</v>
      </c>
      <c r="N220">
        <v>3</v>
      </c>
      <c r="O220">
        <v>0.36</v>
      </c>
    </row>
    <row r="221" spans="1:15" x14ac:dyDescent="0.25">
      <c r="A221" t="s">
        <v>232</v>
      </c>
      <c r="B221" s="1">
        <v>45361</v>
      </c>
      <c r="C221" t="s">
        <v>535</v>
      </c>
      <c r="D221" t="s">
        <v>540</v>
      </c>
      <c r="E221" t="s">
        <v>545</v>
      </c>
      <c r="F221" t="s">
        <v>549</v>
      </c>
      <c r="G221" t="s">
        <v>761</v>
      </c>
      <c r="H221" t="s">
        <v>1042</v>
      </c>
      <c r="I221">
        <v>6733</v>
      </c>
      <c r="J221">
        <v>0.12</v>
      </c>
      <c r="K221">
        <v>5925.04</v>
      </c>
      <c r="L221">
        <v>4619.01</v>
      </c>
      <c r="M221">
        <v>76</v>
      </c>
      <c r="N221">
        <v>2</v>
      </c>
      <c r="O221">
        <v>0.32</v>
      </c>
    </row>
    <row r="222" spans="1:15" x14ac:dyDescent="0.25">
      <c r="A222" t="s">
        <v>233</v>
      </c>
      <c r="B222" s="1">
        <v>45384</v>
      </c>
      <c r="C222" t="s">
        <v>536</v>
      </c>
      <c r="D222" t="s">
        <v>539</v>
      </c>
      <c r="E222" t="s">
        <v>546</v>
      </c>
      <c r="F222" t="s">
        <v>547</v>
      </c>
      <c r="G222" t="s">
        <v>762</v>
      </c>
      <c r="H222" t="s">
        <v>1044</v>
      </c>
      <c r="I222">
        <v>4055</v>
      </c>
      <c r="J222">
        <v>7.0000000000000007E-2</v>
      </c>
      <c r="K222">
        <v>3771.15</v>
      </c>
      <c r="L222">
        <v>2134.2199999999998</v>
      </c>
      <c r="M222">
        <v>154</v>
      </c>
      <c r="N222">
        <v>1</v>
      </c>
      <c r="O222">
        <v>0.36</v>
      </c>
    </row>
    <row r="223" spans="1:15" x14ac:dyDescent="0.25">
      <c r="A223" t="s">
        <v>234</v>
      </c>
      <c r="B223" s="1">
        <v>45294</v>
      </c>
      <c r="C223" t="s">
        <v>536</v>
      </c>
      <c r="D223" t="s">
        <v>544</v>
      </c>
      <c r="E223" t="s">
        <v>546</v>
      </c>
      <c r="F223" t="s">
        <v>548</v>
      </c>
      <c r="G223" t="s">
        <v>763</v>
      </c>
      <c r="H223" t="s">
        <v>1045</v>
      </c>
      <c r="I223">
        <v>4586</v>
      </c>
      <c r="J223">
        <v>0.15</v>
      </c>
      <c r="K223">
        <v>3898.1</v>
      </c>
      <c r="L223">
        <v>2726.89</v>
      </c>
      <c r="M223">
        <v>177</v>
      </c>
      <c r="N223">
        <v>2</v>
      </c>
      <c r="O223">
        <v>0.38</v>
      </c>
    </row>
    <row r="224" spans="1:15" x14ac:dyDescent="0.25">
      <c r="A224" t="s">
        <v>235</v>
      </c>
      <c r="B224" s="1">
        <v>45439</v>
      </c>
      <c r="C224" t="s">
        <v>535</v>
      </c>
      <c r="D224" t="s">
        <v>540</v>
      </c>
      <c r="E224" t="s">
        <v>546</v>
      </c>
      <c r="F224" t="s">
        <v>547</v>
      </c>
      <c r="G224" t="s">
        <v>764</v>
      </c>
      <c r="H224" t="s">
        <v>1043</v>
      </c>
      <c r="I224">
        <v>5026</v>
      </c>
      <c r="J224">
        <v>0.12</v>
      </c>
      <c r="K224">
        <v>4422.88</v>
      </c>
      <c r="L224">
        <v>2317.0700000000002</v>
      </c>
      <c r="M224">
        <v>133</v>
      </c>
      <c r="N224">
        <v>1</v>
      </c>
      <c r="O224">
        <v>0.34</v>
      </c>
    </row>
    <row r="225" spans="1:15" x14ac:dyDescent="0.25">
      <c r="A225" t="s">
        <v>236</v>
      </c>
      <c r="B225" s="1">
        <v>45455</v>
      </c>
      <c r="C225" t="s">
        <v>535</v>
      </c>
      <c r="D225" t="s">
        <v>540</v>
      </c>
      <c r="E225" t="s">
        <v>546</v>
      </c>
      <c r="F225" t="s">
        <v>549</v>
      </c>
      <c r="G225" t="s">
        <v>765</v>
      </c>
      <c r="H225" t="s">
        <v>1044</v>
      </c>
      <c r="I225">
        <v>2479</v>
      </c>
      <c r="J225">
        <v>0.13</v>
      </c>
      <c r="K225">
        <v>2156.73</v>
      </c>
      <c r="L225">
        <v>1722.92</v>
      </c>
      <c r="M225">
        <v>58</v>
      </c>
      <c r="N225">
        <v>1</v>
      </c>
      <c r="O225">
        <v>0.42</v>
      </c>
    </row>
    <row r="226" spans="1:15" x14ac:dyDescent="0.25">
      <c r="A226" t="s">
        <v>237</v>
      </c>
      <c r="B226" s="1">
        <v>45438</v>
      </c>
      <c r="C226" t="s">
        <v>536</v>
      </c>
      <c r="D226" t="s">
        <v>539</v>
      </c>
      <c r="E226" t="s">
        <v>546</v>
      </c>
      <c r="F226" t="s">
        <v>548</v>
      </c>
      <c r="G226" t="s">
        <v>766</v>
      </c>
      <c r="H226" t="s">
        <v>1044</v>
      </c>
      <c r="I226">
        <v>4542</v>
      </c>
      <c r="J226">
        <v>0.25</v>
      </c>
      <c r="K226">
        <v>3406.5</v>
      </c>
      <c r="L226">
        <v>2105.02</v>
      </c>
      <c r="M226">
        <v>148</v>
      </c>
      <c r="N226">
        <v>1</v>
      </c>
      <c r="O226">
        <v>0.44</v>
      </c>
    </row>
    <row r="227" spans="1:15" x14ac:dyDescent="0.25">
      <c r="A227" t="s">
        <v>238</v>
      </c>
      <c r="B227" s="1">
        <v>45381</v>
      </c>
      <c r="C227" t="s">
        <v>535</v>
      </c>
      <c r="D227" t="s">
        <v>538</v>
      </c>
      <c r="E227" t="s">
        <v>545</v>
      </c>
      <c r="F227" t="s">
        <v>549</v>
      </c>
      <c r="G227" t="s">
        <v>767</v>
      </c>
      <c r="H227" t="s">
        <v>1042</v>
      </c>
      <c r="I227">
        <v>4601</v>
      </c>
      <c r="J227">
        <v>0.25</v>
      </c>
      <c r="K227">
        <v>3450.75</v>
      </c>
      <c r="L227">
        <v>2426.81</v>
      </c>
      <c r="M227">
        <v>198</v>
      </c>
      <c r="N227">
        <v>1</v>
      </c>
      <c r="O227">
        <v>0.42</v>
      </c>
    </row>
    <row r="228" spans="1:15" x14ac:dyDescent="0.25">
      <c r="A228" t="s">
        <v>239</v>
      </c>
      <c r="B228" s="1">
        <v>45438</v>
      </c>
      <c r="C228" t="s">
        <v>537</v>
      </c>
      <c r="D228" t="s">
        <v>542</v>
      </c>
      <c r="E228" t="s">
        <v>545</v>
      </c>
      <c r="F228" t="s">
        <v>549</v>
      </c>
      <c r="G228" t="s">
        <v>768</v>
      </c>
      <c r="H228" t="s">
        <v>1043</v>
      </c>
      <c r="I228">
        <v>5512</v>
      </c>
      <c r="J228">
        <v>0.27</v>
      </c>
      <c r="K228">
        <v>4023.76</v>
      </c>
      <c r="L228">
        <v>3852.21</v>
      </c>
      <c r="M228">
        <v>186</v>
      </c>
      <c r="N228">
        <v>3</v>
      </c>
      <c r="O228">
        <v>0.43</v>
      </c>
    </row>
    <row r="229" spans="1:15" x14ac:dyDescent="0.25">
      <c r="A229" t="s">
        <v>240</v>
      </c>
      <c r="B229" s="1">
        <v>45439</v>
      </c>
      <c r="C229" t="s">
        <v>537</v>
      </c>
      <c r="D229" t="s">
        <v>543</v>
      </c>
      <c r="E229" t="s">
        <v>546</v>
      </c>
      <c r="F229" t="s">
        <v>547</v>
      </c>
      <c r="G229" t="s">
        <v>769</v>
      </c>
      <c r="H229" t="s">
        <v>1043</v>
      </c>
      <c r="I229">
        <v>6678</v>
      </c>
      <c r="J229">
        <v>0.09</v>
      </c>
      <c r="K229">
        <v>6076.98</v>
      </c>
      <c r="L229">
        <v>3844.42</v>
      </c>
      <c r="M229">
        <v>93</v>
      </c>
      <c r="N229">
        <v>1</v>
      </c>
      <c r="O229">
        <v>0.28999999999999998</v>
      </c>
    </row>
    <row r="230" spans="1:15" x14ac:dyDescent="0.25">
      <c r="A230" t="s">
        <v>241</v>
      </c>
      <c r="B230" s="1">
        <v>45387</v>
      </c>
      <c r="C230" t="s">
        <v>536</v>
      </c>
      <c r="D230" t="s">
        <v>539</v>
      </c>
      <c r="E230" t="s">
        <v>545</v>
      </c>
      <c r="F230" t="s">
        <v>547</v>
      </c>
      <c r="G230" t="s">
        <v>770</v>
      </c>
      <c r="H230" t="s">
        <v>1044</v>
      </c>
      <c r="I230">
        <v>3918</v>
      </c>
      <c r="J230">
        <v>0.25</v>
      </c>
      <c r="K230">
        <v>2938.5</v>
      </c>
      <c r="L230">
        <v>2188.5</v>
      </c>
      <c r="M230">
        <v>84</v>
      </c>
      <c r="N230">
        <v>1</v>
      </c>
      <c r="O230">
        <v>0.28000000000000003</v>
      </c>
    </row>
    <row r="231" spans="1:15" x14ac:dyDescent="0.25">
      <c r="A231" t="s">
        <v>242</v>
      </c>
      <c r="B231" s="1">
        <v>45343</v>
      </c>
      <c r="C231" t="s">
        <v>536</v>
      </c>
      <c r="D231" t="s">
        <v>544</v>
      </c>
      <c r="E231" t="s">
        <v>545</v>
      </c>
      <c r="F231" t="s">
        <v>547</v>
      </c>
      <c r="G231" t="s">
        <v>771</v>
      </c>
      <c r="H231" t="s">
        <v>1042</v>
      </c>
      <c r="I231">
        <v>820</v>
      </c>
      <c r="J231">
        <v>0.27</v>
      </c>
      <c r="K231">
        <v>598.6</v>
      </c>
      <c r="L231">
        <v>398.66</v>
      </c>
      <c r="M231">
        <v>11</v>
      </c>
      <c r="N231">
        <v>1</v>
      </c>
      <c r="O231">
        <v>0.28999999999999998</v>
      </c>
    </row>
    <row r="232" spans="1:15" x14ac:dyDescent="0.25">
      <c r="A232" t="s">
        <v>243</v>
      </c>
      <c r="B232" s="1">
        <v>45452</v>
      </c>
      <c r="C232" t="s">
        <v>537</v>
      </c>
      <c r="D232" t="s">
        <v>542</v>
      </c>
      <c r="E232" t="s">
        <v>546</v>
      </c>
      <c r="F232" t="s">
        <v>547</v>
      </c>
      <c r="G232" t="s">
        <v>772</v>
      </c>
      <c r="H232" t="s">
        <v>1044</v>
      </c>
      <c r="I232">
        <v>2332</v>
      </c>
      <c r="J232">
        <v>0.2</v>
      </c>
      <c r="K232">
        <v>1865.6</v>
      </c>
      <c r="L232">
        <v>1453.21</v>
      </c>
      <c r="M232">
        <v>110</v>
      </c>
      <c r="N232">
        <v>1</v>
      </c>
      <c r="O232">
        <v>0.42</v>
      </c>
    </row>
    <row r="233" spans="1:15" x14ac:dyDescent="0.25">
      <c r="A233" t="s">
        <v>244</v>
      </c>
      <c r="B233" s="1">
        <v>45459</v>
      </c>
      <c r="C233" t="s">
        <v>536</v>
      </c>
      <c r="D233" t="s">
        <v>539</v>
      </c>
      <c r="E233" t="s">
        <v>545</v>
      </c>
      <c r="F233" t="s">
        <v>548</v>
      </c>
      <c r="G233" t="s">
        <v>754</v>
      </c>
      <c r="H233" t="s">
        <v>1043</v>
      </c>
      <c r="I233">
        <v>1869</v>
      </c>
      <c r="J233">
        <v>0.17</v>
      </c>
      <c r="K233">
        <v>1551.27</v>
      </c>
      <c r="L233">
        <v>1318.68</v>
      </c>
      <c r="M233">
        <v>173</v>
      </c>
      <c r="N233">
        <v>3</v>
      </c>
      <c r="O233">
        <v>0.28999999999999998</v>
      </c>
    </row>
    <row r="234" spans="1:15" x14ac:dyDescent="0.25">
      <c r="A234" t="s">
        <v>245</v>
      </c>
      <c r="B234" s="1">
        <v>45419</v>
      </c>
      <c r="C234" t="s">
        <v>535</v>
      </c>
      <c r="D234" t="s">
        <v>538</v>
      </c>
      <c r="E234" t="s">
        <v>546</v>
      </c>
      <c r="F234" t="s">
        <v>550</v>
      </c>
      <c r="G234" t="s">
        <v>773</v>
      </c>
      <c r="H234" t="s">
        <v>1042</v>
      </c>
      <c r="I234">
        <v>1939</v>
      </c>
      <c r="J234">
        <v>0.17</v>
      </c>
      <c r="K234">
        <v>1609.37</v>
      </c>
      <c r="L234">
        <v>1134.3900000000001</v>
      </c>
      <c r="M234">
        <v>181</v>
      </c>
      <c r="N234">
        <v>3</v>
      </c>
      <c r="O234">
        <v>0.41</v>
      </c>
    </row>
    <row r="235" spans="1:15" x14ac:dyDescent="0.25">
      <c r="A235" t="s">
        <v>246</v>
      </c>
      <c r="B235" s="1">
        <v>45330</v>
      </c>
      <c r="C235" t="s">
        <v>536</v>
      </c>
      <c r="D235" t="s">
        <v>544</v>
      </c>
      <c r="E235" t="s">
        <v>546</v>
      </c>
      <c r="F235" t="s">
        <v>549</v>
      </c>
      <c r="G235" t="s">
        <v>774</v>
      </c>
      <c r="H235" t="s">
        <v>1045</v>
      </c>
      <c r="I235">
        <v>1191</v>
      </c>
      <c r="J235">
        <v>0.26</v>
      </c>
      <c r="K235">
        <v>881.34</v>
      </c>
      <c r="L235">
        <v>781.92</v>
      </c>
      <c r="M235">
        <v>176</v>
      </c>
      <c r="N235">
        <v>2</v>
      </c>
      <c r="O235">
        <v>0.31</v>
      </c>
    </row>
    <row r="236" spans="1:15" x14ac:dyDescent="0.25">
      <c r="A236" t="s">
        <v>247</v>
      </c>
      <c r="B236" s="1">
        <v>45373</v>
      </c>
      <c r="C236" t="s">
        <v>535</v>
      </c>
      <c r="D236" t="s">
        <v>538</v>
      </c>
      <c r="E236" t="s">
        <v>546</v>
      </c>
      <c r="F236" t="s">
        <v>547</v>
      </c>
      <c r="G236" t="s">
        <v>775</v>
      </c>
      <c r="H236" t="s">
        <v>1042</v>
      </c>
      <c r="I236">
        <v>5956</v>
      </c>
      <c r="J236">
        <v>0.06</v>
      </c>
      <c r="K236">
        <v>5598.64</v>
      </c>
      <c r="L236">
        <v>3834.16</v>
      </c>
      <c r="M236">
        <v>172</v>
      </c>
      <c r="N236">
        <v>3</v>
      </c>
      <c r="O236">
        <v>0.35</v>
      </c>
    </row>
    <row r="237" spans="1:15" x14ac:dyDescent="0.25">
      <c r="A237" t="s">
        <v>248</v>
      </c>
      <c r="B237" s="1">
        <v>45395</v>
      </c>
      <c r="C237" t="s">
        <v>537</v>
      </c>
      <c r="D237" t="s">
        <v>541</v>
      </c>
      <c r="E237" t="s">
        <v>546</v>
      </c>
      <c r="F237" t="s">
        <v>547</v>
      </c>
      <c r="G237" t="s">
        <v>776</v>
      </c>
      <c r="H237" t="s">
        <v>1042</v>
      </c>
      <c r="I237">
        <v>6518</v>
      </c>
      <c r="J237">
        <v>0.21</v>
      </c>
      <c r="K237">
        <v>5149.22</v>
      </c>
      <c r="L237">
        <v>4579.01</v>
      </c>
      <c r="M237">
        <v>193</v>
      </c>
      <c r="N237">
        <v>2</v>
      </c>
      <c r="O237">
        <v>0.36</v>
      </c>
    </row>
    <row r="238" spans="1:15" x14ac:dyDescent="0.25">
      <c r="A238" t="s">
        <v>249</v>
      </c>
      <c r="B238" s="1">
        <v>45420</v>
      </c>
      <c r="C238" t="s">
        <v>535</v>
      </c>
      <c r="D238" t="s">
        <v>540</v>
      </c>
      <c r="E238" t="s">
        <v>546</v>
      </c>
      <c r="F238" t="s">
        <v>550</v>
      </c>
      <c r="G238" t="s">
        <v>777</v>
      </c>
      <c r="H238" t="s">
        <v>1042</v>
      </c>
      <c r="I238">
        <v>3465</v>
      </c>
      <c r="J238">
        <v>0.2</v>
      </c>
      <c r="K238">
        <v>2772</v>
      </c>
      <c r="L238">
        <v>2561.35</v>
      </c>
      <c r="M238">
        <v>13</v>
      </c>
      <c r="N238">
        <v>2</v>
      </c>
      <c r="O238">
        <v>0.28999999999999998</v>
      </c>
    </row>
    <row r="239" spans="1:15" x14ac:dyDescent="0.25">
      <c r="A239" t="s">
        <v>250</v>
      </c>
      <c r="B239" s="1">
        <v>45302</v>
      </c>
      <c r="C239" t="s">
        <v>536</v>
      </c>
      <c r="D239" t="s">
        <v>544</v>
      </c>
      <c r="E239" t="s">
        <v>546</v>
      </c>
      <c r="F239" t="s">
        <v>548</v>
      </c>
      <c r="G239" t="s">
        <v>778</v>
      </c>
      <c r="H239" t="s">
        <v>1044</v>
      </c>
      <c r="I239">
        <v>6318</v>
      </c>
      <c r="J239">
        <v>0.19</v>
      </c>
      <c r="K239">
        <v>5117.58</v>
      </c>
      <c r="L239">
        <v>3391.33</v>
      </c>
      <c r="M239">
        <v>131</v>
      </c>
      <c r="N239">
        <v>1</v>
      </c>
      <c r="O239">
        <v>0.34</v>
      </c>
    </row>
    <row r="240" spans="1:15" x14ac:dyDescent="0.25">
      <c r="A240" t="s">
        <v>251</v>
      </c>
      <c r="B240" s="1">
        <v>45469</v>
      </c>
      <c r="C240" t="s">
        <v>535</v>
      </c>
      <c r="D240" t="s">
        <v>540</v>
      </c>
      <c r="E240" t="s">
        <v>546</v>
      </c>
      <c r="F240" t="s">
        <v>548</v>
      </c>
      <c r="G240" t="s">
        <v>779</v>
      </c>
      <c r="H240" t="s">
        <v>1043</v>
      </c>
      <c r="I240">
        <v>6189</v>
      </c>
      <c r="J240">
        <v>0.21</v>
      </c>
      <c r="K240">
        <v>4889.3100000000004</v>
      </c>
      <c r="L240">
        <v>2948.81</v>
      </c>
      <c r="M240">
        <v>68</v>
      </c>
      <c r="N240">
        <v>3</v>
      </c>
      <c r="O240">
        <v>0.31</v>
      </c>
    </row>
    <row r="241" spans="1:15" x14ac:dyDescent="0.25">
      <c r="A241" t="s">
        <v>252</v>
      </c>
      <c r="B241" s="1">
        <v>45442</v>
      </c>
      <c r="C241" t="s">
        <v>537</v>
      </c>
      <c r="D241" t="s">
        <v>542</v>
      </c>
      <c r="E241" t="s">
        <v>546</v>
      </c>
      <c r="F241" t="s">
        <v>547</v>
      </c>
      <c r="G241" t="s">
        <v>780</v>
      </c>
      <c r="H241" t="s">
        <v>1045</v>
      </c>
      <c r="I241">
        <v>2771</v>
      </c>
      <c r="J241">
        <v>0.1</v>
      </c>
      <c r="K241">
        <v>2493.9</v>
      </c>
      <c r="L241">
        <v>1452.2</v>
      </c>
      <c r="M241">
        <v>96</v>
      </c>
      <c r="N241">
        <v>3</v>
      </c>
      <c r="O241">
        <v>0.34</v>
      </c>
    </row>
    <row r="242" spans="1:15" x14ac:dyDescent="0.25">
      <c r="A242" t="s">
        <v>253</v>
      </c>
      <c r="B242" s="1">
        <v>45450</v>
      </c>
      <c r="C242" t="s">
        <v>535</v>
      </c>
      <c r="D242" t="s">
        <v>540</v>
      </c>
      <c r="E242" t="s">
        <v>546</v>
      </c>
      <c r="F242" t="s">
        <v>550</v>
      </c>
      <c r="G242" t="s">
        <v>781</v>
      </c>
      <c r="H242" t="s">
        <v>1043</v>
      </c>
      <c r="I242">
        <v>432</v>
      </c>
      <c r="J242">
        <v>0.13</v>
      </c>
      <c r="K242">
        <v>375.84</v>
      </c>
      <c r="L242">
        <v>319.64999999999998</v>
      </c>
      <c r="M242">
        <v>112</v>
      </c>
      <c r="N242">
        <v>3</v>
      </c>
      <c r="O242">
        <v>0.31</v>
      </c>
    </row>
    <row r="243" spans="1:15" x14ac:dyDescent="0.25">
      <c r="A243" t="s">
        <v>254</v>
      </c>
      <c r="B243" s="1">
        <v>45333</v>
      </c>
      <c r="C243" t="s">
        <v>535</v>
      </c>
      <c r="D243" t="s">
        <v>540</v>
      </c>
      <c r="E243" t="s">
        <v>545</v>
      </c>
      <c r="F243" t="s">
        <v>547</v>
      </c>
      <c r="G243" t="s">
        <v>782</v>
      </c>
      <c r="H243" t="s">
        <v>1044</v>
      </c>
      <c r="I243">
        <v>5141</v>
      </c>
      <c r="J243">
        <v>0.17</v>
      </c>
      <c r="K243">
        <v>4267.03</v>
      </c>
      <c r="L243">
        <v>3846.26</v>
      </c>
      <c r="M243">
        <v>91</v>
      </c>
      <c r="N243">
        <v>2</v>
      </c>
      <c r="O243">
        <v>0.38</v>
      </c>
    </row>
    <row r="244" spans="1:15" x14ac:dyDescent="0.25">
      <c r="A244" t="s">
        <v>255</v>
      </c>
      <c r="B244" s="1">
        <v>45390</v>
      </c>
      <c r="C244" t="s">
        <v>536</v>
      </c>
      <c r="D244" t="s">
        <v>539</v>
      </c>
      <c r="E244" t="s">
        <v>546</v>
      </c>
      <c r="F244" t="s">
        <v>548</v>
      </c>
      <c r="G244" t="s">
        <v>783</v>
      </c>
      <c r="H244" t="s">
        <v>1042</v>
      </c>
      <c r="I244">
        <v>6710</v>
      </c>
      <c r="J244">
        <v>0.19</v>
      </c>
      <c r="K244">
        <v>5435.1</v>
      </c>
      <c r="L244">
        <v>4112.6099999999997</v>
      </c>
      <c r="M244">
        <v>156</v>
      </c>
      <c r="N244">
        <v>3</v>
      </c>
      <c r="O244">
        <v>0.44</v>
      </c>
    </row>
    <row r="245" spans="1:15" x14ac:dyDescent="0.25">
      <c r="A245" t="s">
        <v>256</v>
      </c>
      <c r="B245" s="1">
        <v>45298</v>
      </c>
      <c r="C245" t="s">
        <v>537</v>
      </c>
      <c r="D245" t="s">
        <v>541</v>
      </c>
      <c r="E245" t="s">
        <v>546</v>
      </c>
      <c r="F245" t="s">
        <v>550</v>
      </c>
      <c r="G245" t="s">
        <v>784</v>
      </c>
      <c r="H245" t="s">
        <v>1042</v>
      </c>
      <c r="I245">
        <v>2343</v>
      </c>
      <c r="J245">
        <v>0.09</v>
      </c>
      <c r="K245">
        <v>2132.13</v>
      </c>
      <c r="L245">
        <v>1610</v>
      </c>
      <c r="M245">
        <v>14</v>
      </c>
      <c r="N245">
        <v>1</v>
      </c>
      <c r="O245">
        <v>0.4</v>
      </c>
    </row>
    <row r="246" spans="1:15" x14ac:dyDescent="0.25">
      <c r="A246" t="s">
        <v>257</v>
      </c>
      <c r="B246" s="1">
        <v>45435</v>
      </c>
      <c r="C246" t="s">
        <v>537</v>
      </c>
      <c r="D246" t="s">
        <v>543</v>
      </c>
      <c r="E246" t="s">
        <v>545</v>
      </c>
      <c r="F246" t="s">
        <v>547</v>
      </c>
      <c r="G246" t="s">
        <v>785</v>
      </c>
      <c r="H246" t="s">
        <v>1043</v>
      </c>
      <c r="I246">
        <v>7521</v>
      </c>
      <c r="J246">
        <v>0.08</v>
      </c>
      <c r="K246">
        <v>6919.32</v>
      </c>
      <c r="L246">
        <v>5087.1000000000004</v>
      </c>
      <c r="M246">
        <v>79</v>
      </c>
      <c r="N246">
        <v>3</v>
      </c>
      <c r="O246">
        <v>0.33</v>
      </c>
    </row>
    <row r="247" spans="1:15" x14ac:dyDescent="0.25">
      <c r="A247" t="s">
        <v>258</v>
      </c>
      <c r="B247" s="1">
        <v>45381</v>
      </c>
      <c r="C247" t="s">
        <v>537</v>
      </c>
      <c r="D247" t="s">
        <v>541</v>
      </c>
      <c r="E247" t="s">
        <v>546</v>
      </c>
      <c r="F247" t="s">
        <v>547</v>
      </c>
      <c r="G247" t="s">
        <v>786</v>
      </c>
      <c r="H247" t="s">
        <v>1044</v>
      </c>
      <c r="I247">
        <v>4544</v>
      </c>
      <c r="J247">
        <v>0.23</v>
      </c>
      <c r="K247">
        <v>3498.88</v>
      </c>
      <c r="L247">
        <v>3297.22</v>
      </c>
      <c r="M247">
        <v>188</v>
      </c>
      <c r="N247">
        <v>1</v>
      </c>
      <c r="O247">
        <v>0.45</v>
      </c>
    </row>
    <row r="248" spans="1:15" x14ac:dyDescent="0.25">
      <c r="A248" t="s">
        <v>259</v>
      </c>
      <c r="B248" s="1">
        <v>45403</v>
      </c>
      <c r="C248" t="s">
        <v>536</v>
      </c>
      <c r="D248" t="s">
        <v>539</v>
      </c>
      <c r="E248" t="s">
        <v>546</v>
      </c>
      <c r="F248" t="s">
        <v>548</v>
      </c>
      <c r="G248" t="s">
        <v>787</v>
      </c>
      <c r="H248" t="s">
        <v>1044</v>
      </c>
      <c r="I248">
        <v>414</v>
      </c>
      <c r="J248">
        <v>0.19</v>
      </c>
      <c r="K248">
        <v>335.34</v>
      </c>
      <c r="L248">
        <v>310.02</v>
      </c>
      <c r="M248">
        <v>81</v>
      </c>
      <c r="N248">
        <v>1</v>
      </c>
      <c r="O248">
        <v>0.35</v>
      </c>
    </row>
    <row r="249" spans="1:15" x14ac:dyDescent="0.25">
      <c r="A249" t="s">
        <v>260</v>
      </c>
      <c r="B249" s="1">
        <v>45351</v>
      </c>
      <c r="C249" t="s">
        <v>535</v>
      </c>
      <c r="D249" t="s">
        <v>538</v>
      </c>
      <c r="E249" t="s">
        <v>546</v>
      </c>
      <c r="F249" t="s">
        <v>549</v>
      </c>
      <c r="G249" t="s">
        <v>788</v>
      </c>
      <c r="H249" t="s">
        <v>1043</v>
      </c>
      <c r="I249">
        <v>5492</v>
      </c>
      <c r="J249">
        <v>0.18</v>
      </c>
      <c r="K249">
        <v>4503.4399999999996</v>
      </c>
      <c r="L249">
        <v>3312.39</v>
      </c>
      <c r="M249">
        <v>198</v>
      </c>
      <c r="N249">
        <v>3</v>
      </c>
      <c r="O249">
        <v>0.4</v>
      </c>
    </row>
    <row r="250" spans="1:15" x14ac:dyDescent="0.25">
      <c r="A250" t="s">
        <v>261</v>
      </c>
      <c r="B250" s="1">
        <v>45404</v>
      </c>
      <c r="C250" t="s">
        <v>537</v>
      </c>
      <c r="D250" t="s">
        <v>542</v>
      </c>
      <c r="E250" t="s">
        <v>545</v>
      </c>
      <c r="F250" t="s">
        <v>550</v>
      </c>
      <c r="G250" t="s">
        <v>789</v>
      </c>
      <c r="H250" t="s">
        <v>1043</v>
      </c>
      <c r="I250">
        <v>3003</v>
      </c>
      <c r="J250">
        <v>0.09</v>
      </c>
      <c r="K250">
        <v>2732.73</v>
      </c>
      <c r="L250">
        <v>1621.08</v>
      </c>
      <c r="M250">
        <v>178</v>
      </c>
      <c r="N250">
        <v>3</v>
      </c>
      <c r="O250">
        <v>0.32</v>
      </c>
    </row>
    <row r="251" spans="1:15" x14ac:dyDescent="0.25">
      <c r="A251" t="s">
        <v>262</v>
      </c>
      <c r="B251" s="1">
        <v>45293</v>
      </c>
      <c r="C251" t="s">
        <v>537</v>
      </c>
      <c r="D251" t="s">
        <v>541</v>
      </c>
      <c r="E251" t="s">
        <v>545</v>
      </c>
      <c r="F251" t="s">
        <v>548</v>
      </c>
      <c r="G251" t="s">
        <v>699</v>
      </c>
      <c r="H251" t="s">
        <v>1042</v>
      </c>
      <c r="I251">
        <v>2891</v>
      </c>
      <c r="J251">
        <v>0.3</v>
      </c>
      <c r="K251">
        <v>2023.7</v>
      </c>
      <c r="L251">
        <v>1556.47</v>
      </c>
      <c r="M251">
        <v>144</v>
      </c>
      <c r="N251">
        <v>3</v>
      </c>
      <c r="O251">
        <v>0.41</v>
      </c>
    </row>
    <row r="252" spans="1:15" x14ac:dyDescent="0.25">
      <c r="A252" t="s">
        <v>263</v>
      </c>
      <c r="B252" s="1">
        <v>45420</v>
      </c>
      <c r="C252" t="s">
        <v>535</v>
      </c>
      <c r="D252" t="s">
        <v>540</v>
      </c>
      <c r="E252" t="s">
        <v>546</v>
      </c>
      <c r="F252" t="s">
        <v>548</v>
      </c>
      <c r="G252" t="s">
        <v>790</v>
      </c>
      <c r="H252" t="s">
        <v>1042</v>
      </c>
      <c r="I252">
        <v>4793</v>
      </c>
      <c r="J252">
        <v>0.28000000000000003</v>
      </c>
      <c r="K252">
        <v>3450.96</v>
      </c>
      <c r="L252">
        <v>3103.77</v>
      </c>
      <c r="M252">
        <v>136</v>
      </c>
      <c r="N252">
        <v>1</v>
      </c>
      <c r="O252">
        <v>0.42</v>
      </c>
    </row>
    <row r="253" spans="1:15" x14ac:dyDescent="0.25">
      <c r="A253" t="s">
        <v>264</v>
      </c>
      <c r="B253" s="1">
        <v>45339</v>
      </c>
      <c r="C253" t="s">
        <v>536</v>
      </c>
      <c r="D253" t="s">
        <v>544</v>
      </c>
      <c r="E253" t="s">
        <v>546</v>
      </c>
      <c r="F253" t="s">
        <v>548</v>
      </c>
      <c r="G253" t="s">
        <v>791</v>
      </c>
      <c r="H253" t="s">
        <v>1043</v>
      </c>
      <c r="I253">
        <v>7601</v>
      </c>
      <c r="J253">
        <v>0.26</v>
      </c>
      <c r="K253">
        <v>5624.74</v>
      </c>
      <c r="L253">
        <v>3476.31</v>
      </c>
      <c r="M253">
        <v>84</v>
      </c>
      <c r="N253">
        <v>3</v>
      </c>
      <c r="O253">
        <v>0.37</v>
      </c>
    </row>
    <row r="254" spans="1:15" x14ac:dyDescent="0.25">
      <c r="A254" t="s">
        <v>265</v>
      </c>
      <c r="B254" s="1">
        <v>45431</v>
      </c>
      <c r="C254" t="s">
        <v>535</v>
      </c>
      <c r="D254" t="s">
        <v>540</v>
      </c>
      <c r="E254" t="s">
        <v>546</v>
      </c>
      <c r="F254" t="s">
        <v>549</v>
      </c>
      <c r="G254" t="s">
        <v>792</v>
      </c>
      <c r="H254" t="s">
        <v>1045</v>
      </c>
      <c r="I254">
        <v>2180</v>
      </c>
      <c r="J254">
        <v>0.21</v>
      </c>
      <c r="K254">
        <v>1722.2</v>
      </c>
      <c r="L254">
        <v>1176.92</v>
      </c>
      <c r="M254">
        <v>177</v>
      </c>
      <c r="N254">
        <v>1</v>
      </c>
      <c r="O254">
        <v>0.37</v>
      </c>
    </row>
    <row r="255" spans="1:15" x14ac:dyDescent="0.25">
      <c r="A255" t="s">
        <v>266</v>
      </c>
      <c r="B255" s="1">
        <v>45328</v>
      </c>
      <c r="C255" t="s">
        <v>537</v>
      </c>
      <c r="D255" t="s">
        <v>543</v>
      </c>
      <c r="E255" t="s">
        <v>545</v>
      </c>
      <c r="F255" t="s">
        <v>550</v>
      </c>
      <c r="G255" t="s">
        <v>793</v>
      </c>
      <c r="H255" t="s">
        <v>1042</v>
      </c>
      <c r="I255">
        <v>2208</v>
      </c>
      <c r="J255">
        <v>0.11</v>
      </c>
      <c r="K255">
        <v>1965.12</v>
      </c>
      <c r="L255">
        <v>1565.52</v>
      </c>
      <c r="M255">
        <v>145</v>
      </c>
      <c r="N255">
        <v>3</v>
      </c>
      <c r="O255">
        <v>0.44</v>
      </c>
    </row>
    <row r="256" spans="1:15" x14ac:dyDescent="0.25">
      <c r="A256" t="s">
        <v>267</v>
      </c>
      <c r="B256" s="1">
        <v>45451</v>
      </c>
      <c r="C256" t="s">
        <v>536</v>
      </c>
      <c r="D256" t="s">
        <v>539</v>
      </c>
      <c r="E256" t="s">
        <v>546</v>
      </c>
      <c r="F256" t="s">
        <v>550</v>
      </c>
      <c r="G256" t="s">
        <v>794</v>
      </c>
      <c r="H256" t="s">
        <v>1045</v>
      </c>
      <c r="I256">
        <v>3928</v>
      </c>
      <c r="J256">
        <v>0.12</v>
      </c>
      <c r="K256">
        <v>3456.64</v>
      </c>
      <c r="L256">
        <v>2522.34</v>
      </c>
      <c r="M256">
        <v>190</v>
      </c>
      <c r="N256">
        <v>1</v>
      </c>
      <c r="O256">
        <v>0.38</v>
      </c>
    </row>
    <row r="257" spans="1:15" x14ac:dyDescent="0.25">
      <c r="A257" t="s">
        <v>268</v>
      </c>
      <c r="B257" s="1">
        <v>45300</v>
      </c>
      <c r="C257" t="s">
        <v>536</v>
      </c>
      <c r="D257" t="s">
        <v>539</v>
      </c>
      <c r="E257" t="s">
        <v>546</v>
      </c>
      <c r="F257" t="s">
        <v>547</v>
      </c>
      <c r="G257" t="s">
        <v>795</v>
      </c>
      <c r="H257" t="s">
        <v>1045</v>
      </c>
      <c r="I257">
        <v>232</v>
      </c>
      <c r="J257">
        <v>0.2</v>
      </c>
      <c r="K257">
        <v>185.6</v>
      </c>
      <c r="L257">
        <v>135.66999999999999</v>
      </c>
      <c r="M257">
        <v>19</v>
      </c>
      <c r="N257">
        <v>2</v>
      </c>
      <c r="O257">
        <v>0.28999999999999998</v>
      </c>
    </row>
    <row r="258" spans="1:15" x14ac:dyDescent="0.25">
      <c r="A258" t="s">
        <v>269</v>
      </c>
      <c r="B258" s="1">
        <v>45390</v>
      </c>
      <c r="C258" t="s">
        <v>537</v>
      </c>
      <c r="D258" t="s">
        <v>543</v>
      </c>
      <c r="E258" t="s">
        <v>545</v>
      </c>
      <c r="F258" t="s">
        <v>550</v>
      </c>
      <c r="G258" t="s">
        <v>796</v>
      </c>
      <c r="H258" t="s">
        <v>1042</v>
      </c>
      <c r="I258">
        <v>102</v>
      </c>
      <c r="J258">
        <v>0.28999999999999998</v>
      </c>
      <c r="K258">
        <v>72.42</v>
      </c>
      <c r="L258">
        <v>62.81</v>
      </c>
      <c r="M258">
        <v>13</v>
      </c>
      <c r="N258">
        <v>1</v>
      </c>
      <c r="O258">
        <v>0.44</v>
      </c>
    </row>
    <row r="259" spans="1:15" x14ac:dyDescent="0.25">
      <c r="A259" t="s">
        <v>270</v>
      </c>
      <c r="B259" s="1">
        <v>45438</v>
      </c>
      <c r="C259" t="s">
        <v>537</v>
      </c>
      <c r="D259" t="s">
        <v>541</v>
      </c>
      <c r="E259" t="s">
        <v>546</v>
      </c>
      <c r="F259" t="s">
        <v>548</v>
      </c>
      <c r="G259" t="s">
        <v>797</v>
      </c>
      <c r="H259" t="s">
        <v>1043</v>
      </c>
      <c r="I259">
        <v>7977</v>
      </c>
      <c r="J259">
        <v>0.24</v>
      </c>
      <c r="K259">
        <v>6062.52</v>
      </c>
      <c r="L259">
        <v>3719.67</v>
      </c>
      <c r="M259">
        <v>58</v>
      </c>
      <c r="N259">
        <v>3</v>
      </c>
      <c r="O259">
        <v>0.3</v>
      </c>
    </row>
    <row r="260" spans="1:15" x14ac:dyDescent="0.25">
      <c r="A260" t="s">
        <v>271</v>
      </c>
      <c r="B260" s="1">
        <v>45339</v>
      </c>
      <c r="C260" t="s">
        <v>537</v>
      </c>
      <c r="D260" t="s">
        <v>542</v>
      </c>
      <c r="E260" t="s">
        <v>545</v>
      </c>
      <c r="F260" t="s">
        <v>550</v>
      </c>
      <c r="G260" t="s">
        <v>798</v>
      </c>
      <c r="H260" t="s">
        <v>1043</v>
      </c>
      <c r="I260">
        <v>2391</v>
      </c>
      <c r="J260">
        <v>0.32</v>
      </c>
      <c r="K260">
        <v>1625.88</v>
      </c>
      <c r="L260">
        <v>1494.33</v>
      </c>
      <c r="M260">
        <v>17</v>
      </c>
      <c r="N260">
        <v>1</v>
      </c>
      <c r="O260">
        <v>0.34</v>
      </c>
    </row>
    <row r="261" spans="1:15" x14ac:dyDescent="0.25">
      <c r="A261" t="s">
        <v>272</v>
      </c>
      <c r="B261" s="1">
        <v>45422</v>
      </c>
      <c r="C261" t="s">
        <v>535</v>
      </c>
      <c r="D261" t="s">
        <v>538</v>
      </c>
      <c r="E261" t="s">
        <v>545</v>
      </c>
      <c r="F261" t="s">
        <v>548</v>
      </c>
      <c r="G261" t="s">
        <v>799</v>
      </c>
      <c r="H261" t="s">
        <v>1044</v>
      </c>
      <c r="I261">
        <v>7876</v>
      </c>
      <c r="J261">
        <v>0.22</v>
      </c>
      <c r="K261">
        <v>6143.28</v>
      </c>
      <c r="L261">
        <v>5591.68</v>
      </c>
      <c r="M261">
        <v>109</v>
      </c>
      <c r="N261">
        <v>2</v>
      </c>
      <c r="O261">
        <v>0.43</v>
      </c>
    </row>
    <row r="262" spans="1:15" x14ac:dyDescent="0.25">
      <c r="A262" t="s">
        <v>273</v>
      </c>
      <c r="B262" s="1">
        <v>45439</v>
      </c>
      <c r="C262" t="s">
        <v>536</v>
      </c>
      <c r="D262" t="s">
        <v>539</v>
      </c>
      <c r="E262" t="s">
        <v>546</v>
      </c>
      <c r="F262" t="s">
        <v>550</v>
      </c>
      <c r="G262" t="s">
        <v>800</v>
      </c>
      <c r="H262" t="s">
        <v>1042</v>
      </c>
      <c r="I262">
        <v>6884</v>
      </c>
      <c r="J262">
        <v>0.08</v>
      </c>
      <c r="K262">
        <v>6333.28</v>
      </c>
      <c r="L262">
        <v>4516.63</v>
      </c>
      <c r="M262">
        <v>166</v>
      </c>
      <c r="N262">
        <v>1</v>
      </c>
      <c r="O262">
        <v>0.44</v>
      </c>
    </row>
    <row r="263" spans="1:15" x14ac:dyDescent="0.25">
      <c r="A263" t="s">
        <v>274</v>
      </c>
      <c r="B263" s="1">
        <v>45443</v>
      </c>
      <c r="C263" t="s">
        <v>536</v>
      </c>
      <c r="D263" t="s">
        <v>544</v>
      </c>
      <c r="E263" t="s">
        <v>546</v>
      </c>
      <c r="F263" t="s">
        <v>548</v>
      </c>
      <c r="G263" t="s">
        <v>801</v>
      </c>
      <c r="H263" t="s">
        <v>1045</v>
      </c>
      <c r="I263">
        <v>284</v>
      </c>
      <c r="J263">
        <v>0.25</v>
      </c>
      <c r="K263">
        <v>213</v>
      </c>
      <c r="L263">
        <v>210.11</v>
      </c>
      <c r="M263">
        <v>117</v>
      </c>
      <c r="N263">
        <v>3</v>
      </c>
      <c r="O263">
        <v>0.44</v>
      </c>
    </row>
    <row r="264" spans="1:15" x14ac:dyDescent="0.25">
      <c r="A264" t="s">
        <v>275</v>
      </c>
      <c r="B264" s="1">
        <v>45345</v>
      </c>
      <c r="C264" t="s">
        <v>535</v>
      </c>
      <c r="D264" t="s">
        <v>538</v>
      </c>
      <c r="E264" t="s">
        <v>546</v>
      </c>
      <c r="F264" t="s">
        <v>547</v>
      </c>
      <c r="G264" t="s">
        <v>802</v>
      </c>
      <c r="H264" t="s">
        <v>1044</v>
      </c>
      <c r="I264">
        <v>5892</v>
      </c>
      <c r="J264">
        <v>0.24</v>
      </c>
      <c r="K264">
        <v>4477.92</v>
      </c>
      <c r="L264">
        <v>2736.57</v>
      </c>
      <c r="M264">
        <v>110</v>
      </c>
      <c r="N264">
        <v>2</v>
      </c>
      <c r="O264">
        <v>0.44</v>
      </c>
    </row>
    <row r="265" spans="1:15" x14ac:dyDescent="0.25">
      <c r="A265" t="s">
        <v>276</v>
      </c>
      <c r="B265" s="1">
        <v>45411</v>
      </c>
      <c r="C265" t="s">
        <v>535</v>
      </c>
      <c r="D265" t="s">
        <v>540</v>
      </c>
      <c r="E265" t="s">
        <v>546</v>
      </c>
      <c r="F265" t="s">
        <v>548</v>
      </c>
      <c r="G265" t="s">
        <v>803</v>
      </c>
      <c r="H265" t="s">
        <v>1042</v>
      </c>
      <c r="I265">
        <v>6143</v>
      </c>
      <c r="J265">
        <v>0.28000000000000003</v>
      </c>
      <c r="K265">
        <v>4422.96</v>
      </c>
      <c r="L265">
        <v>2769.66</v>
      </c>
      <c r="M265">
        <v>22</v>
      </c>
      <c r="N265">
        <v>2</v>
      </c>
      <c r="O265">
        <v>0.37</v>
      </c>
    </row>
    <row r="266" spans="1:15" x14ac:dyDescent="0.25">
      <c r="A266" t="s">
        <v>277</v>
      </c>
      <c r="B266" s="1">
        <v>45452</v>
      </c>
      <c r="C266" t="s">
        <v>536</v>
      </c>
      <c r="D266" t="s">
        <v>544</v>
      </c>
      <c r="E266" t="s">
        <v>546</v>
      </c>
      <c r="F266" t="s">
        <v>549</v>
      </c>
      <c r="G266" t="s">
        <v>804</v>
      </c>
      <c r="H266" t="s">
        <v>1043</v>
      </c>
      <c r="I266">
        <v>5628</v>
      </c>
      <c r="J266">
        <v>0.27</v>
      </c>
      <c r="K266">
        <v>4108.4399999999996</v>
      </c>
      <c r="L266">
        <v>3626.2</v>
      </c>
      <c r="M266">
        <v>109</v>
      </c>
      <c r="N266">
        <v>1</v>
      </c>
      <c r="O266">
        <v>0.41</v>
      </c>
    </row>
    <row r="267" spans="1:15" x14ac:dyDescent="0.25">
      <c r="A267" t="s">
        <v>278</v>
      </c>
      <c r="B267" s="1">
        <v>45443</v>
      </c>
      <c r="C267" t="s">
        <v>537</v>
      </c>
      <c r="D267" t="s">
        <v>542</v>
      </c>
      <c r="E267" t="s">
        <v>545</v>
      </c>
      <c r="F267" t="s">
        <v>549</v>
      </c>
      <c r="G267" t="s">
        <v>805</v>
      </c>
      <c r="H267" t="s">
        <v>1042</v>
      </c>
      <c r="I267">
        <v>6467</v>
      </c>
      <c r="J267">
        <v>0.27</v>
      </c>
      <c r="K267">
        <v>4720.91</v>
      </c>
      <c r="L267">
        <v>4800.96</v>
      </c>
      <c r="M267">
        <v>181</v>
      </c>
      <c r="N267">
        <v>1</v>
      </c>
      <c r="O267">
        <v>0.4</v>
      </c>
    </row>
    <row r="268" spans="1:15" x14ac:dyDescent="0.25">
      <c r="A268" t="s">
        <v>279</v>
      </c>
      <c r="B268" s="1">
        <v>45407</v>
      </c>
      <c r="C268" t="s">
        <v>537</v>
      </c>
      <c r="D268" t="s">
        <v>542</v>
      </c>
      <c r="E268" t="s">
        <v>546</v>
      </c>
      <c r="F268" t="s">
        <v>549</v>
      </c>
      <c r="G268" t="s">
        <v>806</v>
      </c>
      <c r="H268" t="s">
        <v>1044</v>
      </c>
      <c r="I268">
        <v>6420</v>
      </c>
      <c r="J268">
        <v>0.25</v>
      </c>
      <c r="K268">
        <v>4815</v>
      </c>
      <c r="L268">
        <v>4474.6899999999996</v>
      </c>
      <c r="M268">
        <v>63</v>
      </c>
      <c r="N268">
        <v>2</v>
      </c>
      <c r="O268">
        <v>0.37</v>
      </c>
    </row>
    <row r="269" spans="1:15" x14ac:dyDescent="0.25">
      <c r="A269" t="s">
        <v>280</v>
      </c>
      <c r="B269" s="1">
        <v>45366</v>
      </c>
      <c r="C269" t="s">
        <v>535</v>
      </c>
      <c r="D269" t="s">
        <v>538</v>
      </c>
      <c r="E269" t="s">
        <v>546</v>
      </c>
      <c r="F269" t="s">
        <v>550</v>
      </c>
      <c r="G269" t="s">
        <v>807</v>
      </c>
      <c r="H269" t="s">
        <v>1043</v>
      </c>
      <c r="I269">
        <v>1865</v>
      </c>
      <c r="J269">
        <v>0.3</v>
      </c>
      <c r="K269">
        <v>1305.5</v>
      </c>
      <c r="L269">
        <v>1236.1500000000001</v>
      </c>
      <c r="M269">
        <v>151</v>
      </c>
      <c r="N269">
        <v>2</v>
      </c>
      <c r="O269">
        <v>0.28999999999999998</v>
      </c>
    </row>
    <row r="270" spans="1:15" x14ac:dyDescent="0.25">
      <c r="A270" t="s">
        <v>281</v>
      </c>
      <c r="B270" s="1">
        <v>45404</v>
      </c>
      <c r="C270" t="s">
        <v>536</v>
      </c>
      <c r="D270" t="s">
        <v>544</v>
      </c>
      <c r="E270" t="s">
        <v>545</v>
      </c>
      <c r="F270" t="s">
        <v>547</v>
      </c>
      <c r="G270" t="s">
        <v>670</v>
      </c>
      <c r="H270" t="s">
        <v>1042</v>
      </c>
      <c r="I270">
        <v>7753</v>
      </c>
      <c r="J270">
        <v>0.27</v>
      </c>
      <c r="K270">
        <v>5659.69</v>
      </c>
      <c r="L270">
        <v>5530.17</v>
      </c>
      <c r="M270">
        <v>131</v>
      </c>
      <c r="N270">
        <v>2</v>
      </c>
      <c r="O270">
        <v>0.4</v>
      </c>
    </row>
    <row r="271" spans="1:15" x14ac:dyDescent="0.25">
      <c r="A271" t="s">
        <v>282</v>
      </c>
      <c r="B271" s="1">
        <v>45455</v>
      </c>
      <c r="C271" t="s">
        <v>536</v>
      </c>
      <c r="D271" t="s">
        <v>544</v>
      </c>
      <c r="E271" t="s">
        <v>545</v>
      </c>
      <c r="F271" t="s">
        <v>549</v>
      </c>
      <c r="G271" t="s">
        <v>808</v>
      </c>
      <c r="H271" t="s">
        <v>1042</v>
      </c>
      <c r="I271">
        <v>3725</v>
      </c>
      <c r="J271">
        <v>0.34</v>
      </c>
      <c r="K271">
        <v>2458.5</v>
      </c>
      <c r="L271">
        <v>1816.55</v>
      </c>
      <c r="M271">
        <v>190</v>
      </c>
      <c r="N271">
        <v>2</v>
      </c>
      <c r="O271">
        <v>0.41</v>
      </c>
    </row>
    <row r="272" spans="1:15" x14ac:dyDescent="0.25">
      <c r="A272" t="s">
        <v>283</v>
      </c>
      <c r="B272" s="1">
        <v>45457</v>
      </c>
      <c r="C272" t="s">
        <v>535</v>
      </c>
      <c r="D272" t="s">
        <v>538</v>
      </c>
      <c r="E272" t="s">
        <v>546</v>
      </c>
      <c r="F272" t="s">
        <v>547</v>
      </c>
      <c r="G272" t="s">
        <v>809</v>
      </c>
      <c r="H272" t="s">
        <v>1042</v>
      </c>
      <c r="I272">
        <v>5905</v>
      </c>
      <c r="J272">
        <v>0.14000000000000001</v>
      </c>
      <c r="K272">
        <v>5078.3</v>
      </c>
      <c r="L272">
        <v>4026.87</v>
      </c>
      <c r="M272">
        <v>195</v>
      </c>
      <c r="N272">
        <v>3</v>
      </c>
      <c r="O272">
        <v>0.34</v>
      </c>
    </row>
    <row r="273" spans="1:15" x14ac:dyDescent="0.25">
      <c r="A273" t="s">
        <v>284</v>
      </c>
      <c r="B273" s="1">
        <v>45395</v>
      </c>
      <c r="C273" t="s">
        <v>536</v>
      </c>
      <c r="D273" t="s">
        <v>539</v>
      </c>
      <c r="E273" t="s">
        <v>546</v>
      </c>
      <c r="F273" t="s">
        <v>549</v>
      </c>
      <c r="G273" t="s">
        <v>810</v>
      </c>
      <c r="H273" t="s">
        <v>1042</v>
      </c>
      <c r="I273">
        <v>6816</v>
      </c>
      <c r="J273">
        <v>0.25</v>
      </c>
      <c r="K273">
        <v>5112</v>
      </c>
      <c r="L273">
        <v>4185.63</v>
      </c>
      <c r="M273">
        <v>17</v>
      </c>
      <c r="N273">
        <v>1</v>
      </c>
      <c r="O273">
        <v>0.38</v>
      </c>
    </row>
    <row r="274" spans="1:15" x14ac:dyDescent="0.25">
      <c r="A274" t="s">
        <v>285</v>
      </c>
      <c r="B274" s="1">
        <v>45375</v>
      </c>
      <c r="C274" t="s">
        <v>535</v>
      </c>
      <c r="D274" t="s">
        <v>538</v>
      </c>
      <c r="E274" t="s">
        <v>546</v>
      </c>
      <c r="F274" t="s">
        <v>548</v>
      </c>
      <c r="G274" t="s">
        <v>811</v>
      </c>
      <c r="H274" t="s">
        <v>1044</v>
      </c>
      <c r="I274">
        <v>4046</v>
      </c>
      <c r="J274">
        <v>0.12</v>
      </c>
      <c r="K274">
        <v>3560.48</v>
      </c>
      <c r="L274">
        <v>2120.0300000000002</v>
      </c>
      <c r="M274">
        <v>165</v>
      </c>
      <c r="N274">
        <v>1</v>
      </c>
      <c r="O274">
        <v>0.41</v>
      </c>
    </row>
    <row r="275" spans="1:15" x14ac:dyDescent="0.25">
      <c r="A275" t="s">
        <v>286</v>
      </c>
      <c r="B275" s="1">
        <v>45403</v>
      </c>
      <c r="C275" t="s">
        <v>537</v>
      </c>
      <c r="D275" t="s">
        <v>543</v>
      </c>
      <c r="E275" t="s">
        <v>545</v>
      </c>
      <c r="F275" t="s">
        <v>549</v>
      </c>
      <c r="G275" t="s">
        <v>812</v>
      </c>
      <c r="H275" t="s">
        <v>1045</v>
      </c>
      <c r="I275">
        <v>1897</v>
      </c>
      <c r="J275">
        <v>0.35</v>
      </c>
      <c r="K275">
        <v>1233.05</v>
      </c>
      <c r="L275">
        <v>1163.51</v>
      </c>
      <c r="M275">
        <v>152</v>
      </c>
      <c r="N275">
        <v>2</v>
      </c>
      <c r="O275">
        <v>0.34</v>
      </c>
    </row>
    <row r="276" spans="1:15" x14ac:dyDescent="0.25">
      <c r="A276" t="s">
        <v>287</v>
      </c>
      <c r="B276" s="1">
        <v>45390</v>
      </c>
      <c r="C276" t="s">
        <v>537</v>
      </c>
      <c r="D276" t="s">
        <v>541</v>
      </c>
      <c r="E276" t="s">
        <v>545</v>
      </c>
      <c r="F276" t="s">
        <v>550</v>
      </c>
      <c r="G276" t="s">
        <v>813</v>
      </c>
      <c r="H276" t="s">
        <v>1045</v>
      </c>
      <c r="I276">
        <v>5563</v>
      </c>
      <c r="J276">
        <v>0.14000000000000001</v>
      </c>
      <c r="K276">
        <v>4784.18</v>
      </c>
      <c r="L276">
        <v>2964.36</v>
      </c>
      <c r="M276">
        <v>190</v>
      </c>
      <c r="N276">
        <v>3</v>
      </c>
      <c r="O276">
        <v>0.31</v>
      </c>
    </row>
    <row r="277" spans="1:15" x14ac:dyDescent="0.25">
      <c r="A277" t="s">
        <v>288</v>
      </c>
      <c r="B277" s="1">
        <v>45444</v>
      </c>
      <c r="C277" t="s">
        <v>535</v>
      </c>
      <c r="D277" t="s">
        <v>540</v>
      </c>
      <c r="E277" t="s">
        <v>545</v>
      </c>
      <c r="F277" t="s">
        <v>548</v>
      </c>
      <c r="G277" t="s">
        <v>814</v>
      </c>
      <c r="H277" t="s">
        <v>1042</v>
      </c>
      <c r="I277">
        <v>7655</v>
      </c>
      <c r="J277">
        <v>0.19</v>
      </c>
      <c r="K277">
        <v>6200.55</v>
      </c>
      <c r="L277">
        <v>5488.96</v>
      </c>
      <c r="M277">
        <v>183</v>
      </c>
      <c r="N277">
        <v>2</v>
      </c>
      <c r="O277">
        <v>0.4</v>
      </c>
    </row>
    <row r="278" spans="1:15" x14ac:dyDescent="0.25">
      <c r="A278" t="s">
        <v>289</v>
      </c>
      <c r="B278" s="1">
        <v>45384</v>
      </c>
      <c r="C278" t="s">
        <v>535</v>
      </c>
      <c r="D278" t="s">
        <v>538</v>
      </c>
      <c r="E278" t="s">
        <v>546</v>
      </c>
      <c r="F278" t="s">
        <v>549</v>
      </c>
      <c r="G278" t="s">
        <v>815</v>
      </c>
      <c r="H278" t="s">
        <v>1042</v>
      </c>
      <c r="I278">
        <v>5735</v>
      </c>
      <c r="J278">
        <v>0.17</v>
      </c>
      <c r="K278">
        <v>4760.05</v>
      </c>
      <c r="L278">
        <v>3100.2</v>
      </c>
      <c r="M278">
        <v>24</v>
      </c>
      <c r="N278">
        <v>1</v>
      </c>
      <c r="O278">
        <v>0.44</v>
      </c>
    </row>
    <row r="279" spans="1:15" x14ac:dyDescent="0.25">
      <c r="A279" t="s">
        <v>290</v>
      </c>
      <c r="B279" s="1">
        <v>45437</v>
      </c>
      <c r="C279" t="s">
        <v>535</v>
      </c>
      <c r="D279" t="s">
        <v>538</v>
      </c>
      <c r="E279" t="s">
        <v>545</v>
      </c>
      <c r="F279" t="s">
        <v>550</v>
      </c>
      <c r="G279" t="s">
        <v>816</v>
      </c>
      <c r="H279" t="s">
        <v>1043</v>
      </c>
      <c r="I279">
        <v>6403</v>
      </c>
      <c r="J279">
        <v>0.21</v>
      </c>
      <c r="K279">
        <v>5058.37</v>
      </c>
      <c r="L279">
        <v>3227.7</v>
      </c>
      <c r="M279">
        <v>12</v>
      </c>
      <c r="N279">
        <v>2</v>
      </c>
      <c r="O279">
        <v>0.43</v>
      </c>
    </row>
    <row r="280" spans="1:15" x14ac:dyDescent="0.25">
      <c r="A280" t="s">
        <v>291</v>
      </c>
      <c r="B280" s="1">
        <v>45419</v>
      </c>
      <c r="C280" t="s">
        <v>535</v>
      </c>
      <c r="D280" t="s">
        <v>540</v>
      </c>
      <c r="E280" t="s">
        <v>545</v>
      </c>
      <c r="F280" t="s">
        <v>549</v>
      </c>
      <c r="G280" t="s">
        <v>817</v>
      </c>
      <c r="H280" t="s">
        <v>1042</v>
      </c>
      <c r="I280">
        <v>6524</v>
      </c>
      <c r="J280">
        <v>0.28999999999999998</v>
      </c>
      <c r="K280">
        <v>4632.04</v>
      </c>
      <c r="L280">
        <v>4606.83</v>
      </c>
      <c r="M280">
        <v>165</v>
      </c>
      <c r="N280">
        <v>2</v>
      </c>
      <c r="O280">
        <v>0.3</v>
      </c>
    </row>
    <row r="281" spans="1:15" x14ac:dyDescent="0.25">
      <c r="A281" t="s">
        <v>292</v>
      </c>
      <c r="B281" s="1">
        <v>45401</v>
      </c>
      <c r="C281" t="s">
        <v>536</v>
      </c>
      <c r="D281" t="s">
        <v>544</v>
      </c>
      <c r="E281" t="s">
        <v>546</v>
      </c>
      <c r="F281" t="s">
        <v>549</v>
      </c>
      <c r="G281" t="s">
        <v>818</v>
      </c>
      <c r="H281" t="s">
        <v>1044</v>
      </c>
      <c r="I281">
        <v>7307</v>
      </c>
      <c r="J281">
        <v>0.21</v>
      </c>
      <c r="K281">
        <v>5772.53</v>
      </c>
      <c r="L281">
        <v>3768.48</v>
      </c>
      <c r="M281">
        <v>110</v>
      </c>
      <c r="N281">
        <v>1</v>
      </c>
      <c r="O281">
        <v>0.44</v>
      </c>
    </row>
    <row r="282" spans="1:15" x14ac:dyDescent="0.25">
      <c r="A282" t="s">
        <v>293</v>
      </c>
      <c r="B282" s="1">
        <v>45373</v>
      </c>
      <c r="C282" t="s">
        <v>537</v>
      </c>
      <c r="D282" t="s">
        <v>543</v>
      </c>
      <c r="E282" t="s">
        <v>545</v>
      </c>
      <c r="F282" t="s">
        <v>550</v>
      </c>
      <c r="G282" t="s">
        <v>819</v>
      </c>
      <c r="H282" t="s">
        <v>1042</v>
      </c>
      <c r="I282">
        <v>669</v>
      </c>
      <c r="J282">
        <v>0.28999999999999998</v>
      </c>
      <c r="K282">
        <v>474.99</v>
      </c>
      <c r="L282">
        <v>483.27</v>
      </c>
      <c r="M282">
        <v>107</v>
      </c>
      <c r="N282">
        <v>1</v>
      </c>
      <c r="O282">
        <v>0.44</v>
      </c>
    </row>
    <row r="283" spans="1:15" x14ac:dyDescent="0.25">
      <c r="A283" t="s">
        <v>294</v>
      </c>
      <c r="B283" s="1">
        <v>45345</v>
      </c>
      <c r="C283" t="s">
        <v>537</v>
      </c>
      <c r="D283" t="s">
        <v>543</v>
      </c>
      <c r="E283" t="s">
        <v>546</v>
      </c>
      <c r="F283" t="s">
        <v>548</v>
      </c>
      <c r="G283" t="s">
        <v>820</v>
      </c>
      <c r="H283" t="s">
        <v>1043</v>
      </c>
      <c r="I283">
        <v>57</v>
      </c>
      <c r="J283">
        <v>0.28000000000000003</v>
      </c>
      <c r="K283">
        <v>41.04</v>
      </c>
      <c r="L283">
        <v>30.95</v>
      </c>
      <c r="M283">
        <v>103</v>
      </c>
      <c r="N283">
        <v>1</v>
      </c>
      <c r="O283">
        <v>0.36</v>
      </c>
    </row>
    <row r="284" spans="1:15" x14ac:dyDescent="0.25">
      <c r="A284" t="s">
        <v>295</v>
      </c>
      <c r="B284" s="1">
        <v>45454</v>
      </c>
      <c r="C284" t="s">
        <v>536</v>
      </c>
      <c r="D284" t="s">
        <v>544</v>
      </c>
      <c r="E284" t="s">
        <v>545</v>
      </c>
      <c r="F284" t="s">
        <v>549</v>
      </c>
      <c r="G284" t="s">
        <v>821</v>
      </c>
      <c r="H284" t="s">
        <v>1045</v>
      </c>
      <c r="I284">
        <v>135</v>
      </c>
      <c r="J284">
        <v>0.23</v>
      </c>
      <c r="K284">
        <v>103.95</v>
      </c>
      <c r="L284">
        <v>94.58</v>
      </c>
      <c r="M284">
        <v>45</v>
      </c>
      <c r="N284">
        <v>1</v>
      </c>
      <c r="O284">
        <v>0.34</v>
      </c>
    </row>
    <row r="285" spans="1:15" x14ac:dyDescent="0.25">
      <c r="A285" t="s">
        <v>296</v>
      </c>
      <c r="B285" s="1">
        <v>45460</v>
      </c>
      <c r="C285" t="s">
        <v>537</v>
      </c>
      <c r="D285" t="s">
        <v>541</v>
      </c>
      <c r="E285" t="s">
        <v>546</v>
      </c>
      <c r="F285" t="s">
        <v>548</v>
      </c>
      <c r="G285" t="s">
        <v>822</v>
      </c>
      <c r="H285" t="s">
        <v>1043</v>
      </c>
      <c r="I285">
        <v>5933</v>
      </c>
      <c r="J285">
        <v>0.1</v>
      </c>
      <c r="K285">
        <v>5339.7</v>
      </c>
      <c r="L285">
        <v>3585.94</v>
      </c>
      <c r="M285">
        <v>185</v>
      </c>
      <c r="N285">
        <v>3</v>
      </c>
      <c r="O285">
        <v>0.32</v>
      </c>
    </row>
    <row r="286" spans="1:15" x14ac:dyDescent="0.25">
      <c r="A286" t="s">
        <v>297</v>
      </c>
      <c r="B286" s="1">
        <v>45452</v>
      </c>
      <c r="C286" t="s">
        <v>535</v>
      </c>
      <c r="D286" t="s">
        <v>540</v>
      </c>
      <c r="E286" t="s">
        <v>545</v>
      </c>
      <c r="F286" t="s">
        <v>548</v>
      </c>
      <c r="G286" t="s">
        <v>823</v>
      </c>
      <c r="H286" t="s">
        <v>1045</v>
      </c>
      <c r="I286">
        <v>4155</v>
      </c>
      <c r="J286">
        <v>0.32</v>
      </c>
      <c r="K286">
        <v>2825.4</v>
      </c>
      <c r="L286">
        <v>2061.4699999999998</v>
      </c>
      <c r="M286">
        <v>164</v>
      </c>
      <c r="N286">
        <v>2</v>
      </c>
      <c r="O286">
        <v>0.45</v>
      </c>
    </row>
    <row r="287" spans="1:15" x14ac:dyDescent="0.25">
      <c r="A287" t="s">
        <v>298</v>
      </c>
      <c r="B287" s="1">
        <v>45359</v>
      </c>
      <c r="C287" t="s">
        <v>535</v>
      </c>
      <c r="D287" t="s">
        <v>540</v>
      </c>
      <c r="E287" t="s">
        <v>546</v>
      </c>
      <c r="F287" t="s">
        <v>548</v>
      </c>
      <c r="G287" t="s">
        <v>824</v>
      </c>
      <c r="H287" t="s">
        <v>1042</v>
      </c>
      <c r="I287">
        <v>2501</v>
      </c>
      <c r="J287">
        <v>0.28000000000000003</v>
      </c>
      <c r="K287">
        <v>1800.72</v>
      </c>
      <c r="L287">
        <v>1814.55</v>
      </c>
      <c r="M287">
        <v>122</v>
      </c>
      <c r="N287">
        <v>3</v>
      </c>
      <c r="O287">
        <v>0.38</v>
      </c>
    </row>
    <row r="288" spans="1:15" x14ac:dyDescent="0.25">
      <c r="A288" t="s">
        <v>299</v>
      </c>
      <c r="B288" s="1">
        <v>45324</v>
      </c>
      <c r="C288" t="s">
        <v>535</v>
      </c>
      <c r="D288" t="s">
        <v>538</v>
      </c>
      <c r="E288" t="s">
        <v>546</v>
      </c>
      <c r="F288" t="s">
        <v>547</v>
      </c>
      <c r="G288" t="s">
        <v>825</v>
      </c>
      <c r="H288" t="s">
        <v>1042</v>
      </c>
      <c r="I288">
        <v>742</v>
      </c>
      <c r="J288">
        <v>0.16</v>
      </c>
      <c r="K288">
        <v>623.28</v>
      </c>
      <c r="L288">
        <v>480.07</v>
      </c>
      <c r="M288">
        <v>123</v>
      </c>
      <c r="N288">
        <v>1</v>
      </c>
      <c r="O288">
        <v>0.31</v>
      </c>
    </row>
    <row r="289" spans="1:15" x14ac:dyDescent="0.25">
      <c r="A289" t="s">
        <v>300</v>
      </c>
      <c r="B289" s="1">
        <v>45433</v>
      </c>
      <c r="C289" t="s">
        <v>536</v>
      </c>
      <c r="D289" t="s">
        <v>544</v>
      </c>
      <c r="E289" t="s">
        <v>546</v>
      </c>
      <c r="F289" t="s">
        <v>548</v>
      </c>
      <c r="G289" t="s">
        <v>826</v>
      </c>
      <c r="H289" t="s">
        <v>1045</v>
      </c>
      <c r="I289">
        <v>6070</v>
      </c>
      <c r="J289">
        <v>0.06</v>
      </c>
      <c r="K289">
        <v>5705.8</v>
      </c>
      <c r="L289">
        <v>3050.58</v>
      </c>
      <c r="M289">
        <v>107</v>
      </c>
      <c r="N289">
        <v>1</v>
      </c>
      <c r="O289">
        <v>0.32</v>
      </c>
    </row>
    <row r="290" spans="1:15" x14ac:dyDescent="0.25">
      <c r="A290" t="s">
        <v>301</v>
      </c>
      <c r="B290" s="1">
        <v>45312</v>
      </c>
      <c r="C290" t="s">
        <v>535</v>
      </c>
      <c r="D290" t="s">
        <v>538</v>
      </c>
      <c r="E290" t="s">
        <v>546</v>
      </c>
      <c r="F290" t="s">
        <v>548</v>
      </c>
      <c r="G290" t="s">
        <v>827</v>
      </c>
      <c r="H290" t="s">
        <v>1045</v>
      </c>
      <c r="I290">
        <v>6292</v>
      </c>
      <c r="J290">
        <v>0.15</v>
      </c>
      <c r="K290">
        <v>5348.2</v>
      </c>
      <c r="L290">
        <v>4416.34</v>
      </c>
      <c r="M290">
        <v>118</v>
      </c>
      <c r="N290">
        <v>3</v>
      </c>
      <c r="O290">
        <v>0.43</v>
      </c>
    </row>
    <row r="291" spans="1:15" x14ac:dyDescent="0.25">
      <c r="A291" t="s">
        <v>302</v>
      </c>
      <c r="B291" s="1">
        <v>45339</v>
      </c>
      <c r="C291" t="s">
        <v>537</v>
      </c>
      <c r="D291" t="s">
        <v>542</v>
      </c>
      <c r="E291" t="s">
        <v>545</v>
      </c>
      <c r="F291" t="s">
        <v>547</v>
      </c>
      <c r="G291" t="s">
        <v>828</v>
      </c>
      <c r="H291" t="s">
        <v>1044</v>
      </c>
      <c r="I291">
        <v>923</v>
      </c>
      <c r="J291">
        <v>0.32</v>
      </c>
      <c r="K291">
        <v>627.64</v>
      </c>
      <c r="L291">
        <v>566.12</v>
      </c>
      <c r="M291">
        <v>118</v>
      </c>
      <c r="N291">
        <v>1</v>
      </c>
      <c r="O291">
        <v>0.32</v>
      </c>
    </row>
    <row r="292" spans="1:15" x14ac:dyDescent="0.25">
      <c r="A292" t="s">
        <v>303</v>
      </c>
      <c r="B292" s="1">
        <v>45439</v>
      </c>
      <c r="C292" t="s">
        <v>536</v>
      </c>
      <c r="D292" t="s">
        <v>544</v>
      </c>
      <c r="E292" t="s">
        <v>546</v>
      </c>
      <c r="F292" t="s">
        <v>548</v>
      </c>
      <c r="G292" t="s">
        <v>829</v>
      </c>
      <c r="H292" t="s">
        <v>1043</v>
      </c>
      <c r="I292">
        <v>3626</v>
      </c>
      <c r="J292">
        <v>0.16</v>
      </c>
      <c r="K292">
        <v>3045.84</v>
      </c>
      <c r="L292">
        <v>1952.86</v>
      </c>
      <c r="M292">
        <v>174</v>
      </c>
      <c r="N292">
        <v>1</v>
      </c>
      <c r="O292">
        <v>0.35</v>
      </c>
    </row>
    <row r="293" spans="1:15" x14ac:dyDescent="0.25">
      <c r="A293" t="s">
        <v>304</v>
      </c>
      <c r="B293" s="1">
        <v>45419</v>
      </c>
      <c r="C293" t="s">
        <v>536</v>
      </c>
      <c r="D293" t="s">
        <v>544</v>
      </c>
      <c r="E293" t="s">
        <v>546</v>
      </c>
      <c r="F293" t="s">
        <v>548</v>
      </c>
      <c r="G293" t="s">
        <v>811</v>
      </c>
      <c r="H293" t="s">
        <v>1043</v>
      </c>
      <c r="I293">
        <v>6158</v>
      </c>
      <c r="J293">
        <v>0.28000000000000003</v>
      </c>
      <c r="K293">
        <v>4433.76</v>
      </c>
      <c r="L293">
        <v>3980.5</v>
      </c>
      <c r="M293">
        <v>76</v>
      </c>
      <c r="N293">
        <v>2</v>
      </c>
      <c r="O293">
        <v>0.43</v>
      </c>
    </row>
    <row r="294" spans="1:15" x14ac:dyDescent="0.25">
      <c r="A294" t="s">
        <v>305</v>
      </c>
      <c r="B294" s="1">
        <v>45427</v>
      </c>
      <c r="C294" t="s">
        <v>535</v>
      </c>
      <c r="D294" t="s">
        <v>538</v>
      </c>
      <c r="E294" t="s">
        <v>546</v>
      </c>
      <c r="F294" t="s">
        <v>549</v>
      </c>
      <c r="G294" t="s">
        <v>830</v>
      </c>
      <c r="H294" t="s">
        <v>1045</v>
      </c>
      <c r="I294">
        <v>5008</v>
      </c>
      <c r="J294">
        <v>0.09</v>
      </c>
      <c r="K294">
        <v>4557.28</v>
      </c>
      <c r="L294">
        <v>3403.76</v>
      </c>
      <c r="M294">
        <v>66</v>
      </c>
      <c r="N294">
        <v>1</v>
      </c>
      <c r="O294">
        <v>0.35</v>
      </c>
    </row>
    <row r="295" spans="1:15" x14ac:dyDescent="0.25">
      <c r="A295" t="s">
        <v>306</v>
      </c>
      <c r="B295" s="1">
        <v>45426</v>
      </c>
      <c r="C295" t="s">
        <v>537</v>
      </c>
      <c r="D295" t="s">
        <v>542</v>
      </c>
      <c r="E295" t="s">
        <v>545</v>
      </c>
      <c r="F295" t="s">
        <v>547</v>
      </c>
      <c r="G295" t="s">
        <v>831</v>
      </c>
      <c r="H295" t="s">
        <v>1044</v>
      </c>
      <c r="I295">
        <v>5784</v>
      </c>
      <c r="J295">
        <v>0.14000000000000001</v>
      </c>
      <c r="K295">
        <v>4974.24</v>
      </c>
      <c r="L295">
        <v>3130.2</v>
      </c>
      <c r="M295">
        <v>12</v>
      </c>
      <c r="N295">
        <v>3</v>
      </c>
      <c r="O295">
        <v>0.28999999999999998</v>
      </c>
    </row>
    <row r="296" spans="1:15" x14ac:dyDescent="0.25">
      <c r="A296" t="s">
        <v>307</v>
      </c>
      <c r="B296" s="1">
        <v>45436</v>
      </c>
      <c r="C296" t="s">
        <v>537</v>
      </c>
      <c r="D296" t="s">
        <v>541</v>
      </c>
      <c r="E296" t="s">
        <v>545</v>
      </c>
      <c r="F296" t="s">
        <v>548</v>
      </c>
      <c r="G296" t="s">
        <v>832</v>
      </c>
      <c r="H296" t="s">
        <v>1045</v>
      </c>
      <c r="I296">
        <v>2038</v>
      </c>
      <c r="J296">
        <v>0.28000000000000003</v>
      </c>
      <c r="K296">
        <v>1467.36</v>
      </c>
      <c r="L296">
        <v>1289.83</v>
      </c>
      <c r="M296">
        <v>39</v>
      </c>
      <c r="N296">
        <v>2</v>
      </c>
      <c r="O296">
        <v>0.42</v>
      </c>
    </row>
    <row r="297" spans="1:15" x14ac:dyDescent="0.25">
      <c r="A297" t="s">
        <v>308</v>
      </c>
      <c r="B297" s="1">
        <v>45419</v>
      </c>
      <c r="C297" t="s">
        <v>536</v>
      </c>
      <c r="D297" t="s">
        <v>539</v>
      </c>
      <c r="E297" t="s">
        <v>546</v>
      </c>
      <c r="F297" t="s">
        <v>550</v>
      </c>
      <c r="G297" t="s">
        <v>833</v>
      </c>
      <c r="H297" t="s">
        <v>1042</v>
      </c>
      <c r="I297">
        <v>3500</v>
      </c>
      <c r="J297">
        <v>0.35</v>
      </c>
      <c r="K297">
        <v>2275</v>
      </c>
      <c r="L297">
        <v>2001.04</v>
      </c>
      <c r="M297">
        <v>25</v>
      </c>
      <c r="N297">
        <v>2</v>
      </c>
      <c r="O297">
        <v>0.35</v>
      </c>
    </row>
    <row r="298" spans="1:15" x14ac:dyDescent="0.25">
      <c r="A298" t="s">
        <v>309</v>
      </c>
      <c r="B298" s="1">
        <v>45324</v>
      </c>
      <c r="C298" t="s">
        <v>535</v>
      </c>
      <c r="D298" t="s">
        <v>538</v>
      </c>
      <c r="E298" t="s">
        <v>546</v>
      </c>
      <c r="F298" t="s">
        <v>548</v>
      </c>
      <c r="G298" t="s">
        <v>834</v>
      </c>
      <c r="H298" t="s">
        <v>1043</v>
      </c>
      <c r="I298">
        <v>3323</v>
      </c>
      <c r="J298">
        <v>0.06</v>
      </c>
      <c r="K298">
        <v>3123.62</v>
      </c>
      <c r="L298">
        <v>1763.54</v>
      </c>
      <c r="M298">
        <v>18</v>
      </c>
      <c r="N298">
        <v>1</v>
      </c>
      <c r="O298">
        <v>0.44</v>
      </c>
    </row>
    <row r="299" spans="1:15" x14ac:dyDescent="0.25">
      <c r="A299" t="s">
        <v>310</v>
      </c>
      <c r="B299" s="1">
        <v>45467</v>
      </c>
      <c r="C299" t="s">
        <v>537</v>
      </c>
      <c r="D299" t="s">
        <v>542</v>
      </c>
      <c r="E299" t="s">
        <v>545</v>
      </c>
      <c r="F299" t="s">
        <v>547</v>
      </c>
      <c r="G299" t="s">
        <v>835</v>
      </c>
      <c r="H299" t="s">
        <v>1042</v>
      </c>
      <c r="I299">
        <v>5280</v>
      </c>
      <c r="J299">
        <v>0.26</v>
      </c>
      <c r="K299">
        <v>3907.2</v>
      </c>
      <c r="L299">
        <v>3578.26</v>
      </c>
      <c r="M299">
        <v>111</v>
      </c>
      <c r="N299">
        <v>1</v>
      </c>
      <c r="O299">
        <v>0.37</v>
      </c>
    </row>
    <row r="300" spans="1:15" x14ac:dyDescent="0.25">
      <c r="A300" t="s">
        <v>311</v>
      </c>
      <c r="B300" s="1">
        <v>45406</v>
      </c>
      <c r="C300" t="s">
        <v>536</v>
      </c>
      <c r="D300" t="s">
        <v>544</v>
      </c>
      <c r="E300" t="s">
        <v>545</v>
      </c>
      <c r="F300" t="s">
        <v>547</v>
      </c>
      <c r="G300" t="s">
        <v>836</v>
      </c>
      <c r="H300" t="s">
        <v>1042</v>
      </c>
      <c r="I300">
        <v>7411</v>
      </c>
      <c r="J300">
        <v>0.26</v>
      </c>
      <c r="K300">
        <v>5484.14</v>
      </c>
      <c r="L300">
        <v>4923.1099999999997</v>
      </c>
      <c r="M300">
        <v>132</v>
      </c>
      <c r="N300">
        <v>2</v>
      </c>
      <c r="O300">
        <v>0.44</v>
      </c>
    </row>
    <row r="301" spans="1:15" x14ac:dyDescent="0.25">
      <c r="A301" t="s">
        <v>312</v>
      </c>
      <c r="B301" s="1">
        <v>45410</v>
      </c>
      <c r="C301" t="s">
        <v>537</v>
      </c>
      <c r="D301" t="s">
        <v>541</v>
      </c>
      <c r="E301" t="s">
        <v>545</v>
      </c>
      <c r="F301" t="s">
        <v>547</v>
      </c>
      <c r="G301" t="s">
        <v>837</v>
      </c>
      <c r="H301" t="s">
        <v>1045</v>
      </c>
      <c r="I301">
        <v>3539</v>
      </c>
      <c r="J301">
        <v>0.28999999999999998</v>
      </c>
      <c r="K301">
        <v>2512.69</v>
      </c>
      <c r="L301">
        <v>1799.84</v>
      </c>
      <c r="M301">
        <v>150</v>
      </c>
      <c r="N301">
        <v>2</v>
      </c>
      <c r="O301">
        <v>0.34</v>
      </c>
    </row>
    <row r="302" spans="1:15" x14ac:dyDescent="0.25">
      <c r="A302" t="s">
        <v>313</v>
      </c>
      <c r="B302" s="1">
        <v>45313</v>
      </c>
      <c r="C302" t="s">
        <v>535</v>
      </c>
      <c r="D302" t="s">
        <v>540</v>
      </c>
      <c r="E302" t="s">
        <v>545</v>
      </c>
      <c r="F302" t="s">
        <v>547</v>
      </c>
      <c r="G302" t="s">
        <v>838</v>
      </c>
      <c r="H302" t="s">
        <v>1042</v>
      </c>
      <c r="I302">
        <v>1953</v>
      </c>
      <c r="J302">
        <v>0.22</v>
      </c>
      <c r="K302">
        <v>1523.34</v>
      </c>
      <c r="L302">
        <v>1433.75</v>
      </c>
      <c r="M302">
        <v>74</v>
      </c>
      <c r="N302">
        <v>1</v>
      </c>
      <c r="O302">
        <v>0.34</v>
      </c>
    </row>
    <row r="303" spans="1:15" x14ac:dyDescent="0.25">
      <c r="A303" t="s">
        <v>314</v>
      </c>
      <c r="B303" s="1">
        <v>45449</v>
      </c>
      <c r="C303" t="s">
        <v>537</v>
      </c>
      <c r="D303" t="s">
        <v>542</v>
      </c>
      <c r="E303" t="s">
        <v>545</v>
      </c>
      <c r="F303" t="s">
        <v>548</v>
      </c>
      <c r="G303" t="s">
        <v>839</v>
      </c>
      <c r="H303" t="s">
        <v>1044</v>
      </c>
      <c r="I303">
        <v>2585</v>
      </c>
      <c r="J303">
        <v>0.28999999999999998</v>
      </c>
      <c r="K303">
        <v>1835.35</v>
      </c>
      <c r="L303">
        <v>1640.89</v>
      </c>
      <c r="M303">
        <v>171</v>
      </c>
      <c r="N303">
        <v>1</v>
      </c>
      <c r="O303">
        <v>0.3</v>
      </c>
    </row>
    <row r="304" spans="1:15" x14ac:dyDescent="0.25">
      <c r="A304" t="s">
        <v>315</v>
      </c>
      <c r="B304" s="1">
        <v>45329</v>
      </c>
      <c r="C304" t="s">
        <v>536</v>
      </c>
      <c r="D304" t="s">
        <v>539</v>
      </c>
      <c r="E304" t="s">
        <v>545</v>
      </c>
      <c r="F304" t="s">
        <v>548</v>
      </c>
      <c r="G304" t="s">
        <v>840</v>
      </c>
      <c r="H304" t="s">
        <v>1045</v>
      </c>
      <c r="I304">
        <v>5337</v>
      </c>
      <c r="J304">
        <v>7.0000000000000007E-2</v>
      </c>
      <c r="K304">
        <v>4963.41</v>
      </c>
      <c r="L304">
        <v>3209.88</v>
      </c>
      <c r="M304">
        <v>36</v>
      </c>
      <c r="N304">
        <v>2</v>
      </c>
      <c r="O304">
        <v>0.3</v>
      </c>
    </row>
    <row r="305" spans="1:15" x14ac:dyDescent="0.25">
      <c r="A305" t="s">
        <v>316</v>
      </c>
      <c r="B305" s="1">
        <v>45400</v>
      </c>
      <c r="C305" t="s">
        <v>537</v>
      </c>
      <c r="D305" t="s">
        <v>541</v>
      </c>
      <c r="E305" t="s">
        <v>546</v>
      </c>
      <c r="F305" t="s">
        <v>548</v>
      </c>
      <c r="G305" t="s">
        <v>841</v>
      </c>
      <c r="H305" t="s">
        <v>1044</v>
      </c>
      <c r="I305">
        <v>7772</v>
      </c>
      <c r="J305">
        <v>0.31</v>
      </c>
      <c r="K305">
        <v>5362.68</v>
      </c>
      <c r="L305">
        <v>3864.1</v>
      </c>
      <c r="M305">
        <v>181</v>
      </c>
      <c r="N305">
        <v>3</v>
      </c>
      <c r="O305">
        <v>0.33</v>
      </c>
    </row>
    <row r="306" spans="1:15" x14ac:dyDescent="0.25">
      <c r="A306" t="s">
        <v>317</v>
      </c>
      <c r="B306" s="1">
        <v>45342</v>
      </c>
      <c r="C306" t="s">
        <v>536</v>
      </c>
      <c r="D306" t="s">
        <v>539</v>
      </c>
      <c r="E306" t="s">
        <v>546</v>
      </c>
      <c r="F306" t="s">
        <v>547</v>
      </c>
      <c r="G306" t="s">
        <v>842</v>
      </c>
      <c r="H306" t="s">
        <v>1043</v>
      </c>
      <c r="I306">
        <v>424</v>
      </c>
      <c r="J306">
        <v>0.22</v>
      </c>
      <c r="K306">
        <v>330.72</v>
      </c>
      <c r="L306">
        <v>296.74</v>
      </c>
      <c r="M306">
        <v>92</v>
      </c>
      <c r="N306">
        <v>3</v>
      </c>
      <c r="O306">
        <v>0.28000000000000003</v>
      </c>
    </row>
    <row r="307" spans="1:15" x14ac:dyDescent="0.25">
      <c r="A307" t="s">
        <v>318</v>
      </c>
      <c r="B307" s="1">
        <v>45299</v>
      </c>
      <c r="C307" t="s">
        <v>535</v>
      </c>
      <c r="D307" t="s">
        <v>540</v>
      </c>
      <c r="E307" t="s">
        <v>546</v>
      </c>
      <c r="F307" t="s">
        <v>549</v>
      </c>
      <c r="G307" t="s">
        <v>843</v>
      </c>
      <c r="H307" t="s">
        <v>1044</v>
      </c>
      <c r="I307">
        <v>1974</v>
      </c>
      <c r="J307">
        <v>0.16</v>
      </c>
      <c r="K307">
        <v>1658.16</v>
      </c>
      <c r="L307">
        <v>1256.23</v>
      </c>
      <c r="M307">
        <v>106</v>
      </c>
      <c r="N307">
        <v>1</v>
      </c>
      <c r="O307">
        <v>0.4</v>
      </c>
    </row>
    <row r="308" spans="1:15" x14ac:dyDescent="0.25">
      <c r="A308" t="s">
        <v>319</v>
      </c>
      <c r="B308" s="1">
        <v>45318</v>
      </c>
      <c r="C308" t="s">
        <v>535</v>
      </c>
      <c r="D308" t="s">
        <v>538</v>
      </c>
      <c r="E308" t="s">
        <v>545</v>
      </c>
      <c r="F308" t="s">
        <v>549</v>
      </c>
      <c r="G308" t="s">
        <v>844</v>
      </c>
      <c r="H308" t="s">
        <v>1043</v>
      </c>
      <c r="I308">
        <v>99</v>
      </c>
      <c r="J308">
        <v>0.18</v>
      </c>
      <c r="K308">
        <v>81.180000000000007</v>
      </c>
      <c r="L308">
        <v>64.91</v>
      </c>
      <c r="M308">
        <v>132</v>
      </c>
      <c r="N308">
        <v>2</v>
      </c>
      <c r="O308">
        <v>0.31</v>
      </c>
    </row>
    <row r="309" spans="1:15" x14ac:dyDescent="0.25">
      <c r="A309" t="s">
        <v>320</v>
      </c>
      <c r="B309" s="1">
        <v>45318</v>
      </c>
      <c r="C309" t="s">
        <v>535</v>
      </c>
      <c r="D309" t="s">
        <v>540</v>
      </c>
      <c r="E309" t="s">
        <v>545</v>
      </c>
      <c r="F309" t="s">
        <v>549</v>
      </c>
      <c r="G309" t="s">
        <v>845</v>
      </c>
      <c r="H309" t="s">
        <v>1044</v>
      </c>
      <c r="I309">
        <v>4360</v>
      </c>
      <c r="J309">
        <v>0.11</v>
      </c>
      <c r="K309">
        <v>3880.4</v>
      </c>
      <c r="L309">
        <v>2509.1799999999998</v>
      </c>
      <c r="M309">
        <v>63</v>
      </c>
      <c r="N309">
        <v>1</v>
      </c>
      <c r="O309">
        <v>0.3</v>
      </c>
    </row>
    <row r="310" spans="1:15" x14ac:dyDescent="0.25">
      <c r="A310" t="s">
        <v>321</v>
      </c>
      <c r="B310" s="1">
        <v>45312</v>
      </c>
      <c r="C310" t="s">
        <v>537</v>
      </c>
      <c r="D310" t="s">
        <v>541</v>
      </c>
      <c r="E310" t="s">
        <v>545</v>
      </c>
      <c r="F310" t="s">
        <v>550</v>
      </c>
      <c r="G310" t="s">
        <v>846</v>
      </c>
      <c r="H310" t="s">
        <v>1042</v>
      </c>
      <c r="I310">
        <v>6411</v>
      </c>
      <c r="J310">
        <v>0.19</v>
      </c>
      <c r="K310">
        <v>5192.91</v>
      </c>
      <c r="L310">
        <v>4764.21</v>
      </c>
      <c r="M310">
        <v>75</v>
      </c>
      <c r="N310">
        <v>2</v>
      </c>
      <c r="O310">
        <v>0.37</v>
      </c>
    </row>
    <row r="311" spans="1:15" x14ac:dyDescent="0.25">
      <c r="A311" t="s">
        <v>322</v>
      </c>
      <c r="B311" s="1">
        <v>45321</v>
      </c>
      <c r="C311" t="s">
        <v>537</v>
      </c>
      <c r="D311" t="s">
        <v>542</v>
      </c>
      <c r="E311" t="s">
        <v>546</v>
      </c>
      <c r="F311" t="s">
        <v>547</v>
      </c>
      <c r="G311" t="s">
        <v>847</v>
      </c>
      <c r="H311" t="s">
        <v>1042</v>
      </c>
      <c r="I311">
        <v>4570</v>
      </c>
      <c r="J311">
        <v>0.11</v>
      </c>
      <c r="K311">
        <v>4067.3</v>
      </c>
      <c r="L311">
        <v>2769.01</v>
      </c>
      <c r="M311">
        <v>80</v>
      </c>
      <c r="N311">
        <v>3</v>
      </c>
      <c r="O311">
        <v>0.38</v>
      </c>
    </row>
    <row r="312" spans="1:15" x14ac:dyDescent="0.25">
      <c r="A312" t="s">
        <v>323</v>
      </c>
      <c r="B312" s="1">
        <v>45388</v>
      </c>
      <c r="C312" t="s">
        <v>535</v>
      </c>
      <c r="D312" t="s">
        <v>540</v>
      </c>
      <c r="E312" t="s">
        <v>545</v>
      </c>
      <c r="F312" t="s">
        <v>549</v>
      </c>
      <c r="G312" t="s">
        <v>848</v>
      </c>
      <c r="H312" t="s">
        <v>1042</v>
      </c>
      <c r="I312">
        <v>2683</v>
      </c>
      <c r="J312">
        <v>0.26</v>
      </c>
      <c r="K312">
        <v>1985.42</v>
      </c>
      <c r="L312">
        <v>1323.21</v>
      </c>
      <c r="M312">
        <v>192</v>
      </c>
      <c r="N312">
        <v>3</v>
      </c>
      <c r="O312">
        <v>0.31</v>
      </c>
    </row>
    <row r="313" spans="1:15" x14ac:dyDescent="0.25">
      <c r="A313" t="s">
        <v>324</v>
      </c>
      <c r="B313" s="1">
        <v>45319</v>
      </c>
      <c r="C313" t="s">
        <v>537</v>
      </c>
      <c r="D313" t="s">
        <v>541</v>
      </c>
      <c r="E313" t="s">
        <v>546</v>
      </c>
      <c r="F313" t="s">
        <v>547</v>
      </c>
      <c r="G313" t="s">
        <v>849</v>
      </c>
      <c r="H313" t="s">
        <v>1042</v>
      </c>
      <c r="I313">
        <v>4548</v>
      </c>
      <c r="J313">
        <v>0.24</v>
      </c>
      <c r="K313">
        <v>3456.48</v>
      </c>
      <c r="L313">
        <v>2931.42</v>
      </c>
      <c r="M313">
        <v>167</v>
      </c>
      <c r="N313">
        <v>1</v>
      </c>
      <c r="O313">
        <v>0.28000000000000003</v>
      </c>
    </row>
    <row r="314" spans="1:15" x14ac:dyDescent="0.25">
      <c r="A314" t="s">
        <v>325</v>
      </c>
      <c r="B314" s="1">
        <v>45402</v>
      </c>
      <c r="C314" t="s">
        <v>537</v>
      </c>
      <c r="D314" t="s">
        <v>541</v>
      </c>
      <c r="E314" t="s">
        <v>545</v>
      </c>
      <c r="F314" t="s">
        <v>548</v>
      </c>
      <c r="G314" t="s">
        <v>850</v>
      </c>
      <c r="H314" t="s">
        <v>1045</v>
      </c>
      <c r="I314">
        <v>7569</v>
      </c>
      <c r="J314">
        <v>0.23</v>
      </c>
      <c r="K314">
        <v>5828.13</v>
      </c>
      <c r="L314">
        <v>4116.57</v>
      </c>
      <c r="M314">
        <v>109</v>
      </c>
      <c r="N314">
        <v>3</v>
      </c>
      <c r="O314">
        <v>0.38</v>
      </c>
    </row>
    <row r="315" spans="1:15" x14ac:dyDescent="0.25">
      <c r="A315" t="s">
        <v>326</v>
      </c>
      <c r="B315" s="1">
        <v>45352</v>
      </c>
      <c r="C315" t="s">
        <v>535</v>
      </c>
      <c r="D315" t="s">
        <v>540</v>
      </c>
      <c r="E315" t="s">
        <v>546</v>
      </c>
      <c r="F315" t="s">
        <v>550</v>
      </c>
      <c r="G315" t="s">
        <v>851</v>
      </c>
      <c r="H315" t="s">
        <v>1045</v>
      </c>
      <c r="I315">
        <v>7296</v>
      </c>
      <c r="J315">
        <v>0.11</v>
      </c>
      <c r="K315">
        <v>6493.44</v>
      </c>
      <c r="L315">
        <v>5338.61</v>
      </c>
      <c r="M315">
        <v>158</v>
      </c>
      <c r="N315">
        <v>3</v>
      </c>
      <c r="O315">
        <v>0.41</v>
      </c>
    </row>
    <row r="316" spans="1:15" x14ac:dyDescent="0.25">
      <c r="A316" t="s">
        <v>327</v>
      </c>
      <c r="B316" s="1">
        <v>45339</v>
      </c>
      <c r="C316" t="s">
        <v>537</v>
      </c>
      <c r="D316" t="s">
        <v>543</v>
      </c>
      <c r="E316" t="s">
        <v>546</v>
      </c>
      <c r="F316" t="s">
        <v>547</v>
      </c>
      <c r="G316" t="s">
        <v>852</v>
      </c>
      <c r="H316" t="s">
        <v>1045</v>
      </c>
      <c r="I316">
        <v>2978</v>
      </c>
      <c r="J316">
        <v>0.17</v>
      </c>
      <c r="K316">
        <v>2471.7399999999998</v>
      </c>
      <c r="L316">
        <v>2176.56</v>
      </c>
      <c r="M316">
        <v>146</v>
      </c>
      <c r="N316">
        <v>3</v>
      </c>
      <c r="O316">
        <v>0.44</v>
      </c>
    </row>
    <row r="317" spans="1:15" x14ac:dyDescent="0.25">
      <c r="A317" t="s">
        <v>328</v>
      </c>
      <c r="B317" s="1">
        <v>45438</v>
      </c>
      <c r="C317" t="s">
        <v>535</v>
      </c>
      <c r="D317" t="s">
        <v>540</v>
      </c>
      <c r="E317" t="s">
        <v>546</v>
      </c>
      <c r="F317" t="s">
        <v>550</v>
      </c>
      <c r="G317" t="s">
        <v>853</v>
      </c>
      <c r="H317" t="s">
        <v>1042</v>
      </c>
      <c r="I317">
        <v>6455</v>
      </c>
      <c r="J317">
        <v>0.34</v>
      </c>
      <c r="K317">
        <v>4260.3</v>
      </c>
      <c r="L317">
        <v>3102.07</v>
      </c>
      <c r="M317">
        <v>123</v>
      </c>
      <c r="N317">
        <v>3</v>
      </c>
      <c r="O317">
        <v>0.35</v>
      </c>
    </row>
    <row r="318" spans="1:15" x14ac:dyDescent="0.25">
      <c r="A318" t="s">
        <v>329</v>
      </c>
      <c r="B318" s="1">
        <v>45295</v>
      </c>
      <c r="C318" t="s">
        <v>536</v>
      </c>
      <c r="D318" t="s">
        <v>539</v>
      </c>
      <c r="E318" t="s">
        <v>545</v>
      </c>
      <c r="F318" t="s">
        <v>548</v>
      </c>
      <c r="G318" t="s">
        <v>854</v>
      </c>
      <c r="H318" t="s">
        <v>1044</v>
      </c>
      <c r="I318">
        <v>3392</v>
      </c>
      <c r="J318">
        <v>0.3</v>
      </c>
      <c r="K318">
        <v>2374.4</v>
      </c>
      <c r="L318">
        <v>2048.15</v>
      </c>
      <c r="M318">
        <v>164</v>
      </c>
      <c r="N318">
        <v>2</v>
      </c>
      <c r="O318">
        <v>0.45</v>
      </c>
    </row>
    <row r="319" spans="1:15" x14ac:dyDescent="0.25">
      <c r="A319" t="s">
        <v>330</v>
      </c>
      <c r="B319" s="1">
        <v>45326</v>
      </c>
      <c r="C319" t="s">
        <v>535</v>
      </c>
      <c r="D319" t="s">
        <v>540</v>
      </c>
      <c r="E319" t="s">
        <v>545</v>
      </c>
      <c r="F319" t="s">
        <v>547</v>
      </c>
      <c r="G319" t="s">
        <v>855</v>
      </c>
      <c r="H319" t="s">
        <v>1043</v>
      </c>
      <c r="I319">
        <v>2309</v>
      </c>
      <c r="J319">
        <v>0.11</v>
      </c>
      <c r="K319">
        <v>2055.0100000000002</v>
      </c>
      <c r="L319">
        <v>1492.07</v>
      </c>
      <c r="M319">
        <v>160</v>
      </c>
      <c r="N319">
        <v>3</v>
      </c>
      <c r="O319">
        <v>0.41</v>
      </c>
    </row>
    <row r="320" spans="1:15" x14ac:dyDescent="0.25">
      <c r="A320" t="s">
        <v>331</v>
      </c>
      <c r="B320" s="1">
        <v>45340</v>
      </c>
      <c r="C320" t="s">
        <v>536</v>
      </c>
      <c r="D320" t="s">
        <v>539</v>
      </c>
      <c r="E320" t="s">
        <v>546</v>
      </c>
      <c r="F320" t="s">
        <v>547</v>
      </c>
      <c r="G320" t="s">
        <v>856</v>
      </c>
      <c r="H320" t="s">
        <v>1044</v>
      </c>
      <c r="I320">
        <v>5089</v>
      </c>
      <c r="J320">
        <v>0.32</v>
      </c>
      <c r="K320">
        <v>3460.52</v>
      </c>
      <c r="L320">
        <v>2831.82</v>
      </c>
      <c r="M320">
        <v>187</v>
      </c>
      <c r="N320">
        <v>3</v>
      </c>
      <c r="O320">
        <v>0.32</v>
      </c>
    </row>
    <row r="321" spans="1:15" x14ac:dyDescent="0.25">
      <c r="A321" t="s">
        <v>332</v>
      </c>
      <c r="B321" s="1">
        <v>45308</v>
      </c>
      <c r="C321" t="s">
        <v>536</v>
      </c>
      <c r="D321" t="s">
        <v>544</v>
      </c>
      <c r="E321" t="s">
        <v>546</v>
      </c>
      <c r="F321" t="s">
        <v>550</v>
      </c>
      <c r="G321" t="s">
        <v>857</v>
      </c>
      <c r="H321" t="s">
        <v>1044</v>
      </c>
      <c r="I321">
        <v>1723</v>
      </c>
      <c r="J321">
        <v>0.32</v>
      </c>
      <c r="K321">
        <v>1171.6400000000001</v>
      </c>
      <c r="L321">
        <v>973.47</v>
      </c>
      <c r="M321">
        <v>173</v>
      </c>
      <c r="N321">
        <v>3</v>
      </c>
      <c r="O321">
        <v>0.33</v>
      </c>
    </row>
    <row r="322" spans="1:15" x14ac:dyDescent="0.25">
      <c r="A322" t="s">
        <v>333</v>
      </c>
      <c r="B322" s="1">
        <v>45463</v>
      </c>
      <c r="C322" t="s">
        <v>537</v>
      </c>
      <c r="D322" t="s">
        <v>541</v>
      </c>
      <c r="E322" t="s">
        <v>546</v>
      </c>
      <c r="F322" t="s">
        <v>550</v>
      </c>
      <c r="G322" t="s">
        <v>858</v>
      </c>
      <c r="H322" t="s">
        <v>1044</v>
      </c>
      <c r="I322">
        <v>1961</v>
      </c>
      <c r="J322">
        <v>0.35</v>
      </c>
      <c r="K322">
        <v>1274.6500000000001</v>
      </c>
      <c r="L322">
        <v>1053.94</v>
      </c>
      <c r="M322">
        <v>82</v>
      </c>
      <c r="N322">
        <v>1</v>
      </c>
      <c r="O322">
        <v>0.38</v>
      </c>
    </row>
    <row r="323" spans="1:15" x14ac:dyDescent="0.25">
      <c r="A323" t="s">
        <v>334</v>
      </c>
      <c r="B323" s="1">
        <v>45449</v>
      </c>
      <c r="C323" t="s">
        <v>536</v>
      </c>
      <c r="D323" t="s">
        <v>539</v>
      </c>
      <c r="E323" t="s">
        <v>546</v>
      </c>
      <c r="F323" t="s">
        <v>549</v>
      </c>
      <c r="G323" t="s">
        <v>859</v>
      </c>
      <c r="H323" t="s">
        <v>1043</v>
      </c>
      <c r="I323">
        <v>2646</v>
      </c>
      <c r="J323">
        <v>0.25</v>
      </c>
      <c r="K323">
        <v>1984.5</v>
      </c>
      <c r="L323">
        <v>1815.73</v>
      </c>
      <c r="M323">
        <v>94</v>
      </c>
      <c r="N323">
        <v>2</v>
      </c>
      <c r="O323">
        <v>0.39</v>
      </c>
    </row>
    <row r="324" spans="1:15" x14ac:dyDescent="0.25">
      <c r="A324" t="s">
        <v>335</v>
      </c>
      <c r="B324" s="1">
        <v>45337</v>
      </c>
      <c r="C324" t="s">
        <v>536</v>
      </c>
      <c r="D324" t="s">
        <v>544</v>
      </c>
      <c r="E324" t="s">
        <v>546</v>
      </c>
      <c r="F324" t="s">
        <v>550</v>
      </c>
      <c r="G324" t="s">
        <v>860</v>
      </c>
      <c r="H324" t="s">
        <v>1042</v>
      </c>
      <c r="I324">
        <v>3747</v>
      </c>
      <c r="J324">
        <v>0.24</v>
      </c>
      <c r="K324">
        <v>2847.72</v>
      </c>
      <c r="L324">
        <v>2738.62</v>
      </c>
      <c r="M324">
        <v>101</v>
      </c>
      <c r="N324">
        <v>2</v>
      </c>
      <c r="O324">
        <v>0.42</v>
      </c>
    </row>
    <row r="325" spans="1:15" x14ac:dyDescent="0.25">
      <c r="A325" t="s">
        <v>336</v>
      </c>
      <c r="B325" s="1">
        <v>45408</v>
      </c>
      <c r="C325" t="s">
        <v>536</v>
      </c>
      <c r="D325" t="s">
        <v>544</v>
      </c>
      <c r="E325" t="s">
        <v>546</v>
      </c>
      <c r="F325" t="s">
        <v>547</v>
      </c>
      <c r="G325" t="s">
        <v>861</v>
      </c>
      <c r="H325" t="s">
        <v>1043</v>
      </c>
      <c r="I325">
        <v>4401</v>
      </c>
      <c r="J325">
        <v>0.17</v>
      </c>
      <c r="K325">
        <v>3652.83</v>
      </c>
      <c r="L325">
        <v>2600.36</v>
      </c>
      <c r="M325">
        <v>97</v>
      </c>
      <c r="N325">
        <v>3</v>
      </c>
      <c r="O325">
        <v>0.33</v>
      </c>
    </row>
    <row r="326" spans="1:15" x14ac:dyDescent="0.25">
      <c r="A326" t="s">
        <v>337</v>
      </c>
      <c r="B326" s="1">
        <v>45297</v>
      </c>
      <c r="C326" t="s">
        <v>537</v>
      </c>
      <c r="D326" t="s">
        <v>543</v>
      </c>
      <c r="E326" t="s">
        <v>546</v>
      </c>
      <c r="F326" t="s">
        <v>550</v>
      </c>
      <c r="G326" t="s">
        <v>862</v>
      </c>
      <c r="H326" t="s">
        <v>1043</v>
      </c>
      <c r="I326">
        <v>7255</v>
      </c>
      <c r="J326">
        <v>0.08</v>
      </c>
      <c r="K326">
        <v>6674.6</v>
      </c>
      <c r="L326">
        <v>4388.75</v>
      </c>
      <c r="M326">
        <v>101</v>
      </c>
      <c r="N326">
        <v>1</v>
      </c>
      <c r="O326">
        <v>0.41</v>
      </c>
    </row>
    <row r="327" spans="1:15" x14ac:dyDescent="0.25">
      <c r="A327" t="s">
        <v>338</v>
      </c>
      <c r="B327" s="1">
        <v>45390</v>
      </c>
      <c r="C327" t="s">
        <v>536</v>
      </c>
      <c r="D327" t="s">
        <v>544</v>
      </c>
      <c r="E327" t="s">
        <v>546</v>
      </c>
      <c r="F327" t="s">
        <v>548</v>
      </c>
      <c r="G327" t="s">
        <v>747</v>
      </c>
      <c r="H327" t="s">
        <v>1045</v>
      </c>
      <c r="I327">
        <v>5298</v>
      </c>
      <c r="J327">
        <v>0.14000000000000001</v>
      </c>
      <c r="K327">
        <v>4556.28</v>
      </c>
      <c r="L327">
        <v>2781.38</v>
      </c>
      <c r="M327">
        <v>65</v>
      </c>
      <c r="N327">
        <v>2</v>
      </c>
      <c r="O327">
        <v>0.37</v>
      </c>
    </row>
    <row r="328" spans="1:15" x14ac:dyDescent="0.25">
      <c r="A328" t="s">
        <v>339</v>
      </c>
      <c r="B328" s="1">
        <v>45415</v>
      </c>
      <c r="C328" t="s">
        <v>535</v>
      </c>
      <c r="D328" t="s">
        <v>540</v>
      </c>
      <c r="E328" t="s">
        <v>545</v>
      </c>
      <c r="F328" t="s">
        <v>550</v>
      </c>
      <c r="G328" t="s">
        <v>863</v>
      </c>
      <c r="H328" t="s">
        <v>1045</v>
      </c>
      <c r="I328">
        <v>5918</v>
      </c>
      <c r="J328">
        <v>0.14000000000000001</v>
      </c>
      <c r="K328">
        <v>5089.4799999999996</v>
      </c>
      <c r="L328">
        <v>4285.4399999999996</v>
      </c>
      <c r="M328">
        <v>105</v>
      </c>
      <c r="N328">
        <v>1</v>
      </c>
      <c r="O328">
        <v>0.34</v>
      </c>
    </row>
    <row r="329" spans="1:15" x14ac:dyDescent="0.25">
      <c r="A329" t="s">
        <v>340</v>
      </c>
      <c r="B329" s="1">
        <v>45328</v>
      </c>
      <c r="C329" t="s">
        <v>537</v>
      </c>
      <c r="D329" t="s">
        <v>543</v>
      </c>
      <c r="E329" t="s">
        <v>546</v>
      </c>
      <c r="F329" t="s">
        <v>548</v>
      </c>
      <c r="G329" t="s">
        <v>864</v>
      </c>
      <c r="H329" t="s">
        <v>1045</v>
      </c>
      <c r="I329">
        <v>1286</v>
      </c>
      <c r="J329">
        <v>0.32</v>
      </c>
      <c r="K329">
        <v>874.48</v>
      </c>
      <c r="L329">
        <v>608.65</v>
      </c>
      <c r="M329">
        <v>118</v>
      </c>
      <c r="N329">
        <v>3</v>
      </c>
      <c r="O329">
        <v>0.34</v>
      </c>
    </row>
    <row r="330" spans="1:15" x14ac:dyDescent="0.25">
      <c r="A330" t="s">
        <v>341</v>
      </c>
      <c r="B330" s="1">
        <v>45315</v>
      </c>
      <c r="C330" t="s">
        <v>537</v>
      </c>
      <c r="D330" t="s">
        <v>542</v>
      </c>
      <c r="E330" t="s">
        <v>545</v>
      </c>
      <c r="F330" t="s">
        <v>550</v>
      </c>
      <c r="G330" t="s">
        <v>865</v>
      </c>
      <c r="H330" t="s">
        <v>1042</v>
      </c>
      <c r="I330">
        <v>6664</v>
      </c>
      <c r="J330">
        <v>0.19</v>
      </c>
      <c r="K330">
        <v>5397.84</v>
      </c>
      <c r="L330">
        <v>3827.5</v>
      </c>
      <c r="M330">
        <v>136</v>
      </c>
      <c r="N330">
        <v>2</v>
      </c>
      <c r="O330">
        <v>0.33</v>
      </c>
    </row>
    <row r="331" spans="1:15" x14ac:dyDescent="0.25">
      <c r="A331" t="s">
        <v>342</v>
      </c>
      <c r="B331" s="1">
        <v>45384</v>
      </c>
      <c r="C331" t="s">
        <v>535</v>
      </c>
      <c r="D331" t="s">
        <v>540</v>
      </c>
      <c r="E331" t="s">
        <v>545</v>
      </c>
      <c r="F331" t="s">
        <v>547</v>
      </c>
      <c r="G331" t="s">
        <v>866</v>
      </c>
      <c r="H331" t="s">
        <v>1042</v>
      </c>
      <c r="I331">
        <v>4640</v>
      </c>
      <c r="J331">
        <v>0.2</v>
      </c>
      <c r="K331">
        <v>3712</v>
      </c>
      <c r="L331">
        <v>2686.02</v>
      </c>
      <c r="M331">
        <v>113</v>
      </c>
      <c r="N331">
        <v>1</v>
      </c>
      <c r="O331">
        <v>0.4</v>
      </c>
    </row>
    <row r="332" spans="1:15" x14ac:dyDescent="0.25">
      <c r="A332" t="s">
        <v>343</v>
      </c>
      <c r="B332" s="1">
        <v>45337</v>
      </c>
      <c r="C332" t="s">
        <v>537</v>
      </c>
      <c r="D332" t="s">
        <v>543</v>
      </c>
      <c r="E332" t="s">
        <v>546</v>
      </c>
      <c r="F332" t="s">
        <v>550</v>
      </c>
      <c r="G332" t="s">
        <v>867</v>
      </c>
      <c r="H332" t="s">
        <v>1043</v>
      </c>
      <c r="I332">
        <v>770</v>
      </c>
      <c r="J332">
        <v>0.17</v>
      </c>
      <c r="K332">
        <v>639.1</v>
      </c>
      <c r="L332">
        <v>515.69000000000005</v>
      </c>
      <c r="M332">
        <v>131</v>
      </c>
      <c r="N332">
        <v>2</v>
      </c>
      <c r="O332">
        <v>0.39</v>
      </c>
    </row>
    <row r="333" spans="1:15" x14ac:dyDescent="0.25">
      <c r="A333" t="s">
        <v>344</v>
      </c>
      <c r="B333" s="1">
        <v>45386</v>
      </c>
      <c r="C333" t="s">
        <v>537</v>
      </c>
      <c r="D333" t="s">
        <v>542</v>
      </c>
      <c r="E333" t="s">
        <v>545</v>
      </c>
      <c r="F333" t="s">
        <v>550</v>
      </c>
      <c r="G333" t="s">
        <v>846</v>
      </c>
      <c r="H333" t="s">
        <v>1043</v>
      </c>
      <c r="I333">
        <v>7896</v>
      </c>
      <c r="J333">
        <v>7.0000000000000007E-2</v>
      </c>
      <c r="K333">
        <v>7343.28</v>
      </c>
      <c r="L333">
        <v>4479.4799999999996</v>
      </c>
      <c r="M333">
        <v>156</v>
      </c>
      <c r="N333">
        <v>2</v>
      </c>
      <c r="O333">
        <v>0.32</v>
      </c>
    </row>
    <row r="334" spans="1:15" x14ac:dyDescent="0.25">
      <c r="A334" t="s">
        <v>345</v>
      </c>
      <c r="B334" s="1">
        <v>45390</v>
      </c>
      <c r="C334" t="s">
        <v>536</v>
      </c>
      <c r="D334" t="s">
        <v>539</v>
      </c>
      <c r="E334" t="s">
        <v>546</v>
      </c>
      <c r="F334" t="s">
        <v>547</v>
      </c>
      <c r="G334" t="s">
        <v>780</v>
      </c>
      <c r="H334" t="s">
        <v>1043</v>
      </c>
      <c r="I334">
        <v>3602</v>
      </c>
      <c r="J334">
        <v>0.21</v>
      </c>
      <c r="K334">
        <v>2845.58</v>
      </c>
      <c r="L334">
        <v>2373.46</v>
      </c>
      <c r="M334">
        <v>184</v>
      </c>
      <c r="N334">
        <v>2</v>
      </c>
      <c r="O334">
        <v>0.31</v>
      </c>
    </row>
    <row r="335" spans="1:15" x14ac:dyDescent="0.25">
      <c r="A335" t="s">
        <v>346</v>
      </c>
      <c r="B335" s="1">
        <v>45407</v>
      </c>
      <c r="C335" t="s">
        <v>536</v>
      </c>
      <c r="D335" t="s">
        <v>539</v>
      </c>
      <c r="E335" t="s">
        <v>546</v>
      </c>
      <c r="F335" t="s">
        <v>550</v>
      </c>
      <c r="G335" t="s">
        <v>868</v>
      </c>
      <c r="H335" t="s">
        <v>1045</v>
      </c>
      <c r="I335">
        <v>4065</v>
      </c>
      <c r="J335">
        <v>0.33</v>
      </c>
      <c r="K335">
        <v>2723.55</v>
      </c>
      <c r="L335">
        <v>2678.79</v>
      </c>
      <c r="M335">
        <v>73</v>
      </c>
      <c r="N335">
        <v>1</v>
      </c>
      <c r="O335">
        <v>0.34</v>
      </c>
    </row>
    <row r="336" spans="1:15" x14ac:dyDescent="0.25">
      <c r="A336" t="s">
        <v>347</v>
      </c>
      <c r="B336" s="1">
        <v>45451</v>
      </c>
      <c r="C336" t="s">
        <v>537</v>
      </c>
      <c r="D336" t="s">
        <v>542</v>
      </c>
      <c r="E336" t="s">
        <v>546</v>
      </c>
      <c r="F336" t="s">
        <v>548</v>
      </c>
      <c r="G336" t="s">
        <v>869</v>
      </c>
      <c r="H336" t="s">
        <v>1043</v>
      </c>
      <c r="I336">
        <v>4450</v>
      </c>
      <c r="J336">
        <v>0.25</v>
      </c>
      <c r="K336">
        <v>3337.5</v>
      </c>
      <c r="L336">
        <v>3034.44</v>
      </c>
      <c r="M336">
        <v>112</v>
      </c>
      <c r="N336">
        <v>1</v>
      </c>
      <c r="O336">
        <v>0.41</v>
      </c>
    </row>
    <row r="337" spans="1:15" x14ac:dyDescent="0.25">
      <c r="A337" t="s">
        <v>348</v>
      </c>
      <c r="B337" s="1">
        <v>45452</v>
      </c>
      <c r="C337" t="s">
        <v>535</v>
      </c>
      <c r="D337" t="s">
        <v>540</v>
      </c>
      <c r="E337" t="s">
        <v>545</v>
      </c>
      <c r="F337" t="s">
        <v>547</v>
      </c>
      <c r="G337" t="s">
        <v>870</v>
      </c>
      <c r="H337" t="s">
        <v>1044</v>
      </c>
      <c r="I337">
        <v>7424</v>
      </c>
      <c r="J337">
        <v>0.32</v>
      </c>
      <c r="K337">
        <v>5048.32</v>
      </c>
      <c r="L337">
        <v>3835.02</v>
      </c>
      <c r="M337">
        <v>35</v>
      </c>
      <c r="N337">
        <v>1</v>
      </c>
      <c r="O337">
        <v>0.4</v>
      </c>
    </row>
    <row r="338" spans="1:15" x14ac:dyDescent="0.25">
      <c r="A338" t="s">
        <v>349</v>
      </c>
      <c r="B338" s="1">
        <v>45358</v>
      </c>
      <c r="C338" t="s">
        <v>535</v>
      </c>
      <c r="D338" t="s">
        <v>540</v>
      </c>
      <c r="E338" t="s">
        <v>545</v>
      </c>
      <c r="F338" t="s">
        <v>547</v>
      </c>
      <c r="G338" t="s">
        <v>871</v>
      </c>
      <c r="H338" t="s">
        <v>1045</v>
      </c>
      <c r="I338">
        <v>2596</v>
      </c>
      <c r="J338">
        <v>0.09</v>
      </c>
      <c r="K338">
        <v>2362.36</v>
      </c>
      <c r="L338">
        <v>1390.55</v>
      </c>
      <c r="M338">
        <v>166</v>
      </c>
      <c r="N338">
        <v>3</v>
      </c>
      <c r="O338">
        <v>0.42</v>
      </c>
    </row>
    <row r="339" spans="1:15" x14ac:dyDescent="0.25">
      <c r="A339" t="s">
        <v>350</v>
      </c>
      <c r="B339" s="1">
        <v>45419</v>
      </c>
      <c r="C339" t="s">
        <v>536</v>
      </c>
      <c r="D339" t="s">
        <v>539</v>
      </c>
      <c r="E339" t="s">
        <v>546</v>
      </c>
      <c r="F339" t="s">
        <v>548</v>
      </c>
      <c r="G339" t="s">
        <v>872</v>
      </c>
      <c r="H339" t="s">
        <v>1043</v>
      </c>
      <c r="I339">
        <v>2154</v>
      </c>
      <c r="J339">
        <v>0.28999999999999998</v>
      </c>
      <c r="K339">
        <v>1529.34</v>
      </c>
      <c r="L339">
        <v>1552.03</v>
      </c>
      <c r="M339">
        <v>57</v>
      </c>
      <c r="N339">
        <v>2</v>
      </c>
      <c r="O339">
        <v>0.28999999999999998</v>
      </c>
    </row>
    <row r="340" spans="1:15" x14ac:dyDescent="0.25">
      <c r="A340" t="s">
        <v>351</v>
      </c>
      <c r="B340" s="1">
        <v>45309</v>
      </c>
      <c r="C340" t="s">
        <v>537</v>
      </c>
      <c r="D340" t="s">
        <v>541</v>
      </c>
      <c r="E340" t="s">
        <v>545</v>
      </c>
      <c r="F340" t="s">
        <v>547</v>
      </c>
      <c r="G340" t="s">
        <v>873</v>
      </c>
      <c r="H340" t="s">
        <v>1044</v>
      </c>
      <c r="I340">
        <v>781</v>
      </c>
      <c r="J340">
        <v>0.21</v>
      </c>
      <c r="K340">
        <v>616.99</v>
      </c>
      <c r="L340">
        <v>581.46</v>
      </c>
      <c r="M340">
        <v>91</v>
      </c>
      <c r="N340">
        <v>2</v>
      </c>
      <c r="O340">
        <v>0.37</v>
      </c>
    </row>
    <row r="341" spans="1:15" x14ac:dyDescent="0.25">
      <c r="A341" t="s">
        <v>352</v>
      </c>
      <c r="B341" s="1">
        <v>45316</v>
      </c>
      <c r="C341" t="s">
        <v>535</v>
      </c>
      <c r="D341" t="s">
        <v>540</v>
      </c>
      <c r="E341" t="s">
        <v>546</v>
      </c>
      <c r="F341" t="s">
        <v>550</v>
      </c>
      <c r="G341" t="s">
        <v>874</v>
      </c>
      <c r="H341" t="s">
        <v>1044</v>
      </c>
      <c r="I341">
        <v>52</v>
      </c>
      <c r="J341">
        <v>0.16</v>
      </c>
      <c r="K341">
        <v>43.68</v>
      </c>
      <c r="L341">
        <v>29.21</v>
      </c>
      <c r="M341">
        <v>68</v>
      </c>
      <c r="N341">
        <v>3</v>
      </c>
      <c r="O341">
        <v>0.34</v>
      </c>
    </row>
    <row r="342" spans="1:15" x14ac:dyDescent="0.25">
      <c r="A342" t="s">
        <v>353</v>
      </c>
      <c r="B342" s="1">
        <v>45345</v>
      </c>
      <c r="C342" t="s">
        <v>536</v>
      </c>
      <c r="D342" t="s">
        <v>544</v>
      </c>
      <c r="E342" t="s">
        <v>545</v>
      </c>
      <c r="F342" t="s">
        <v>548</v>
      </c>
      <c r="G342" t="s">
        <v>778</v>
      </c>
      <c r="H342" t="s">
        <v>1044</v>
      </c>
      <c r="I342">
        <v>7631</v>
      </c>
      <c r="J342">
        <v>0.12</v>
      </c>
      <c r="K342">
        <v>6715.28</v>
      </c>
      <c r="L342">
        <v>4948.74</v>
      </c>
      <c r="M342">
        <v>58</v>
      </c>
      <c r="N342">
        <v>1</v>
      </c>
      <c r="O342">
        <v>0.28000000000000003</v>
      </c>
    </row>
    <row r="343" spans="1:15" x14ac:dyDescent="0.25">
      <c r="A343" t="s">
        <v>354</v>
      </c>
      <c r="B343" s="1">
        <v>45349</v>
      </c>
      <c r="C343" t="s">
        <v>537</v>
      </c>
      <c r="D343" t="s">
        <v>542</v>
      </c>
      <c r="E343" t="s">
        <v>546</v>
      </c>
      <c r="F343" t="s">
        <v>549</v>
      </c>
      <c r="G343" t="s">
        <v>875</v>
      </c>
      <c r="H343" t="s">
        <v>1045</v>
      </c>
      <c r="I343">
        <v>2005</v>
      </c>
      <c r="J343">
        <v>0.28000000000000003</v>
      </c>
      <c r="K343">
        <v>1443.6</v>
      </c>
      <c r="L343">
        <v>1253.3499999999999</v>
      </c>
      <c r="M343">
        <v>110</v>
      </c>
      <c r="N343">
        <v>1</v>
      </c>
      <c r="O343">
        <v>0.34</v>
      </c>
    </row>
    <row r="344" spans="1:15" x14ac:dyDescent="0.25">
      <c r="A344" t="s">
        <v>355</v>
      </c>
      <c r="B344" s="1">
        <v>45358</v>
      </c>
      <c r="C344" t="s">
        <v>537</v>
      </c>
      <c r="D344" t="s">
        <v>542</v>
      </c>
      <c r="E344" t="s">
        <v>545</v>
      </c>
      <c r="F344" t="s">
        <v>548</v>
      </c>
      <c r="G344" t="s">
        <v>876</v>
      </c>
      <c r="H344" t="s">
        <v>1042</v>
      </c>
      <c r="I344">
        <v>93</v>
      </c>
      <c r="J344">
        <v>0.27</v>
      </c>
      <c r="K344">
        <v>67.89</v>
      </c>
      <c r="L344">
        <v>46.59</v>
      </c>
      <c r="M344">
        <v>18</v>
      </c>
      <c r="N344">
        <v>3</v>
      </c>
      <c r="O344">
        <v>0.43</v>
      </c>
    </row>
    <row r="345" spans="1:15" x14ac:dyDescent="0.25">
      <c r="A345" t="s">
        <v>356</v>
      </c>
      <c r="B345" s="1">
        <v>45395</v>
      </c>
      <c r="C345" t="s">
        <v>535</v>
      </c>
      <c r="D345" t="s">
        <v>538</v>
      </c>
      <c r="E345" t="s">
        <v>545</v>
      </c>
      <c r="F345" t="s">
        <v>548</v>
      </c>
      <c r="G345" t="s">
        <v>877</v>
      </c>
      <c r="H345" t="s">
        <v>1045</v>
      </c>
      <c r="I345">
        <v>7793</v>
      </c>
      <c r="J345">
        <v>0.28000000000000003</v>
      </c>
      <c r="K345">
        <v>5610.96</v>
      </c>
      <c r="L345">
        <v>5500.11</v>
      </c>
      <c r="M345">
        <v>71</v>
      </c>
      <c r="N345">
        <v>2</v>
      </c>
      <c r="O345">
        <v>0.33</v>
      </c>
    </row>
    <row r="346" spans="1:15" x14ac:dyDescent="0.25">
      <c r="A346" t="s">
        <v>357</v>
      </c>
      <c r="B346" s="1">
        <v>45465</v>
      </c>
      <c r="C346" t="s">
        <v>535</v>
      </c>
      <c r="D346" t="s">
        <v>540</v>
      </c>
      <c r="E346" t="s">
        <v>546</v>
      </c>
      <c r="F346" t="s">
        <v>550</v>
      </c>
      <c r="G346" t="s">
        <v>588</v>
      </c>
      <c r="H346" t="s">
        <v>1042</v>
      </c>
      <c r="I346">
        <v>5228</v>
      </c>
      <c r="J346">
        <v>0.11</v>
      </c>
      <c r="K346">
        <v>4652.92</v>
      </c>
      <c r="L346">
        <v>3293.28</v>
      </c>
      <c r="M346">
        <v>139</v>
      </c>
      <c r="N346">
        <v>2</v>
      </c>
      <c r="O346">
        <v>0.43</v>
      </c>
    </row>
    <row r="347" spans="1:15" x14ac:dyDescent="0.25">
      <c r="A347" t="s">
        <v>358</v>
      </c>
      <c r="B347" s="1">
        <v>45315</v>
      </c>
      <c r="C347" t="s">
        <v>536</v>
      </c>
      <c r="D347" t="s">
        <v>539</v>
      </c>
      <c r="E347" t="s">
        <v>546</v>
      </c>
      <c r="F347" t="s">
        <v>549</v>
      </c>
      <c r="G347" t="s">
        <v>878</v>
      </c>
      <c r="H347" t="s">
        <v>1043</v>
      </c>
      <c r="I347">
        <v>3299</v>
      </c>
      <c r="J347">
        <v>0.16</v>
      </c>
      <c r="K347">
        <v>2771.16</v>
      </c>
      <c r="L347">
        <v>2297.92</v>
      </c>
      <c r="M347">
        <v>155</v>
      </c>
      <c r="N347">
        <v>2</v>
      </c>
      <c r="O347">
        <v>0.42</v>
      </c>
    </row>
    <row r="348" spans="1:15" x14ac:dyDescent="0.25">
      <c r="A348" t="s">
        <v>359</v>
      </c>
      <c r="B348" s="1">
        <v>45405</v>
      </c>
      <c r="C348" t="s">
        <v>537</v>
      </c>
      <c r="D348" t="s">
        <v>543</v>
      </c>
      <c r="E348" t="s">
        <v>546</v>
      </c>
      <c r="F348" t="s">
        <v>547</v>
      </c>
      <c r="G348" t="s">
        <v>879</v>
      </c>
      <c r="H348" t="s">
        <v>1043</v>
      </c>
      <c r="I348">
        <v>4084</v>
      </c>
      <c r="J348">
        <v>0.24</v>
      </c>
      <c r="K348">
        <v>3103.84</v>
      </c>
      <c r="L348">
        <v>2235.39</v>
      </c>
      <c r="M348">
        <v>182</v>
      </c>
      <c r="N348">
        <v>1</v>
      </c>
      <c r="O348">
        <v>0.4</v>
      </c>
    </row>
    <row r="349" spans="1:15" x14ac:dyDescent="0.25">
      <c r="A349" t="s">
        <v>360</v>
      </c>
      <c r="B349" s="1">
        <v>45323</v>
      </c>
      <c r="C349" t="s">
        <v>536</v>
      </c>
      <c r="D349" t="s">
        <v>544</v>
      </c>
      <c r="E349" t="s">
        <v>546</v>
      </c>
      <c r="F349" t="s">
        <v>548</v>
      </c>
      <c r="G349" t="s">
        <v>880</v>
      </c>
      <c r="H349" t="s">
        <v>1044</v>
      </c>
      <c r="I349">
        <v>7654</v>
      </c>
      <c r="J349">
        <v>0.28999999999999998</v>
      </c>
      <c r="K349">
        <v>5434.34</v>
      </c>
      <c r="L349">
        <v>5230.8</v>
      </c>
      <c r="M349">
        <v>32</v>
      </c>
      <c r="N349">
        <v>3</v>
      </c>
      <c r="O349">
        <v>0.31</v>
      </c>
    </row>
    <row r="350" spans="1:15" x14ac:dyDescent="0.25">
      <c r="A350" t="s">
        <v>361</v>
      </c>
      <c r="B350" s="1">
        <v>45466</v>
      </c>
      <c r="C350" t="s">
        <v>537</v>
      </c>
      <c r="D350" t="s">
        <v>542</v>
      </c>
      <c r="E350" t="s">
        <v>546</v>
      </c>
      <c r="F350" t="s">
        <v>549</v>
      </c>
      <c r="G350" t="s">
        <v>881</v>
      </c>
      <c r="H350" t="s">
        <v>1042</v>
      </c>
      <c r="I350">
        <v>4537</v>
      </c>
      <c r="J350">
        <v>0.06</v>
      </c>
      <c r="K350">
        <v>4264.78</v>
      </c>
      <c r="L350">
        <v>2394.96</v>
      </c>
      <c r="M350">
        <v>79</v>
      </c>
      <c r="N350">
        <v>1</v>
      </c>
      <c r="O350">
        <v>0.43</v>
      </c>
    </row>
    <row r="351" spans="1:15" x14ac:dyDescent="0.25">
      <c r="A351" t="s">
        <v>362</v>
      </c>
      <c r="B351" s="1">
        <v>45377</v>
      </c>
      <c r="C351" t="s">
        <v>536</v>
      </c>
      <c r="D351" t="s">
        <v>539</v>
      </c>
      <c r="E351" t="s">
        <v>546</v>
      </c>
      <c r="F351" t="s">
        <v>549</v>
      </c>
      <c r="G351" t="s">
        <v>882</v>
      </c>
      <c r="H351" t="s">
        <v>1043</v>
      </c>
      <c r="I351">
        <v>3809</v>
      </c>
      <c r="J351">
        <v>0.15</v>
      </c>
      <c r="K351">
        <v>3237.65</v>
      </c>
      <c r="L351">
        <v>2740.1</v>
      </c>
      <c r="M351">
        <v>196</v>
      </c>
      <c r="N351">
        <v>3</v>
      </c>
      <c r="O351">
        <v>0.43</v>
      </c>
    </row>
    <row r="352" spans="1:15" x14ac:dyDescent="0.25">
      <c r="A352" t="s">
        <v>363</v>
      </c>
      <c r="B352" s="1">
        <v>45442</v>
      </c>
      <c r="C352" t="s">
        <v>535</v>
      </c>
      <c r="D352" t="s">
        <v>538</v>
      </c>
      <c r="E352" t="s">
        <v>545</v>
      </c>
      <c r="F352" t="s">
        <v>550</v>
      </c>
      <c r="G352" t="s">
        <v>883</v>
      </c>
      <c r="H352" t="s">
        <v>1044</v>
      </c>
      <c r="I352">
        <v>1255</v>
      </c>
      <c r="J352">
        <v>0.26</v>
      </c>
      <c r="K352">
        <v>928.7</v>
      </c>
      <c r="L352">
        <v>928.92</v>
      </c>
      <c r="M352">
        <v>36</v>
      </c>
      <c r="N352">
        <v>3</v>
      </c>
      <c r="O352">
        <v>0.44</v>
      </c>
    </row>
    <row r="353" spans="1:15" x14ac:dyDescent="0.25">
      <c r="A353" t="s">
        <v>364</v>
      </c>
      <c r="B353" s="1">
        <v>45418</v>
      </c>
      <c r="C353" t="s">
        <v>535</v>
      </c>
      <c r="D353" t="s">
        <v>538</v>
      </c>
      <c r="E353" t="s">
        <v>545</v>
      </c>
      <c r="F353" t="s">
        <v>548</v>
      </c>
      <c r="G353" t="s">
        <v>884</v>
      </c>
      <c r="H353" t="s">
        <v>1044</v>
      </c>
      <c r="I353">
        <v>4496</v>
      </c>
      <c r="J353">
        <v>0.06</v>
      </c>
      <c r="K353">
        <v>4226.24</v>
      </c>
      <c r="L353">
        <v>2577.8200000000002</v>
      </c>
      <c r="M353">
        <v>122</v>
      </c>
      <c r="N353">
        <v>3</v>
      </c>
      <c r="O353">
        <v>0.28000000000000003</v>
      </c>
    </row>
    <row r="354" spans="1:15" x14ac:dyDescent="0.25">
      <c r="A354" t="s">
        <v>365</v>
      </c>
      <c r="B354" s="1">
        <v>45446</v>
      </c>
      <c r="C354" t="s">
        <v>535</v>
      </c>
      <c r="D354" t="s">
        <v>540</v>
      </c>
      <c r="E354" t="s">
        <v>546</v>
      </c>
      <c r="F354" t="s">
        <v>550</v>
      </c>
      <c r="G354" t="s">
        <v>885</v>
      </c>
      <c r="H354" t="s">
        <v>1044</v>
      </c>
      <c r="I354">
        <v>4653</v>
      </c>
      <c r="J354">
        <v>0.25</v>
      </c>
      <c r="K354">
        <v>3489.75</v>
      </c>
      <c r="L354">
        <v>2417.7199999999998</v>
      </c>
      <c r="M354">
        <v>175</v>
      </c>
      <c r="N354">
        <v>3</v>
      </c>
      <c r="O354">
        <v>0.41</v>
      </c>
    </row>
    <row r="355" spans="1:15" x14ac:dyDescent="0.25">
      <c r="A355" t="s">
        <v>366</v>
      </c>
      <c r="B355" s="1">
        <v>45421</v>
      </c>
      <c r="C355" t="s">
        <v>535</v>
      </c>
      <c r="D355" t="s">
        <v>538</v>
      </c>
      <c r="E355" t="s">
        <v>546</v>
      </c>
      <c r="F355" t="s">
        <v>549</v>
      </c>
      <c r="G355" t="s">
        <v>886</v>
      </c>
      <c r="H355" t="s">
        <v>1044</v>
      </c>
      <c r="I355">
        <v>3889</v>
      </c>
      <c r="J355">
        <v>0.24</v>
      </c>
      <c r="K355">
        <v>2955.64</v>
      </c>
      <c r="L355">
        <v>2407.36</v>
      </c>
      <c r="M355">
        <v>94</v>
      </c>
      <c r="N355">
        <v>1</v>
      </c>
      <c r="O355">
        <v>0.38</v>
      </c>
    </row>
    <row r="356" spans="1:15" x14ac:dyDescent="0.25">
      <c r="A356" t="s">
        <v>367</v>
      </c>
      <c r="B356" s="1">
        <v>45308</v>
      </c>
      <c r="C356" t="s">
        <v>535</v>
      </c>
      <c r="D356" t="s">
        <v>540</v>
      </c>
      <c r="E356" t="s">
        <v>545</v>
      </c>
      <c r="F356" t="s">
        <v>548</v>
      </c>
      <c r="G356" t="s">
        <v>887</v>
      </c>
      <c r="H356" t="s">
        <v>1043</v>
      </c>
      <c r="I356">
        <v>6267</v>
      </c>
      <c r="J356">
        <v>0.09</v>
      </c>
      <c r="K356">
        <v>5702.97</v>
      </c>
      <c r="L356">
        <v>3908.43</v>
      </c>
      <c r="M356">
        <v>57</v>
      </c>
      <c r="N356">
        <v>3</v>
      </c>
      <c r="O356">
        <v>0.43</v>
      </c>
    </row>
    <row r="357" spans="1:15" x14ac:dyDescent="0.25">
      <c r="A357" t="s">
        <v>368</v>
      </c>
      <c r="B357" s="1">
        <v>45395</v>
      </c>
      <c r="C357" t="s">
        <v>537</v>
      </c>
      <c r="D357" t="s">
        <v>543</v>
      </c>
      <c r="E357" t="s">
        <v>545</v>
      </c>
      <c r="F357" t="s">
        <v>548</v>
      </c>
      <c r="G357" t="s">
        <v>888</v>
      </c>
      <c r="H357" t="s">
        <v>1044</v>
      </c>
      <c r="I357">
        <v>1388</v>
      </c>
      <c r="J357">
        <v>0.19</v>
      </c>
      <c r="K357">
        <v>1124.28</v>
      </c>
      <c r="L357">
        <v>809.09</v>
      </c>
      <c r="M357">
        <v>59</v>
      </c>
      <c r="N357">
        <v>2</v>
      </c>
      <c r="O357">
        <v>0.42</v>
      </c>
    </row>
    <row r="358" spans="1:15" x14ac:dyDescent="0.25">
      <c r="A358" t="s">
        <v>369</v>
      </c>
      <c r="B358" s="1">
        <v>45452</v>
      </c>
      <c r="C358" t="s">
        <v>537</v>
      </c>
      <c r="D358" t="s">
        <v>542</v>
      </c>
      <c r="E358" t="s">
        <v>546</v>
      </c>
      <c r="F358" t="s">
        <v>550</v>
      </c>
      <c r="G358" t="s">
        <v>889</v>
      </c>
      <c r="H358" t="s">
        <v>1044</v>
      </c>
      <c r="I358">
        <v>6382</v>
      </c>
      <c r="J358">
        <v>0.25</v>
      </c>
      <c r="K358">
        <v>4786.5</v>
      </c>
      <c r="L358">
        <v>4169.1000000000004</v>
      </c>
      <c r="M358">
        <v>129</v>
      </c>
      <c r="N358">
        <v>3</v>
      </c>
      <c r="O358">
        <v>0.44</v>
      </c>
    </row>
    <row r="359" spans="1:15" x14ac:dyDescent="0.25">
      <c r="A359" t="s">
        <v>370</v>
      </c>
      <c r="B359" s="1">
        <v>45428</v>
      </c>
      <c r="C359" t="s">
        <v>536</v>
      </c>
      <c r="D359" t="s">
        <v>539</v>
      </c>
      <c r="E359" t="s">
        <v>545</v>
      </c>
      <c r="F359" t="s">
        <v>548</v>
      </c>
      <c r="G359" t="s">
        <v>890</v>
      </c>
      <c r="H359" t="s">
        <v>1045</v>
      </c>
      <c r="I359">
        <v>5351</v>
      </c>
      <c r="J359">
        <v>0.13</v>
      </c>
      <c r="K359">
        <v>4655.37</v>
      </c>
      <c r="L359">
        <v>2658.71</v>
      </c>
      <c r="M359">
        <v>73</v>
      </c>
      <c r="N359">
        <v>3</v>
      </c>
      <c r="O359">
        <v>0.38</v>
      </c>
    </row>
    <row r="360" spans="1:15" x14ac:dyDescent="0.25">
      <c r="A360" t="s">
        <v>371</v>
      </c>
      <c r="B360" s="1">
        <v>45334</v>
      </c>
      <c r="C360" t="s">
        <v>537</v>
      </c>
      <c r="D360" t="s">
        <v>543</v>
      </c>
      <c r="E360" t="s">
        <v>545</v>
      </c>
      <c r="F360" t="s">
        <v>550</v>
      </c>
      <c r="G360" t="s">
        <v>891</v>
      </c>
      <c r="H360" t="s">
        <v>1045</v>
      </c>
      <c r="I360">
        <v>2527</v>
      </c>
      <c r="J360">
        <v>0.1</v>
      </c>
      <c r="K360">
        <v>2274.3000000000002</v>
      </c>
      <c r="L360">
        <v>1151.6600000000001</v>
      </c>
      <c r="M360">
        <v>121</v>
      </c>
      <c r="N360">
        <v>1</v>
      </c>
      <c r="O360">
        <v>0.38</v>
      </c>
    </row>
    <row r="361" spans="1:15" x14ac:dyDescent="0.25">
      <c r="A361" t="s">
        <v>372</v>
      </c>
      <c r="B361" s="1">
        <v>45467</v>
      </c>
      <c r="C361" t="s">
        <v>536</v>
      </c>
      <c r="D361" t="s">
        <v>544</v>
      </c>
      <c r="E361" t="s">
        <v>545</v>
      </c>
      <c r="F361" t="s">
        <v>549</v>
      </c>
      <c r="G361" t="s">
        <v>892</v>
      </c>
      <c r="H361" t="s">
        <v>1043</v>
      </c>
      <c r="I361">
        <v>6359</v>
      </c>
      <c r="J361">
        <v>0.21</v>
      </c>
      <c r="K361">
        <v>5023.6099999999997</v>
      </c>
      <c r="L361">
        <v>3793.45</v>
      </c>
      <c r="M361">
        <v>103</v>
      </c>
      <c r="N361">
        <v>1</v>
      </c>
      <c r="O361">
        <v>0.31</v>
      </c>
    </row>
    <row r="362" spans="1:15" x14ac:dyDescent="0.25">
      <c r="A362" t="s">
        <v>373</v>
      </c>
      <c r="B362" s="1">
        <v>45330</v>
      </c>
      <c r="C362" t="s">
        <v>535</v>
      </c>
      <c r="D362" t="s">
        <v>538</v>
      </c>
      <c r="E362" t="s">
        <v>545</v>
      </c>
      <c r="F362" t="s">
        <v>550</v>
      </c>
      <c r="G362" t="s">
        <v>893</v>
      </c>
      <c r="H362" t="s">
        <v>1043</v>
      </c>
      <c r="I362">
        <v>1660</v>
      </c>
      <c r="J362">
        <v>0.23</v>
      </c>
      <c r="K362">
        <v>1278.2</v>
      </c>
      <c r="L362">
        <v>923.75</v>
      </c>
      <c r="M362">
        <v>159</v>
      </c>
      <c r="N362">
        <v>1</v>
      </c>
      <c r="O362">
        <v>0.35</v>
      </c>
    </row>
    <row r="363" spans="1:15" x14ac:dyDescent="0.25">
      <c r="A363" t="s">
        <v>374</v>
      </c>
      <c r="B363" s="1">
        <v>45461</v>
      </c>
      <c r="C363" t="s">
        <v>536</v>
      </c>
      <c r="D363" t="s">
        <v>544</v>
      </c>
      <c r="E363" t="s">
        <v>545</v>
      </c>
      <c r="F363" t="s">
        <v>550</v>
      </c>
      <c r="G363" t="s">
        <v>894</v>
      </c>
      <c r="H363" t="s">
        <v>1044</v>
      </c>
      <c r="I363">
        <v>1025</v>
      </c>
      <c r="J363">
        <v>0.31</v>
      </c>
      <c r="K363">
        <v>707.25</v>
      </c>
      <c r="L363">
        <v>733.72</v>
      </c>
      <c r="M363">
        <v>185</v>
      </c>
      <c r="N363">
        <v>3</v>
      </c>
      <c r="O363">
        <v>0.41</v>
      </c>
    </row>
    <row r="364" spans="1:15" x14ac:dyDescent="0.25">
      <c r="A364" t="s">
        <v>375</v>
      </c>
      <c r="B364" s="1">
        <v>45317</v>
      </c>
      <c r="C364" t="s">
        <v>536</v>
      </c>
      <c r="D364" t="s">
        <v>539</v>
      </c>
      <c r="E364" t="s">
        <v>546</v>
      </c>
      <c r="F364" t="s">
        <v>548</v>
      </c>
      <c r="G364" t="s">
        <v>895</v>
      </c>
      <c r="H364" t="s">
        <v>1045</v>
      </c>
      <c r="I364">
        <v>1307</v>
      </c>
      <c r="J364">
        <v>0.26</v>
      </c>
      <c r="K364">
        <v>967.18</v>
      </c>
      <c r="L364">
        <v>824.6</v>
      </c>
      <c r="M364">
        <v>66</v>
      </c>
      <c r="N364">
        <v>3</v>
      </c>
      <c r="O364">
        <v>0.42</v>
      </c>
    </row>
    <row r="365" spans="1:15" x14ac:dyDescent="0.25">
      <c r="A365" t="s">
        <v>376</v>
      </c>
      <c r="B365" s="1">
        <v>45390</v>
      </c>
      <c r="C365" t="s">
        <v>537</v>
      </c>
      <c r="D365" t="s">
        <v>541</v>
      </c>
      <c r="E365" t="s">
        <v>545</v>
      </c>
      <c r="F365" t="s">
        <v>547</v>
      </c>
      <c r="G365" t="s">
        <v>896</v>
      </c>
      <c r="H365" t="s">
        <v>1045</v>
      </c>
      <c r="I365">
        <v>3906</v>
      </c>
      <c r="J365">
        <v>0.31</v>
      </c>
      <c r="K365">
        <v>2695.14</v>
      </c>
      <c r="L365">
        <v>2856.81</v>
      </c>
      <c r="M365">
        <v>156</v>
      </c>
      <c r="N365">
        <v>2</v>
      </c>
      <c r="O365">
        <v>0.35</v>
      </c>
    </row>
    <row r="366" spans="1:15" x14ac:dyDescent="0.25">
      <c r="A366" t="s">
        <v>377</v>
      </c>
      <c r="B366" s="1">
        <v>45341</v>
      </c>
      <c r="C366" t="s">
        <v>537</v>
      </c>
      <c r="D366" t="s">
        <v>543</v>
      </c>
      <c r="E366" t="s">
        <v>546</v>
      </c>
      <c r="F366" t="s">
        <v>548</v>
      </c>
      <c r="G366" t="s">
        <v>897</v>
      </c>
      <c r="H366" t="s">
        <v>1043</v>
      </c>
      <c r="I366">
        <v>2825</v>
      </c>
      <c r="J366">
        <v>0.08</v>
      </c>
      <c r="K366">
        <v>2599</v>
      </c>
      <c r="L366">
        <v>1413.2</v>
      </c>
      <c r="M366">
        <v>93</v>
      </c>
      <c r="N366">
        <v>3</v>
      </c>
      <c r="O366">
        <v>0.45</v>
      </c>
    </row>
    <row r="367" spans="1:15" x14ac:dyDescent="0.25">
      <c r="A367" t="s">
        <v>378</v>
      </c>
      <c r="B367" s="1">
        <v>45444</v>
      </c>
      <c r="C367" t="s">
        <v>536</v>
      </c>
      <c r="D367" t="s">
        <v>544</v>
      </c>
      <c r="E367" t="s">
        <v>546</v>
      </c>
      <c r="F367" t="s">
        <v>548</v>
      </c>
      <c r="G367" t="s">
        <v>898</v>
      </c>
      <c r="H367" t="s">
        <v>1042</v>
      </c>
      <c r="I367">
        <v>5262</v>
      </c>
      <c r="J367">
        <v>0.12</v>
      </c>
      <c r="K367">
        <v>4630.5600000000004</v>
      </c>
      <c r="L367">
        <v>2572.61</v>
      </c>
      <c r="M367">
        <v>48</v>
      </c>
      <c r="N367">
        <v>1</v>
      </c>
      <c r="O367">
        <v>0.34</v>
      </c>
    </row>
    <row r="368" spans="1:15" x14ac:dyDescent="0.25">
      <c r="A368" t="s">
        <v>379</v>
      </c>
      <c r="B368" s="1">
        <v>45443</v>
      </c>
      <c r="C368" t="s">
        <v>535</v>
      </c>
      <c r="D368" t="s">
        <v>538</v>
      </c>
      <c r="E368" t="s">
        <v>545</v>
      </c>
      <c r="F368" t="s">
        <v>550</v>
      </c>
      <c r="G368" t="s">
        <v>899</v>
      </c>
      <c r="H368" t="s">
        <v>1043</v>
      </c>
      <c r="I368">
        <v>6129</v>
      </c>
      <c r="J368">
        <v>7.0000000000000007E-2</v>
      </c>
      <c r="K368">
        <v>5699.97</v>
      </c>
      <c r="L368">
        <v>4572.3500000000004</v>
      </c>
      <c r="M368">
        <v>129</v>
      </c>
      <c r="N368">
        <v>3</v>
      </c>
      <c r="O368">
        <v>0.3</v>
      </c>
    </row>
    <row r="369" spans="1:15" x14ac:dyDescent="0.25">
      <c r="A369" t="s">
        <v>380</v>
      </c>
      <c r="B369" s="1">
        <v>45304</v>
      </c>
      <c r="C369" t="s">
        <v>536</v>
      </c>
      <c r="D369" t="s">
        <v>539</v>
      </c>
      <c r="E369" t="s">
        <v>545</v>
      </c>
      <c r="F369" t="s">
        <v>549</v>
      </c>
      <c r="G369" t="s">
        <v>900</v>
      </c>
      <c r="H369" t="s">
        <v>1043</v>
      </c>
      <c r="I369">
        <v>2550</v>
      </c>
      <c r="J369">
        <v>0.19</v>
      </c>
      <c r="K369">
        <v>2065.5</v>
      </c>
      <c r="L369">
        <v>1744.63</v>
      </c>
      <c r="M369">
        <v>137</v>
      </c>
      <c r="N369">
        <v>2</v>
      </c>
      <c r="O369">
        <v>0.33</v>
      </c>
    </row>
    <row r="370" spans="1:15" x14ac:dyDescent="0.25">
      <c r="A370" t="s">
        <v>381</v>
      </c>
      <c r="B370" s="1">
        <v>45351</v>
      </c>
      <c r="C370" t="s">
        <v>537</v>
      </c>
      <c r="D370" t="s">
        <v>541</v>
      </c>
      <c r="E370" t="s">
        <v>546</v>
      </c>
      <c r="F370" t="s">
        <v>547</v>
      </c>
      <c r="G370" t="s">
        <v>901</v>
      </c>
      <c r="H370" t="s">
        <v>1044</v>
      </c>
      <c r="I370">
        <v>1040</v>
      </c>
      <c r="J370">
        <v>0.17</v>
      </c>
      <c r="K370">
        <v>863.2</v>
      </c>
      <c r="L370">
        <v>691.14</v>
      </c>
      <c r="M370">
        <v>190</v>
      </c>
      <c r="N370">
        <v>2</v>
      </c>
      <c r="O370">
        <v>0.36</v>
      </c>
    </row>
    <row r="371" spans="1:15" x14ac:dyDescent="0.25">
      <c r="A371" t="s">
        <v>382</v>
      </c>
      <c r="B371" s="1">
        <v>45426</v>
      </c>
      <c r="C371" t="s">
        <v>537</v>
      </c>
      <c r="D371" t="s">
        <v>541</v>
      </c>
      <c r="E371" t="s">
        <v>545</v>
      </c>
      <c r="F371" t="s">
        <v>549</v>
      </c>
      <c r="G371" t="s">
        <v>902</v>
      </c>
      <c r="H371" t="s">
        <v>1044</v>
      </c>
      <c r="I371">
        <v>2203</v>
      </c>
      <c r="J371">
        <v>0.14000000000000001</v>
      </c>
      <c r="K371">
        <v>1894.58</v>
      </c>
      <c r="L371">
        <v>1346.93</v>
      </c>
      <c r="M371">
        <v>176</v>
      </c>
      <c r="N371">
        <v>1</v>
      </c>
      <c r="O371">
        <v>0.45</v>
      </c>
    </row>
    <row r="372" spans="1:15" x14ac:dyDescent="0.25">
      <c r="A372" t="s">
        <v>383</v>
      </c>
      <c r="B372" s="1">
        <v>45348</v>
      </c>
      <c r="C372" t="s">
        <v>537</v>
      </c>
      <c r="D372" t="s">
        <v>541</v>
      </c>
      <c r="E372" t="s">
        <v>546</v>
      </c>
      <c r="F372" t="s">
        <v>547</v>
      </c>
      <c r="G372" t="s">
        <v>903</v>
      </c>
      <c r="H372" t="s">
        <v>1042</v>
      </c>
      <c r="I372">
        <v>6394</v>
      </c>
      <c r="J372">
        <v>0.2</v>
      </c>
      <c r="K372">
        <v>5115.2</v>
      </c>
      <c r="L372">
        <v>3804.14</v>
      </c>
      <c r="M372">
        <v>197</v>
      </c>
      <c r="N372">
        <v>3</v>
      </c>
      <c r="O372">
        <v>0.3</v>
      </c>
    </row>
    <row r="373" spans="1:15" x14ac:dyDescent="0.25">
      <c r="A373" t="s">
        <v>384</v>
      </c>
      <c r="B373" s="1">
        <v>45327</v>
      </c>
      <c r="C373" t="s">
        <v>537</v>
      </c>
      <c r="D373" t="s">
        <v>541</v>
      </c>
      <c r="E373" t="s">
        <v>546</v>
      </c>
      <c r="F373" t="s">
        <v>548</v>
      </c>
      <c r="G373" t="s">
        <v>904</v>
      </c>
      <c r="H373" t="s">
        <v>1045</v>
      </c>
      <c r="I373">
        <v>6417</v>
      </c>
      <c r="J373">
        <v>0.09</v>
      </c>
      <c r="K373">
        <v>5839.47</v>
      </c>
      <c r="L373">
        <v>3265.78</v>
      </c>
      <c r="M373">
        <v>90</v>
      </c>
      <c r="N373">
        <v>1</v>
      </c>
      <c r="O373">
        <v>0.31</v>
      </c>
    </row>
    <row r="374" spans="1:15" x14ac:dyDescent="0.25">
      <c r="A374" t="s">
        <v>385</v>
      </c>
      <c r="B374" s="1">
        <v>45464</v>
      </c>
      <c r="C374" t="s">
        <v>535</v>
      </c>
      <c r="D374" t="s">
        <v>538</v>
      </c>
      <c r="E374" t="s">
        <v>545</v>
      </c>
      <c r="F374" t="s">
        <v>550</v>
      </c>
      <c r="G374" t="s">
        <v>905</v>
      </c>
      <c r="H374" t="s">
        <v>1043</v>
      </c>
      <c r="I374">
        <v>3253</v>
      </c>
      <c r="J374">
        <v>0.34</v>
      </c>
      <c r="K374">
        <v>2146.98</v>
      </c>
      <c r="L374">
        <v>2373.6999999999998</v>
      </c>
      <c r="M374">
        <v>86</v>
      </c>
      <c r="N374">
        <v>3</v>
      </c>
      <c r="O374">
        <v>0.3</v>
      </c>
    </row>
    <row r="375" spans="1:15" x14ac:dyDescent="0.25">
      <c r="A375" t="s">
        <v>386</v>
      </c>
      <c r="B375" s="1">
        <v>45311</v>
      </c>
      <c r="C375" t="s">
        <v>535</v>
      </c>
      <c r="D375" t="s">
        <v>538</v>
      </c>
      <c r="E375" t="s">
        <v>546</v>
      </c>
      <c r="F375" t="s">
        <v>548</v>
      </c>
      <c r="G375" t="s">
        <v>906</v>
      </c>
      <c r="H375" t="s">
        <v>1045</v>
      </c>
      <c r="I375">
        <v>6951</v>
      </c>
      <c r="J375">
        <v>0.3</v>
      </c>
      <c r="K375">
        <v>4865.7</v>
      </c>
      <c r="L375">
        <v>3723.74</v>
      </c>
      <c r="M375">
        <v>175</v>
      </c>
      <c r="N375">
        <v>3</v>
      </c>
      <c r="O375">
        <v>0.38</v>
      </c>
    </row>
    <row r="376" spans="1:15" x14ac:dyDescent="0.25">
      <c r="A376" t="s">
        <v>387</v>
      </c>
      <c r="B376" s="1">
        <v>45356</v>
      </c>
      <c r="C376" t="s">
        <v>537</v>
      </c>
      <c r="D376" t="s">
        <v>543</v>
      </c>
      <c r="E376" t="s">
        <v>545</v>
      </c>
      <c r="F376" t="s">
        <v>549</v>
      </c>
      <c r="G376" t="s">
        <v>907</v>
      </c>
      <c r="H376" t="s">
        <v>1044</v>
      </c>
      <c r="I376">
        <v>5937</v>
      </c>
      <c r="J376">
        <v>0.08</v>
      </c>
      <c r="K376">
        <v>5462.04</v>
      </c>
      <c r="L376">
        <v>3663.34</v>
      </c>
      <c r="M376">
        <v>40</v>
      </c>
      <c r="N376">
        <v>1</v>
      </c>
      <c r="O376">
        <v>0.42</v>
      </c>
    </row>
    <row r="377" spans="1:15" x14ac:dyDescent="0.25">
      <c r="A377" t="s">
        <v>388</v>
      </c>
      <c r="B377" s="1">
        <v>45299</v>
      </c>
      <c r="C377" t="s">
        <v>535</v>
      </c>
      <c r="D377" t="s">
        <v>540</v>
      </c>
      <c r="E377" t="s">
        <v>546</v>
      </c>
      <c r="F377" t="s">
        <v>547</v>
      </c>
      <c r="G377" t="s">
        <v>908</v>
      </c>
      <c r="H377" t="s">
        <v>1045</v>
      </c>
      <c r="I377">
        <v>2859</v>
      </c>
      <c r="J377">
        <v>0.21</v>
      </c>
      <c r="K377">
        <v>2258.61</v>
      </c>
      <c r="L377">
        <v>1791.68</v>
      </c>
      <c r="M377">
        <v>141</v>
      </c>
      <c r="N377">
        <v>1</v>
      </c>
      <c r="O377">
        <v>0.39</v>
      </c>
    </row>
    <row r="378" spans="1:15" x14ac:dyDescent="0.25">
      <c r="A378" t="s">
        <v>389</v>
      </c>
      <c r="B378" s="1">
        <v>45435</v>
      </c>
      <c r="C378" t="s">
        <v>535</v>
      </c>
      <c r="D378" t="s">
        <v>538</v>
      </c>
      <c r="E378" t="s">
        <v>545</v>
      </c>
      <c r="F378" t="s">
        <v>549</v>
      </c>
      <c r="G378" t="s">
        <v>909</v>
      </c>
      <c r="H378" t="s">
        <v>1043</v>
      </c>
      <c r="I378">
        <v>3029</v>
      </c>
      <c r="J378">
        <v>0.19</v>
      </c>
      <c r="K378">
        <v>2453.4899999999998</v>
      </c>
      <c r="L378">
        <v>1682.2</v>
      </c>
      <c r="M378">
        <v>26</v>
      </c>
      <c r="N378">
        <v>2</v>
      </c>
      <c r="O378">
        <v>0.32</v>
      </c>
    </row>
    <row r="379" spans="1:15" x14ac:dyDescent="0.25">
      <c r="A379" t="s">
        <v>390</v>
      </c>
      <c r="B379" s="1">
        <v>45433</v>
      </c>
      <c r="C379" t="s">
        <v>535</v>
      </c>
      <c r="D379" t="s">
        <v>540</v>
      </c>
      <c r="E379" t="s">
        <v>545</v>
      </c>
      <c r="F379" t="s">
        <v>550</v>
      </c>
      <c r="G379" t="s">
        <v>910</v>
      </c>
      <c r="H379" t="s">
        <v>1044</v>
      </c>
      <c r="I379">
        <v>3595</v>
      </c>
      <c r="J379">
        <v>0.28999999999999998</v>
      </c>
      <c r="K379">
        <v>2552.4499999999998</v>
      </c>
      <c r="L379">
        <v>2254.0100000000002</v>
      </c>
      <c r="M379">
        <v>165</v>
      </c>
      <c r="N379">
        <v>1</v>
      </c>
      <c r="O379">
        <v>0.4</v>
      </c>
    </row>
    <row r="380" spans="1:15" x14ac:dyDescent="0.25">
      <c r="A380" t="s">
        <v>391</v>
      </c>
      <c r="B380" s="1">
        <v>45406</v>
      </c>
      <c r="C380" t="s">
        <v>537</v>
      </c>
      <c r="D380" t="s">
        <v>543</v>
      </c>
      <c r="E380" t="s">
        <v>546</v>
      </c>
      <c r="F380" t="s">
        <v>550</v>
      </c>
      <c r="G380" t="s">
        <v>911</v>
      </c>
      <c r="H380" t="s">
        <v>1043</v>
      </c>
      <c r="I380">
        <v>920</v>
      </c>
      <c r="J380">
        <v>0.33</v>
      </c>
      <c r="K380">
        <v>616.4</v>
      </c>
      <c r="L380">
        <v>517.72</v>
      </c>
      <c r="M380">
        <v>103</v>
      </c>
      <c r="N380">
        <v>2</v>
      </c>
      <c r="O380">
        <v>0.31</v>
      </c>
    </row>
    <row r="381" spans="1:15" x14ac:dyDescent="0.25">
      <c r="A381" t="s">
        <v>392</v>
      </c>
      <c r="B381" s="1">
        <v>45434</v>
      </c>
      <c r="C381" t="s">
        <v>535</v>
      </c>
      <c r="D381" t="s">
        <v>538</v>
      </c>
      <c r="E381" t="s">
        <v>545</v>
      </c>
      <c r="F381" t="s">
        <v>548</v>
      </c>
      <c r="G381" t="s">
        <v>912</v>
      </c>
      <c r="H381" t="s">
        <v>1044</v>
      </c>
      <c r="I381">
        <v>6821</v>
      </c>
      <c r="J381">
        <v>0.25</v>
      </c>
      <c r="K381">
        <v>5115.75</v>
      </c>
      <c r="L381">
        <v>4027.79</v>
      </c>
      <c r="M381">
        <v>117</v>
      </c>
      <c r="N381">
        <v>3</v>
      </c>
      <c r="O381">
        <v>0.3</v>
      </c>
    </row>
    <row r="382" spans="1:15" x14ac:dyDescent="0.25">
      <c r="A382" t="s">
        <v>393</v>
      </c>
      <c r="B382" s="1">
        <v>45383</v>
      </c>
      <c r="C382" t="s">
        <v>537</v>
      </c>
      <c r="D382" t="s">
        <v>542</v>
      </c>
      <c r="E382" t="s">
        <v>546</v>
      </c>
      <c r="F382" t="s">
        <v>547</v>
      </c>
      <c r="G382" t="s">
        <v>913</v>
      </c>
      <c r="H382" t="s">
        <v>1043</v>
      </c>
      <c r="I382">
        <v>5536</v>
      </c>
      <c r="J382">
        <v>0.1</v>
      </c>
      <c r="K382">
        <v>4982.3999999999996</v>
      </c>
      <c r="L382">
        <v>2532.67</v>
      </c>
      <c r="M382">
        <v>107</v>
      </c>
      <c r="N382">
        <v>1</v>
      </c>
      <c r="O382">
        <v>0.34</v>
      </c>
    </row>
    <row r="383" spans="1:15" x14ac:dyDescent="0.25">
      <c r="A383" t="s">
        <v>394</v>
      </c>
      <c r="B383" s="1">
        <v>45389</v>
      </c>
      <c r="C383" t="s">
        <v>535</v>
      </c>
      <c r="D383" t="s">
        <v>540</v>
      </c>
      <c r="E383" t="s">
        <v>545</v>
      </c>
      <c r="F383" t="s">
        <v>550</v>
      </c>
      <c r="G383" t="s">
        <v>914</v>
      </c>
      <c r="H383" t="s">
        <v>1042</v>
      </c>
      <c r="I383">
        <v>121</v>
      </c>
      <c r="J383">
        <v>0.33</v>
      </c>
      <c r="K383">
        <v>81.069999999999993</v>
      </c>
      <c r="L383">
        <v>79.7</v>
      </c>
      <c r="M383">
        <v>116</v>
      </c>
      <c r="N383">
        <v>2</v>
      </c>
      <c r="O383">
        <v>0.35</v>
      </c>
    </row>
    <row r="384" spans="1:15" x14ac:dyDescent="0.25">
      <c r="A384" t="s">
        <v>395</v>
      </c>
      <c r="B384" s="1">
        <v>45357</v>
      </c>
      <c r="C384" t="s">
        <v>536</v>
      </c>
      <c r="D384" t="s">
        <v>539</v>
      </c>
      <c r="E384" t="s">
        <v>545</v>
      </c>
      <c r="F384" t="s">
        <v>548</v>
      </c>
      <c r="G384" t="s">
        <v>915</v>
      </c>
      <c r="H384" t="s">
        <v>1042</v>
      </c>
      <c r="I384">
        <v>2603</v>
      </c>
      <c r="J384">
        <v>0.25</v>
      </c>
      <c r="K384">
        <v>1952.25</v>
      </c>
      <c r="L384">
        <v>1613.17</v>
      </c>
      <c r="M384">
        <v>160</v>
      </c>
      <c r="N384">
        <v>2</v>
      </c>
      <c r="O384">
        <v>0.34</v>
      </c>
    </row>
    <row r="385" spans="1:15" x14ac:dyDescent="0.25">
      <c r="A385" t="s">
        <v>396</v>
      </c>
      <c r="B385" s="1">
        <v>45323</v>
      </c>
      <c r="C385" t="s">
        <v>535</v>
      </c>
      <c r="D385" t="s">
        <v>540</v>
      </c>
      <c r="E385" t="s">
        <v>546</v>
      </c>
      <c r="F385" t="s">
        <v>549</v>
      </c>
      <c r="G385" t="s">
        <v>916</v>
      </c>
      <c r="H385" t="s">
        <v>1042</v>
      </c>
      <c r="I385">
        <v>1306</v>
      </c>
      <c r="J385">
        <v>0.13</v>
      </c>
      <c r="K385">
        <v>1136.22</v>
      </c>
      <c r="L385">
        <v>751.7</v>
      </c>
      <c r="M385">
        <v>97</v>
      </c>
      <c r="N385">
        <v>1</v>
      </c>
      <c r="O385">
        <v>0.34</v>
      </c>
    </row>
    <row r="386" spans="1:15" x14ac:dyDescent="0.25">
      <c r="A386" t="s">
        <v>397</v>
      </c>
      <c r="B386" s="1">
        <v>45377</v>
      </c>
      <c r="C386" t="s">
        <v>536</v>
      </c>
      <c r="D386" t="s">
        <v>544</v>
      </c>
      <c r="E386" t="s">
        <v>545</v>
      </c>
      <c r="F386" t="s">
        <v>548</v>
      </c>
      <c r="G386" t="s">
        <v>917</v>
      </c>
      <c r="H386" t="s">
        <v>1044</v>
      </c>
      <c r="I386">
        <v>322</v>
      </c>
      <c r="J386">
        <v>0.25</v>
      </c>
      <c r="K386">
        <v>241.5</v>
      </c>
      <c r="L386">
        <v>163.47999999999999</v>
      </c>
      <c r="M386">
        <v>37</v>
      </c>
      <c r="N386">
        <v>2</v>
      </c>
      <c r="O386">
        <v>0.39</v>
      </c>
    </row>
    <row r="387" spans="1:15" x14ac:dyDescent="0.25">
      <c r="A387" t="s">
        <v>398</v>
      </c>
      <c r="B387" s="1">
        <v>45342</v>
      </c>
      <c r="C387" t="s">
        <v>536</v>
      </c>
      <c r="D387" t="s">
        <v>544</v>
      </c>
      <c r="E387" t="s">
        <v>546</v>
      </c>
      <c r="F387" t="s">
        <v>549</v>
      </c>
      <c r="G387" t="s">
        <v>918</v>
      </c>
      <c r="H387" t="s">
        <v>1045</v>
      </c>
      <c r="I387">
        <v>7516</v>
      </c>
      <c r="J387">
        <v>0.15</v>
      </c>
      <c r="K387">
        <v>6388.6</v>
      </c>
      <c r="L387">
        <v>4409.53</v>
      </c>
      <c r="M387">
        <v>67</v>
      </c>
      <c r="N387">
        <v>1</v>
      </c>
      <c r="O387">
        <v>0.4</v>
      </c>
    </row>
    <row r="388" spans="1:15" x14ac:dyDescent="0.25">
      <c r="A388" t="s">
        <v>399</v>
      </c>
      <c r="B388" s="1">
        <v>45444</v>
      </c>
      <c r="C388" t="s">
        <v>537</v>
      </c>
      <c r="D388" t="s">
        <v>541</v>
      </c>
      <c r="E388" t="s">
        <v>546</v>
      </c>
      <c r="F388" t="s">
        <v>550</v>
      </c>
      <c r="G388" t="s">
        <v>919</v>
      </c>
      <c r="H388" t="s">
        <v>1043</v>
      </c>
      <c r="I388">
        <v>5865</v>
      </c>
      <c r="J388">
        <v>0.18</v>
      </c>
      <c r="K388">
        <v>4809.3</v>
      </c>
      <c r="L388">
        <v>3098.56</v>
      </c>
      <c r="M388">
        <v>57</v>
      </c>
      <c r="N388">
        <v>1</v>
      </c>
      <c r="O388">
        <v>0.44</v>
      </c>
    </row>
    <row r="389" spans="1:15" x14ac:dyDescent="0.25">
      <c r="A389" t="s">
        <v>400</v>
      </c>
      <c r="B389" s="1">
        <v>45354</v>
      </c>
      <c r="C389" t="s">
        <v>537</v>
      </c>
      <c r="D389" t="s">
        <v>543</v>
      </c>
      <c r="E389" t="s">
        <v>546</v>
      </c>
      <c r="F389" t="s">
        <v>549</v>
      </c>
      <c r="G389" t="s">
        <v>920</v>
      </c>
      <c r="H389" t="s">
        <v>1044</v>
      </c>
      <c r="I389">
        <v>3009</v>
      </c>
      <c r="J389">
        <v>0.26</v>
      </c>
      <c r="K389">
        <v>2226.66</v>
      </c>
      <c r="L389">
        <v>1600.44</v>
      </c>
      <c r="M389">
        <v>128</v>
      </c>
      <c r="N389">
        <v>2</v>
      </c>
      <c r="O389">
        <v>0.36</v>
      </c>
    </row>
    <row r="390" spans="1:15" x14ac:dyDescent="0.25">
      <c r="A390" t="s">
        <v>401</v>
      </c>
      <c r="B390" s="1">
        <v>45416</v>
      </c>
      <c r="C390" t="s">
        <v>537</v>
      </c>
      <c r="D390" t="s">
        <v>541</v>
      </c>
      <c r="E390" t="s">
        <v>546</v>
      </c>
      <c r="F390" t="s">
        <v>550</v>
      </c>
      <c r="G390" t="s">
        <v>921</v>
      </c>
      <c r="H390" t="s">
        <v>1043</v>
      </c>
      <c r="I390">
        <v>3099</v>
      </c>
      <c r="J390">
        <v>0.32</v>
      </c>
      <c r="K390">
        <v>2107.3200000000002</v>
      </c>
      <c r="L390">
        <v>1996.55</v>
      </c>
      <c r="M390">
        <v>113</v>
      </c>
      <c r="N390">
        <v>2</v>
      </c>
      <c r="O390">
        <v>0.31</v>
      </c>
    </row>
    <row r="391" spans="1:15" x14ac:dyDescent="0.25">
      <c r="A391" t="s">
        <v>402</v>
      </c>
      <c r="B391" s="1">
        <v>45441</v>
      </c>
      <c r="C391" t="s">
        <v>535</v>
      </c>
      <c r="D391" t="s">
        <v>540</v>
      </c>
      <c r="E391" t="s">
        <v>545</v>
      </c>
      <c r="F391" t="s">
        <v>550</v>
      </c>
      <c r="G391" t="s">
        <v>922</v>
      </c>
      <c r="H391" t="s">
        <v>1045</v>
      </c>
      <c r="I391">
        <v>320</v>
      </c>
      <c r="J391">
        <v>0.19</v>
      </c>
      <c r="K391">
        <v>259.2</v>
      </c>
      <c r="L391">
        <v>227.04</v>
      </c>
      <c r="M391">
        <v>53</v>
      </c>
      <c r="N391">
        <v>2</v>
      </c>
      <c r="O391">
        <v>0.4</v>
      </c>
    </row>
    <row r="392" spans="1:15" x14ac:dyDescent="0.25">
      <c r="A392" t="s">
        <v>403</v>
      </c>
      <c r="B392" s="1">
        <v>45349</v>
      </c>
      <c r="C392" t="s">
        <v>537</v>
      </c>
      <c r="D392" t="s">
        <v>541</v>
      </c>
      <c r="E392" t="s">
        <v>546</v>
      </c>
      <c r="F392" t="s">
        <v>549</v>
      </c>
      <c r="G392" t="s">
        <v>923</v>
      </c>
      <c r="H392" t="s">
        <v>1044</v>
      </c>
      <c r="I392">
        <v>6561</v>
      </c>
      <c r="J392">
        <v>0.13</v>
      </c>
      <c r="K392">
        <v>5708.07</v>
      </c>
      <c r="L392">
        <v>3327.63</v>
      </c>
      <c r="M392">
        <v>167</v>
      </c>
      <c r="N392">
        <v>3</v>
      </c>
      <c r="O392">
        <v>0.34</v>
      </c>
    </row>
    <row r="393" spans="1:15" x14ac:dyDescent="0.25">
      <c r="A393" t="s">
        <v>404</v>
      </c>
      <c r="B393" s="1">
        <v>45349</v>
      </c>
      <c r="C393" t="s">
        <v>535</v>
      </c>
      <c r="D393" t="s">
        <v>538</v>
      </c>
      <c r="E393" t="s">
        <v>546</v>
      </c>
      <c r="F393" t="s">
        <v>550</v>
      </c>
      <c r="G393" t="s">
        <v>924</v>
      </c>
      <c r="H393" t="s">
        <v>1045</v>
      </c>
      <c r="I393">
        <v>3602</v>
      </c>
      <c r="J393">
        <v>0.09</v>
      </c>
      <c r="K393">
        <v>3277.82</v>
      </c>
      <c r="L393">
        <v>2358.0300000000002</v>
      </c>
      <c r="M393">
        <v>119</v>
      </c>
      <c r="N393">
        <v>3</v>
      </c>
      <c r="O393">
        <v>0.35</v>
      </c>
    </row>
    <row r="394" spans="1:15" x14ac:dyDescent="0.25">
      <c r="A394" t="s">
        <v>405</v>
      </c>
      <c r="B394" s="1">
        <v>45377</v>
      </c>
      <c r="C394" t="s">
        <v>535</v>
      </c>
      <c r="D394" t="s">
        <v>538</v>
      </c>
      <c r="E394" t="s">
        <v>546</v>
      </c>
      <c r="F394" t="s">
        <v>547</v>
      </c>
      <c r="G394" t="s">
        <v>925</v>
      </c>
      <c r="H394" t="s">
        <v>1044</v>
      </c>
      <c r="I394">
        <v>7329</v>
      </c>
      <c r="J394">
        <v>0.12</v>
      </c>
      <c r="K394">
        <v>6449.52</v>
      </c>
      <c r="L394">
        <v>3331.42</v>
      </c>
      <c r="M394">
        <v>100</v>
      </c>
      <c r="N394">
        <v>2</v>
      </c>
      <c r="O394">
        <v>0.3</v>
      </c>
    </row>
    <row r="395" spans="1:15" x14ac:dyDescent="0.25">
      <c r="A395" t="s">
        <v>406</v>
      </c>
      <c r="B395" s="1">
        <v>45340</v>
      </c>
      <c r="C395" t="s">
        <v>537</v>
      </c>
      <c r="D395" t="s">
        <v>541</v>
      </c>
      <c r="E395" t="s">
        <v>545</v>
      </c>
      <c r="F395" t="s">
        <v>549</v>
      </c>
      <c r="G395" t="s">
        <v>926</v>
      </c>
      <c r="H395" t="s">
        <v>1043</v>
      </c>
      <c r="I395">
        <v>2235</v>
      </c>
      <c r="J395">
        <v>0.15</v>
      </c>
      <c r="K395">
        <v>1899.75</v>
      </c>
      <c r="L395">
        <v>1013</v>
      </c>
      <c r="M395">
        <v>70</v>
      </c>
      <c r="N395">
        <v>1</v>
      </c>
      <c r="O395">
        <v>0.3</v>
      </c>
    </row>
    <row r="396" spans="1:15" x14ac:dyDescent="0.25">
      <c r="A396" t="s">
        <v>407</v>
      </c>
      <c r="B396" s="1">
        <v>45471</v>
      </c>
      <c r="C396" t="s">
        <v>536</v>
      </c>
      <c r="D396" t="s">
        <v>539</v>
      </c>
      <c r="E396" t="s">
        <v>546</v>
      </c>
      <c r="F396" t="s">
        <v>549</v>
      </c>
      <c r="G396" t="s">
        <v>927</v>
      </c>
      <c r="H396" t="s">
        <v>1043</v>
      </c>
      <c r="I396">
        <v>3982</v>
      </c>
      <c r="J396">
        <v>0.12</v>
      </c>
      <c r="K396">
        <v>3504.16</v>
      </c>
      <c r="L396">
        <v>2861.9</v>
      </c>
      <c r="M396">
        <v>11</v>
      </c>
      <c r="N396">
        <v>1</v>
      </c>
      <c r="O396">
        <v>0.4</v>
      </c>
    </row>
    <row r="397" spans="1:15" x14ac:dyDescent="0.25">
      <c r="A397" t="s">
        <v>408</v>
      </c>
      <c r="B397" s="1">
        <v>45461</v>
      </c>
      <c r="C397" t="s">
        <v>537</v>
      </c>
      <c r="D397" t="s">
        <v>541</v>
      </c>
      <c r="E397" t="s">
        <v>546</v>
      </c>
      <c r="F397" t="s">
        <v>549</v>
      </c>
      <c r="G397" t="s">
        <v>928</v>
      </c>
      <c r="H397" t="s">
        <v>1044</v>
      </c>
      <c r="I397">
        <v>1675</v>
      </c>
      <c r="J397">
        <v>0.28999999999999998</v>
      </c>
      <c r="K397">
        <v>1189.25</v>
      </c>
      <c r="L397">
        <v>1129.7</v>
      </c>
      <c r="M397">
        <v>198</v>
      </c>
      <c r="N397">
        <v>1</v>
      </c>
      <c r="O397">
        <v>0.42</v>
      </c>
    </row>
    <row r="398" spans="1:15" x14ac:dyDescent="0.25">
      <c r="A398" t="s">
        <v>409</v>
      </c>
      <c r="B398" s="1">
        <v>45361</v>
      </c>
      <c r="C398" t="s">
        <v>537</v>
      </c>
      <c r="D398" t="s">
        <v>542</v>
      </c>
      <c r="E398" t="s">
        <v>545</v>
      </c>
      <c r="F398" t="s">
        <v>548</v>
      </c>
      <c r="G398" t="s">
        <v>929</v>
      </c>
      <c r="H398" t="s">
        <v>1045</v>
      </c>
      <c r="I398">
        <v>1769</v>
      </c>
      <c r="J398">
        <v>0.15</v>
      </c>
      <c r="K398">
        <v>1503.65</v>
      </c>
      <c r="L398">
        <v>822.77</v>
      </c>
      <c r="M398">
        <v>61</v>
      </c>
      <c r="N398">
        <v>1</v>
      </c>
      <c r="O398">
        <v>0.4</v>
      </c>
    </row>
    <row r="399" spans="1:15" x14ac:dyDescent="0.25">
      <c r="A399" t="s">
        <v>410</v>
      </c>
      <c r="B399" s="1">
        <v>45306</v>
      </c>
      <c r="C399" t="s">
        <v>537</v>
      </c>
      <c r="D399" t="s">
        <v>542</v>
      </c>
      <c r="E399" t="s">
        <v>546</v>
      </c>
      <c r="F399" t="s">
        <v>548</v>
      </c>
      <c r="G399" t="s">
        <v>930</v>
      </c>
      <c r="H399" t="s">
        <v>1045</v>
      </c>
      <c r="I399">
        <v>3312</v>
      </c>
      <c r="J399">
        <v>0.26</v>
      </c>
      <c r="K399">
        <v>2450.88</v>
      </c>
      <c r="L399">
        <v>2382.4</v>
      </c>
      <c r="M399">
        <v>88</v>
      </c>
      <c r="N399">
        <v>1</v>
      </c>
      <c r="O399">
        <v>0.28999999999999998</v>
      </c>
    </row>
    <row r="400" spans="1:15" x14ac:dyDescent="0.25">
      <c r="A400" t="s">
        <v>411</v>
      </c>
      <c r="B400" s="1">
        <v>45345</v>
      </c>
      <c r="C400" t="s">
        <v>535</v>
      </c>
      <c r="D400" t="s">
        <v>538</v>
      </c>
      <c r="E400" t="s">
        <v>546</v>
      </c>
      <c r="F400" t="s">
        <v>549</v>
      </c>
      <c r="G400" t="s">
        <v>931</v>
      </c>
      <c r="H400" t="s">
        <v>1045</v>
      </c>
      <c r="I400">
        <v>4674</v>
      </c>
      <c r="J400">
        <v>0.22</v>
      </c>
      <c r="K400">
        <v>3645.72</v>
      </c>
      <c r="L400">
        <v>2322.09</v>
      </c>
      <c r="M400">
        <v>175</v>
      </c>
      <c r="N400">
        <v>1</v>
      </c>
      <c r="O400">
        <v>0.34</v>
      </c>
    </row>
    <row r="401" spans="1:15" x14ac:dyDescent="0.25">
      <c r="A401" t="s">
        <v>412</v>
      </c>
      <c r="B401" s="1">
        <v>45392</v>
      </c>
      <c r="C401" t="s">
        <v>537</v>
      </c>
      <c r="D401" t="s">
        <v>541</v>
      </c>
      <c r="E401" t="s">
        <v>546</v>
      </c>
      <c r="F401" t="s">
        <v>550</v>
      </c>
      <c r="G401" t="s">
        <v>932</v>
      </c>
      <c r="H401" t="s">
        <v>1042</v>
      </c>
      <c r="I401">
        <v>3566</v>
      </c>
      <c r="J401">
        <v>0.22</v>
      </c>
      <c r="K401">
        <v>2781.48</v>
      </c>
      <c r="L401">
        <v>2419.7600000000002</v>
      </c>
      <c r="M401">
        <v>22</v>
      </c>
      <c r="N401">
        <v>1</v>
      </c>
      <c r="O401">
        <v>0.33</v>
      </c>
    </row>
    <row r="402" spans="1:15" x14ac:dyDescent="0.25">
      <c r="A402" t="s">
        <v>413</v>
      </c>
      <c r="B402" s="1">
        <v>45299</v>
      </c>
      <c r="C402" t="s">
        <v>537</v>
      </c>
      <c r="D402" t="s">
        <v>542</v>
      </c>
      <c r="E402" t="s">
        <v>546</v>
      </c>
      <c r="F402" t="s">
        <v>550</v>
      </c>
      <c r="G402" t="s">
        <v>933</v>
      </c>
      <c r="H402" t="s">
        <v>1044</v>
      </c>
      <c r="I402">
        <v>7434</v>
      </c>
      <c r="J402">
        <v>0.23</v>
      </c>
      <c r="K402">
        <v>5724.18</v>
      </c>
      <c r="L402">
        <v>5435.24</v>
      </c>
      <c r="M402">
        <v>29</v>
      </c>
      <c r="N402">
        <v>2</v>
      </c>
      <c r="O402">
        <v>0.31</v>
      </c>
    </row>
    <row r="403" spans="1:15" x14ac:dyDescent="0.25">
      <c r="A403" t="s">
        <v>414</v>
      </c>
      <c r="B403" s="1">
        <v>45344</v>
      </c>
      <c r="C403" t="s">
        <v>537</v>
      </c>
      <c r="D403" t="s">
        <v>543</v>
      </c>
      <c r="E403" t="s">
        <v>546</v>
      </c>
      <c r="F403" t="s">
        <v>549</v>
      </c>
      <c r="G403" t="s">
        <v>934</v>
      </c>
      <c r="H403" t="s">
        <v>1043</v>
      </c>
      <c r="I403">
        <v>1535</v>
      </c>
      <c r="J403">
        <v>7.0000000000000007E-2</v>
      </c>
      <c r="K403">
        <v>1427.55</v>
      </c>
      <c r="L403">
        <v>883.09</v>
      </c>
      <c r="M403">
        <v>128</v>
      </c>
      <c r="N403">
        <v>3</v>
      </c>
      <c r="O403">
        <v>0.38</v>
      </c>
    </row>
    <row r="404" spans="1:15" x14ac:dyDescent="0.25">
      <c r="A404" t="s">
        <v>415</v>
      </c>
      <c r="B404" s="1">
        <v>45351</v>
      </c>
      <c r="C404" t="s">
        <v>536</v>
      </c>
      <c r="D404" t="s">
        <v>544</v>
      </c>
      <c r="E404" t="s">
        <v>546</v>
      </c>
      <c r="F404" t="s">
        <v>548</v>
      </c>
      <c r="G404" t="s">
        <v>827</v>
      </c>
      <c r="H404" t="s">
        <v>1044</v>
      </c>
      <c r="I404">
        <v>1989</v>
      </c>
      <c r="J404">
        <v>0.22</v>
      </c>
      <c r="K404">
        <v>1551.42</v>
      </c>
      <c r="L404">
        <v>1135.6400000000001</v>
      </c>
      <c r="M404">
        <v>185</v>
      </c>
      <c r="N404">
        <v>1</v>
      </c>
      <c r="O404">
        <v>0.35</v>
      </c>
    </row>
    <row r="405" spans="1:15" x14ac:dyDescent="0.25">
      <c r="A405" t="s">
        <v>416</v>
      </c>
      <c r="B405" s="1">
        <v>45399</v>
      </c>
      <c r="C405" t="s">
        <v>536</v>
      </c>
      <c r="D405" t="s">
        <v>544</v>
      </c>
      <c r="E405" t="s">
        <v>546</v>
      </c>
      <c r="F405" t="s">
        <v>547</v>
      </c>
      <c r="G405" t="s">
        <v>935</v>
      </c>
      <c r="H405" t="s">
        <v>1042</v>
      </c>
      <c r="I405">
        <v>3262</v>
      </c>
      <c r="J405">
        <v>0.21</v>
      </c>
      <c r="K405">
        <v>2576.98</v>
      </c>
      <c r="L405">
        <v>1994.17</v>
      </c>
      <c r="M405">
        <v>174</v>
      </c>
      <c r="N405">
        <v>3</v>
      </c>
      <c r="O405">
        <v>0.35</v>
      </c>
    </row>
    <row r="406" spans="1:15" x14ac:dyDescent="0.25">
      <c r="A406" t="s">
        <v>417</v>
      </c>
      <c r="B406" s="1">
        <v>45296</v>
      </c>
      <c r="C406" t="s">
        <v>536</v>
      </c>
      <c r="D406" t="s">
        <v>544</v>
      </c>
      <c r="E406" t="s">
        <v>545</v>
      </c>
      <c r="F406" t="s">
        <v>549</v>
      </c>
      <c r="G406" t="s">
        <v>936</v>
      </c>
      <c r="H406" t="s">
        <v>1042</v>
      </c>
      <c r="I406">
        <v>4574</v>
      </c>
      <c r="J406">
        <v>0.12</v>
      </c>
      <c r="K406">
        <v>4025.12</v>
      </c>
      <c r="L406">
        <v>2769.48</v>
      </c>
      <c r="M406">
        <v>40</v>
      </c>
      <c r="N406">
        <v>3</v>
      </c>
      <c r="O406">
        <v>0.32</v>
      </c>
    </row>
    <row r="407" spans="1:15" x14ac:dyDescent="0.25">
      <c r="A407" t="s">
        <v>418</v>
      </c>
      <c r="B407" s="1">
        <v>45394</v>
      </c>
      <c r="C407" t="s">
        <v>536</v>
      </c>
      <c r="D407" t="s">
        <v>539</v>
      </c>
      <c r="E407" t="s">
        <v>545</v>
      </c>
      <c r="F407" t="s">
        <v>548</v>
      </c>
      <c r="G407" t="s">
        <v>937</v>
      </c>
      <c r="H407" t="s">
        <v>1045</v>
      </c>
      <c r="I407">
        <v>1011</v>
      </c>
      <c r="J407">
        <v>0.32</v>
      </c>
      <c r="K407">
        <v>687.48</v>
      </c>
      <c r="L407">
        <v>738.32</v>
      </c>
      <c r="M407">
        <v>124</v>
      </c>
      <c r="N407">
        <v>3</v>
      </c>
      <c r="O407">
        <v>0.39</v>
      </c>
    </row>
    <row r="408" spans="1:15" x14ac:dyDescent="0.25">
      <c r="A408" t="s">
        <v>419</v>
      </c>
      <c r="B408" s="1">
        <v>45297</v>
      </c>
      <c r="C408" t="s">
        <v>536</v>
      </c>
      <c r="D408" t="s">
        <v>544</v>
      </c>
      <c r="E408" t="s">
        <v>546</v>
      </c>
      <c r="F408" t="s">
        <v>550</v>
      </c>
      <c r="G408" t="s">
        <v>938</v>
      </c>
      <c r="H408" t="s">
        <v>1043</v>
      </c>
      <c r="I408">
        <v>5366</v>
      </c>
      <c r="J408">
        <v>0.28000000000000003</v>
      </c>
      <c r="K408">
        <v>3863.52</v>
      </c>
      <c r="L408">
        <v>3055.77</v>
      </c>
      <c r="M408">
        <v>107</v>
      </c>
      <c r="N408">
        <v>3</v>
      </c>
      <c r="O408">
        <v>0.43</v>
      </c>
    </row>
    <row r="409" spans="1:15" x14ac:dyDescent="0.25">
      <c r="A409" t="s">
        <v>420</v>
      </c>
      <c r="B409" s="1">
        <v>45400</v>
      </c>
      <c r="C409" t="s">
        <v>535</v>
      </c>
      <c r="D409" t="s">
        <v>538</v>
      </c>
      <c r="E409" t="s">
        <v>545</v>
      </c>
      <c r="F409" t="s">
        <v>550</v>
      </c>
      <c r="G409" t="s">
        <v>939</v>
      </c>
      <c r="H409" t="s">
        <v>1045</v>
      </c>
      <c r="I409">
        <v>2591</v>
      </c>
      <c r="J409">
        <v>0.08</v>
      </c>
      <c r="K409">
        <v>2383.7199999999998</v>
      </c>
      <c r="L409">
        <v>1763.02</v>
      </c>
      <c r="M409">
        <v>15</v>
      </c>
      <c r="N409">
        <v>2</v>
      </c>
      <c r="O409">
        <v>0.42</v>
      </c>
    </row>
    <row r="410" spans="1:15" x14ac:dyDescent="0.25">
      <c r="A410" t="s">
        <v>421</v>
      </c>
      <c r="B410" s="1">
        <v>45407</v>
      </c>
      <c r="C410" t="s">
        <v>537</v>
      </c>
      <c r="D410" t="s">
        <v>542</v>
      </c>
      <c r="E410" t="s">
        <v>545</v>
      </c>
      <c r="F410" t="s">
        <v>547</v>
      </c>
      <c r="G410" t="s">
        <v>940</v>
      </c>
      <c r="H410" t="s">
        <v>1043</v>
      </c>
      <c r="I410">
        <v>2721</v>
      </c>
      <c r="J410">
        <v>0.32</v>
      </c>
      <c r="K410">
        <v>1850.28</v>
      </c>
      <c r="L410">
        <v>1681.09</v>
      </c>
      <c r="M410">
        <v>115</v>
      </c>
      <c r="N410">
        <v>3</v>
      </c>
      <c r="O410">
        <v>0.4</v>
      </c>
    </row>
    <row r="411" spans="1:15" x14ac:dyDescent="0.25">
      <c r="A411" t="s">
        <v>422</v>
      </c>
      <c r="B411" s="1">
        <v>45385</v>
      </c>
      <c r="C411" t="s">
        <v>536</v>
      </c>
      <c r="D411" t="s">
        <v>544</v>
      </c>
      <c r="E411" t="s">
        <v>545</v>
      </c>
      <c r="F411" t="s">
        <v>547</v>
      </c>
      <c r="G411" t="s">
        <v>941</v>
      </c>
      <c r="H411" t="s">
        <v>1045</v>
      </c>
      <c r="I411">
        <v>2513</v>
      </c>
      <c r="J411">
        <v>0.25</v>
      </c>
      <c r="K411">
        <v>1884.75</v>
      </c>
      <c r="L411">
        <v>1738.06</v>
      </c>
      <c r="M411">
        <v>31</v>
      </c>
      <c r="N411">
        <v>1</v>
      </c>
      <c r="O411">
        <v>0.35</v>
      </c>
    </row>
    <row r="412" spans="1:15" x14ac:dyDescent="0.25">
      <c r="A412" t="s">
        <v>423</v>
      </c>
      <c r="B412" s="1">
        <v>45338</v>
      </c>
      <c r="C412" t="s">
        <v>536</v>
      </c>
      <c r="D412" t="s">
        <v>539</v>
      </c>
      <c r="E412" t="s">
        <v>545</v>
      </c>
      <c r="F412" t="s">
        <v>547</v>
      </c>
      <c r="G412" t="s">
        <v>942</v>
      </c>
      <c r="H412" t="s">
        <v>1044</v>
      </c>
      <c r="I412">
        <v>5562</v>
      </c>
      <c r="J412">
        <v>0.23</v>
      </c>
      <c r="K412">
        <v>4282.74</v>
      </c>
      <c r="L412">
        <v>3603.35</v>
      </c>
      <c r="M412">
        <v>27</v>
      </c>
      <c r="N412">
        <v>1</v>
      </c>
      <c r="O412">
        <v>0.33</v>
      </c>
    </row>
    <row r="413" spans="1:15" x14ac:dyDescent="0.25">
      <c r="A413" t="s">
        <v>424</v>
      </c>
      <c r="B413" s="1">
        <v>45390</v>
      </c>
      <c r="C413" t="s">
        <v>536</v>
      </c>
      <c r="D413" t="s">
        <v>544</v>
      </c>
      <c r="E413" t="s">
        <v>545</v>
      </c>
      <c r="F413" t="s">
        <v>548</v>
      </c>
      <c r="G413" t="s">
        <v>943</v>
      </c>
      <c r="H413" t="s">
        <v>1045</v>
      </c>
      <c r="I413">
        <v>7264</v>
      </c>
      <c r="J413">
        <v>0.2</v>
      </c>
      <c r="K413">
        <v>5811.2</v>
      </c>
      <c r="L413">
        <v>5267</v>
      </c>
      <c r="M413">
        <v>34</v>
      </c>
      <c r="N413">
        <v>2</v>
      </c>
      <c r="O413">
        <v>0.31</v>
      </c>
    </row>
    <row r="414" spans="1:15" x14ac:dyDescent="0.25">
      <c r="A414" t="s">
        <v>425</v>
      </c>
      <c r="B414" s="1">
        <v>45346</v>
      </c>
      <c r="C414" t="s">
        <v>536</v>
      </c>
      <c r="D414" t="s">
        <v>539</v>
      </c>
      <c r="E414" t="s">
        <v>545</v>
      </c>
      <c r="F414" t="s">
        <v>550</v>
      </c>
      <c r="G414" t="s">
        <v>944</v>
      </c>
      <c r="H414" t="s">
        <v>1045</v>
      </c>
      <c r="I414">
        <v>3615</v>
      </c>
      <c r="J414">
        <v>0.17</v>
      </c>
      <c r="K414">
        <v>3000.45</v>
      </c>
      <c r="L414">
        <v>1735.47</v>
      </c>
      <c r="M414">
        <v>178</v>
      </c>
      <c r="N414">
        <v>1</v>
      </c>
      <c r="O414">
        <v>0.39</v>
      </c>
    </row>
    <row r="415" spans="1:15" x14ac:dyDescent="0.25">
      <c r="A415" t="s">
        <v>426</v>
      </c>
      <c r="B415" s="1">
        <v>45459</v>
      </c>
      <c r="C415" t="s">
        <v>537</v>
      </c>
      <c r="D415" t="s">
        <v>543</v>
      </c>
      <c r="E415" t="s">
        <v>546</v>
      </c>
      <c r="F415" t="s">
        <v>548</v>
      </c>
      <c r="G415" t="s">
        <v>945</v>
      </c>
      <c r="H415" t="s">
        <v>1045</v>
      </c>
      <c r="I415">
        <v>6598</v>
      </c>
      <c r="J415">
        <v>0.33</v>
      </c>
      <c r="K415">
        <v>4420.66</v>
      </c>
      <c r="L415">
        <v>3572.03</v>
      </c>
      <c r="M415">
        <v>135</v>
      </c>
      <c r="N415">
        <v>2</v>
      </c>
      <c r="O415">
        <v>0.44</v>
      </c>
    </row>
    <row r="416" spans="1:15" x14ac:dyDescent="0.25">
      <c r="A416" t="s">
        <v>427</v>
      </c>
      <c r="B416" s="1">
        <v>45343</v>
      </c>
      <c r="C416" t="s">
        <v>537</v>
      </c>
      <c r="D416" t="s">
        <v>543</v>
      </c>
      <c r="E416" t="s">
        <v>546</v>
      </c>
      <c r="F416" t="s">
        <v>548</v>
      </c>
      <c r="G416" t="s">
        <v>946</v>
      </c>
      <c r="H416" t="s">
        <v>1045</v>
      </c>
      <c r="I416">
        <v>5924</v>
      </c>
      <c r="J416">
        <v>0.17</v>
      </c>
      <c r="K416">
        <v>4916.92</v>
      </c>
      <c r="L416">
        <v>2716.72</v>
      </c>
      <c r="M416">
        <v>99</v>
      </c>
      <c r="N416">
        <v>2</v>
      </c>
      <c r="O416">
        <v>0.41</v>
      </c>
    </row>
    <row r="417" spans="1:15" x14ac:dyDescent="0.25">
      <c r="A417" t="s">
        <v>428</v>
      </c>
      <c r="B417" s="1">
        <v>45435</v>
      </c>
      <c r="C417" t="s">
        <v>536</v>
      </c>
      <c r="D417" t="s">
        <v>539</v>
      </c>
      <c r="E417" t="s">
        <v>545</v>
      </c>
      <c r="F417" t="s">
        <v>549</v>
      </c>
      <c r="G417" t="s">
        <v>947</v>
      </c>
      <c r="H417" t="s">
        <v>1042</v>
      </c>
      <c r="I417">
        <v>1406</v>
      </c>
      <c r="J417">
        <v>0.22</v>
      </c>
      <c r="K417">
        <v>1096.68</v>
      </c>
      <c r="L417">
        <v>635.34</v>
      </c>
      <c r="M417">
        <v>68</v>
      </c>
      <c r="N417">
        <v>3</v>
      </c>
      <c r="O417">
        <v>0.4</v>
      </c>
    </row>
    <row r="418" spans="1:15" x14ac:dyDescent="0.25">
      <c r="A418" t="s">
        <v>429</v>
      </c>
      <c r="B418" s="1">
        <v>45304</v>
      </c>
      <c r="C418" t="s">
        <v>536</v>
      </c>
      <c r="D418" t="s">
        <v>539</v>
      </c>
      <c r="E418" t="s">
        <v>546</v>
      </c>
      <c r="F418" t="s">
        <v>548</v>
      </c>
      <c r="G418" t="s">
        <v>755</v>
      </c>
      <c r="H418" t="s">
        <v>1044</v>
      </c>
      <c r="I418">
        <v>7193</v>
      </c>
      <c r="J418">
        <v>0.08</v>
      </c>
      <c r="K418">
        <v>6617.56</v>
      </c>
      <c r="L418">
        <v>4122.66</v>
      </c>
      <c r="M418">
        <v>52</v>
      </c>
      <c r="N418">
        <v>1</v>
      </c>
      <c r="O418">
        <v>0.32</v>
      </c>
    </row>
    <row r="419" spans="1:15" x14ac:dyDescent="0.25">
      <c r="A419" t="s">
        <v>430</v>
      </c>
      <c r="B419" s="1">
        <v>45405</v>
      </c>
      <c r="C419" t="s">
        <v>535</v>
      </c>
      <c r="D419" t="s">
        <v>538</v>
      </c>
      <c r="E419" t="s">
        <v>546</v>
      </c>
      <c r="F419" t="s">
        <v>547</v>
      </c>
      <c r="G419" t="s">
        <v>948</v>
      </c>
      <c r="H419" t="s">
        <v>1042</v>
      </c>
      <c r="I419">
        <v>2893</v>
      </c>
      <c r="J419">
        <v>7.0000000000000007E-2</v>
      </c>
      <c r="K419">
        <v>2690.49</v>
      </c>
      <c r="L419">
        <v>1845.55</v>
      </c>
      <c r="M419">
        <v>110</v>
      </c>
      <c r="N419">
        <v>2</v>
      </c>
      <c r="O419">
        <v>0.33</v>
      </c>
    </row>
    <row r="420" spans="1:15" x14ac:dyDescent="0.25">
      <c r="A420" t="s">
        <v>431</v>
      </c>
      <c r="B420" s="1">
        <v>45415</v>
      </c>
      <c r="C420" t="s">
        <v>537</v>
      </c>
      <c r="D420" t="s">
        <v>541</v>
      </c>
      <c r="E420" t="s">
        <v>545</v>
      </c>
      <c r="F420" t="s">
        <v>547</v>
      </c>
      <c r="G420" t="s">
        <v>949</v>
      </c>
      <c r="H420" t="s">
        <v>1045</v>
      </c>
      <c r="I420">
        <v>3414</v>
      </c>
      <c r="J420">
        <v>0.27</v>
      </c>
      <c r="K420">
        <v>2492.2199999999998</v>
      </c>
      <c r="L420">
        <v>2032.41</v>
      </c>
      <c r="M420">
        <v>184</v>
      </c>
      <c r="N420">
        <v>2</v>
      </c>
      <c r="O420">
        <v>0.37</v>
      </c>
    </row>
    <row r="421" spans="1:15" x14ac:dyDescent="0.25">
      <c r="A421" t="s">
        <v>432</v>
      </c>
      <c r="B421" s="1">
        <v>45397</v>
      </c>
      <c r="C421" t="s">
        <v>537</v>
      </c>
      <c r="D421" t="s">
        <v>542</v>
      </c>
      <c r="E421" t="s">
        <v>546</v>
      </c>
      <c r="F421" t="s">
        <v>549</v>
      </c>
      <c r="G421" t="s">
        <v>950</v>
      </c>
      <c r="H421" t="s">
        <v>1044</v>
      </c>
      <c r="I421">
        <v>7205</v>
      </c>
      <c r="J421">
        <v>0.21</v>
      </c>
      <c r="K421">
        <v>5691.95</v>
      </c>
      <c r="L421">
        <v>4828.59</v>
      </c>
      <c r="M421">
        <v>72</v>
      </c>
      <c r="N421">
        <v>2</v>
      </c>
      <c r="O421">
        <v>0.35</v>
      </c>
    </row>
    <row r="422" spans="1:15" x14ac:dyDescent="0.25">
      <c r="A422" t="s">
        <v>433</v>
      </c>
      <c r="B422" s="1">
        <v>45449</v>
      </c>
      <c r="C422" t="s">
        <v>537</v>
      </c>
      <c r="D422" t="s">
        <v>542</v>
      </c>
      <c r="E422" t="s">
        <v>546</v>
      </c>
      <c r="F422" t="s">
        <v>550</v>
      </c>
      <c r="G422" t="s">
        <v>951</v>
      </c>
      <c r="H422" t="s">
        <v>1045</v>
      </c>
      <c r="I422">
        <v>1860</v>
      </c>
      <c r="J422">
        <v>0.26</v>
      </c>
      <c r="K422">
        <v>1376.4</v>
      </c>
      <c r="L422">
        <v>944.94</v>
      </c>
      <c r="M422">
        <v>71</v>
      </c>
      <c r="N422">
        <v>2</v>
      </c>
      <c r="O422">
        <v>0.32</v>
      </c>
    </row>
    <row r="423" spans="1:15" x14ac:dyDescent="0.25">
      <c r="A423" t="s">
        <v>434</v>
      </c>
      <c r="B423" s="1">
        <v>45438</v>
      </c>
      <c r="C423" t="s">
        <v>536</v>
      </c>
      <c r="D423" t="s">
        <v>544</v>
      </c>
      <c r="E423" t="s">
        <v>546</v>
      </c>
      <c r="F423" t="s">
        <v>547</v>
      </c>
      <c r="G423" t="s">
        <v>952</v>
      </c>
      <c r="H423" t="s">
        <v>1044</v>
      </c>
      <c r="I423">
        <v>5719</v>
      </c>
      <c r="J423">
        <v>0.12</v>
      </c>
      <c r="K423">
        <v>5032.72</v>
      </c>
      <c r="L423">
        <v>3727.16</v>
      </c>
      <c r="M423">
        <v>194</v>
      </c>
      <c r="N423">
        <v>1</v>
      </c>
      <c r="O423">
        <v>0.37</v>
      </c>
    </row>
    <row r="424" spans="1:15" x14ac:dyDescent="0.25">
      <c r="A424" t="s">
        <v>435</v>
      </c>
      <c r="B424" s="1">
        <v>45436</v>
      </c>
      <c r="C424" t="s">
        <v>537</v>
      </c>
      <c r="D424" t="s">
        <v>542</v>
      </c>
      <c r="E424" t="s">
        <v>545</v>
      </c>
      <c r="F424" t="s">
        <v>549</v>
      </c>
      <c r="G424" t="s">
        <v>953</v>
      </c>
      <c r="H424" t="s">
        <v>1044</v>
      </c>
      <c r="I424">
        <v>3798</v>
      </c>
      <c r="J424">
        <v>7.0000000000000007E-2</v>
      </c>
      <c r="K424">
        <v>3532.14</v>
      </c>
      <c r="L424">
        <v>1748.91</v>
      </c>
      <c r="M424">
        <v>53</v>
      </c>
      <c r="N424">
        <v>2</v>
      </c>
      <c r="O424">
        <v>0.28999999999999998</v>
      </c>
    </row>
    <row r="425" spans="1:15" x14ac:dyDescent="0.25">
      <c r="A425" t="s">
        <v>436</v>
      </c>
      <c r="B425" s="1">
        <v>45411</v>
      </c>
      <c r="C425" t="s">
        <v>537</v>
      </c>
      <c r="D425" t="s">
        <v>541</v>
      </c>
      <c r="E425" t="s">
        <v>546</v>
      </c>
      <c r="F425" t="s">
        <v>548</v>
      </c>
      <c r="G425" t="s">
        <v>954</v>
      </c>
      <c r="H425" t="s">
        <v>1043</v>
      </c>
      <c r="I425">
        <v>2575</v>
      </c>
      <c r="J425">
        <v>0.16</v>
      </c>
      <c r="K425">
        <v>2163</v>
      </c>
      <c r="L425">
        <v>1747.14</v>
      </c>
      <c r="M425">
        <v>94</v>
      </c>
      <c r="N425">
        <v>1</v>
      </c>
      <c r="O425">
        <v>0.39</v>
      </c>
    </row>
    <row r="426" spans="1:15" x14ac:dyDescent="0.25">
      <c r="A426" t="s">
        <v>437</v>
      </c>
      <c r="B426" s="1">
        <v>45354</v>
      </c>
      <c r="C426" t="s">
        <v>535</v>
      </c>
      <c r="D426" t="s">
        <v>538</v>
      </c>
      <c r="E426" t="s">
        <v>546</v>
      </c>
      <c r="F426" t="s">
        <v>550</v>
      </c>
      <c r="G426" t="s">
        <v>955</v>
      </c>
      <c r="H426" t="s">
        <v>1043</v>
      </c>
      <c r="I426">
        <v>179</v>
      </c>
      <c r="J426">
        <v>0.24</v>
      </c>
      <c r="K426">
        <v>136.04</v>
      </c>
      <c r="L426">
        <v>116.28</v>
      </c>
      <c r="M426">
        <v>105</v>
      </c>
      <c r="N426">
        <v>2</v>
      </c>
      <c r="O426">
        <v>0.28000000000000003</v>
      </c>
    </row>
    <row r="427" spans="1:15" x14ac:dyDescent="0.25">
      <c r="A427" t="s">
        <v>438</v>
      </c>
      <c r="B427" s="1">
        <v>45310</v>
      </c>
      <c r="C427" t="s">
        <v>535</v>
      </c>
      <c r="D427" t="s">
        <v>540</v>
      </c>
      <c r="E427" t="s">
        <v>546</v>
      </c>
      <c r="F427" t="s">
        <v>548</v>
      </c>
      <c r="G427" t="s">
        <v>956</v>
      </c>
      <c r="H427" t="s">
        <v>1044</v>
      </c>
      <c r="I427">
        <v>5579</v>
      </c>
      <c r="J427">
        <v>0.21</v>
      </c>
      <c r="K427">
        <v>4407.41</v>
      </c>
      <c r="L427">
        <v>2934.97</v>
      </c>
      <c r="M427">
        <v>101</v>
      </c>
      <c r="N427">
        <v>1</v>
      </c>
      <c r="O427">
        <v>0.39</v>
      </c>
    </row>
    <row r="428" spans="1:15" x14ac:dyDescent="0.25">
      <c r="A428" t="s">
        <v>439</v>
      </c>
      <c r="B428" s="1">
        <v>45383</v>
      </c>
      <c r="C428" t="s">
        <v>537</v>
      </c>
      <c r="D428" t="s">
        <v>541</v>
      </c>
      <c r="E428" t="s">
        <v>545</v>
      </c>
      <c r="F428" t="s">
        <v>550</v>
      </c>
      <c r="G428" t="s">
        <v>957</v>
      </c>
      <c r="H428" t="s">
        <v>1042</v>
      </c>
      <c r="I428">
        <v>1181</v>
      </c>
      <c r="J428">
        <v>7.0000000000000007E-2</v>
      </c>
      <c r="K428">
        <v>1098.33</v>
      </c>
      <c r="L428">
        <v>633.42999999999995</v>
      </c>
      <c r="M428">
        <v>59</v>
      </c>
      <c r="N428">
        <v>3</v>
      </c>
      <c r="O428">
        <v>0.44</v>
      </c>
    </row>
    <row r="429" spans="1:15" x14ac:dyDescent="0.25">
      <c r="A429" t="s">
        <v>440</v>
      </c>
      <c r="B429" s="1">
        <v>45349</v>
      </c>
      <c r="C429" t="s">
        <v>536</v>
      </c>
      <c r="D429" t="s">
        <v>544</v>
      </c>
      <c r="E429" t="s">
        <v>546</v>
      </c>
      <c r="F429" t="s">
        <v>548</v>
      </c>
      <c r="G429" t="s">
        <v>958</v>
      </c>
      <c r="H429" t="s">
        <v>1043</v>
      </c>
      <c r="I429">
        <v>4801</v>
      </c>
      <c r="J429">
        <v>0.05</v>
      </c>
      <c r="K429">
        <v>4560.95</v>
      </c>
      <c r="L429">
        <v>2162.39</v>
      </c>
      <c r="M429">
        <v>93</v>
      </c>
      <c r="N429">
        <v>2</v>
      </c>
      <c r="O429">
        <v>0.3</v>
      </c>
    </row>
    <row r="430" spans="1:15" x14ac:dyDescent="0.25">
      <c r="A430" t="s">
        <v>441</v>
      </c>
      <c r="B430" s="1">
        <v>45381</v>
      </c>
      <c r="C430" t="s">
        <v>535</v>
      </c>
      <c r="D430" t="s">
        <v>538</v>
      </c>
      <c r="E430" t="s">
        <v>545</v>
      </c>
      <c r="F430" t="s">
        <v>549</v>
      </c>
      <c r="G430" t="s">
        <v>959</v>
      </c>
      <c r="H430" t="s">
        <v>1045</v>
      </c>
      <c r="I430">
        <v>894</v>
      </c>
      <c r="J430">
        <v>0.25</v>
      </c>
      <c r="K430">
        <v>670.5</v>
      </c>
      <c r="L430">
        <v>577.23</v>
      </c>
      <c r="M430">
        <v>56</v>
      </c>
      <c r="N430">
        <v>1</v>
      </c>
      <c r="O430">
        <v>0.39</v>
      </c>
    </row>
    <row r="431" spans="1:15" x14ac:dyDescent="0.25">
      <c r="A431" t="s">
        <v>442</v>
      </c>
      <c r="B431" s="1">
        <v>45408</v>
      </c>
      <c r="C431" t="s">
        <v>537</v>
      </c>
      <c r="D431" t="s">
        <v>542</v>
      </c>
      <c r="E431" t="s">
        <v>545</v>
      </c>
      <c r="F431" t="s">
        <v>549</v>
      </c>
      <c r="G431" t="s">
        <v>960</v>
      </c>
      <c r="H431" t="s">
        <v>1044</v>
      </c>
      <c r="I431">
        <v>5722</v>
      </c>
      <c r="J431">
        <v>0.35</v>
      </c>
      <c r="K431">
        <v>3719.3</v>
      </c>
      <c r="L431">
        <v>2889.81</v>
      </c>
      <c r="M431">
        <v>98</v>
      </c>
      <c r="N431">
        <v>2</v>
      </c>
      <c r="O431">
        <v>0.35</v>
      </c>
    </row>
    <row r="432" spans="1:15" x14ac:dyDescent="0.25">
      <c r="A432" t="s">
        <v>443</v>
      </c>
      <c r="B432" s="1">
        <v>45353</v>
      </c>
      <c r="C432" t="s">
        <v>537</v>
      </c>
      <c r="D432" t="s">
        <v>542</v>
      </c>
      <c r="E432" t="s">
        <v>546</v>
      </c>
      <c r="F432" t="s">
        <v>550</v>
      </c>
      <c r="G432" t="s">
        <v>961</v>
      </c>
      <c r="H432" t="s">
        <v>1043</v>
      </c>
      <c r="I432">
        <v>5857</v>
      </c>
      <c r="J432">
        <v>0.06</v>
      </c>
      <c r="K432">
        <v>5505.58</v>
      </c>
      <c r="L432">
        <v>3745.04</v>
      </c>
      <c r="M432">
        <v>74</v>
      </c>
      <c r="N432">
        <v>3</v>
      </c>
      <c r="O432">
        <v>0.37</v>
      </c>
    </row>
    <row r="433" spans="1:15" x14ac:dyDescent="0.25">
      <c r="A433" t="s">
        <v>444</v>
      </c>
      <c r="B433" s="1">
        <v>45314</v>
      </c>
      <c r="C433" t="s">
        <v>537</v>
      </c>
      <c r="D433" t="s">
        <v>541</v>
      </c>
      <c r="E433" t="s">
        <v>545</v>
      </c>
      <c r="F433" t="s">
        <v>550</v>
      </c>
      <c r="G433" t="s">
        <v>962</v>
      </c>
      <c r="H433" t="s">
        <v>1043</v>
      </c>
      <c r="I433">
        <v>7411</v>
      </c>
      <c r="J433">
        <v>7.0000000000000007E-2</v>
      </c>
      <c r="K433">
        <v>6892.23</v>
      </c>
      <c r="L433">
        <v>5314.54</v>
      </c>
      <c r="M433">
        <v>165</v>
      </c>
      <c r="N433">
        <v>1</v>
      </c>
      <c r="O433">
        <v>0.28000000000000003</v>
      </c>
    </row>
    <row r="434" spans="1:15" x14ac:dyDescent="0.25">
      <c r="A434" t="s">
        <v>445</v>
      </c>
      <c r="B434" s="1">
        <v>45418</v>
      </c>
      <c r="C434" t="s">
        <v>537</v>
      </c>
      <c r="D434" t="s">
        <v>542</v>
      </c>
      <c r="E434" t="s">
        <v>546</v>
      </c>
      <c r="F434" t="s">
        <v>550</v>
      </c>
      <c r="G434" t="s">
        <v>963</v>
      </c>
      <c r="H434" t="s">
        <v>1043</v>
      </c>
      <c r="I434">
        <v>5297</v>
      </c>
      <c r="J434">
        <v>0.31</v>
      </c>
      <c r="K434">
        <v>3654.93</v>
      </c>
      <c r="L434">
        <v>2623.11</v>
      </c>
      <c r="M434">
        <v>45</v>
      </c>
      <c r="N434">
        <v>1</v>
      </c>
      <c r="O434">
        <v>0.33</v>
      </c>
    </row>
    <row r="435" spans="1:15" x14ac:dyDescent="0.25">
      <c r="A435" t="s">
        <v>446</v>
      </c>
      <c r="B435" s="1">
        <v>45428</v>
      </c>
      <c r="C435" t="s">
        <v>536</v>
      </c>
      <c r="D435" t="s">
        <v>544</v>
      </c>
      <c r="E435" t="s">
        <v>545</v>
      </c>
      <c r="F435" t="s">
        <v>547</v>
      </c>
      <c r="G435" t="s">
        <v>964</v>
      </c>
      <c r="H435" t="s">
        <v>1045</v>
      </c>
      <c r="I435">
        <v>1169</v>
      </c>
      <c r="J435">
        <v>0.25</v>
      </c>
      <c r="K435">
        <v>876.75</v>
      </c>
      <c r="L435">
        <v>764.4</v>
      </c>
      <c r="M435">
        <v>27</v>
      </c>
      <c r="N435">
        <v>2</v>
      </c>
      <c r="O435">
        <v>0.33</v>
      </c>
    </row>
    <row r="436" spans="1:15" x14ac:dyDescent="0.25">
      <c r="A436" t="s">
        <v>447</v>
      </c>
      <c r="B436" s="1">
        <v>45431</v>
      </c>
      <c r="C436" t="s">
        <v>535</v>
      </c>
      <c r="D436" t="s">
        <v>540</v>
      </c>
      <c r="E436" t="s">
        <v>546</v>
      </c>
      <c r="F436" t="s">
        <v>549</v>
      </c>
      <c r="G436" t="s">
        <v>965</v>
      </c>
      <c r="H436" t="s">
        <v>1042</v>
      </c>
      <c r="I436">
        <v>2758</v>
      </c>
      <c r="J436">
        <v>0.24</v>
      </c>
      <c r="K436">
        <v>2096.08</v>
      </c>
      <c r="L436">
        <v>1732.13</v>
      </c>
      <c r="M436">
        <v>149</v>
      </c>
      <c r="N436">
        <v>1</v>
      </c>
      <c r="O436">
        <v>0.39</v>
      </c>
    </row>
    <row r="437" spans="1:15" x14ac:dyDescent="0.25">
      <c r="A437" t="s">
        <v>448</v>
      </c>
      <c r="B437" s="1">
        <v>45420</v>
      </c>
      <c r="C437" t="s">
        <v>535</v>
      </c>
      <c r="D437" t="s">
        <v>540</v>
      </c>
      <c r="E437" t="s">
        <v>546</v>
      </c>
      <c r="F437" t="s">
        <v>550</v>
      </c>
      <c r="G437" t="s">
        <v>966</v>
      </c>
      <c r="H437" t="s">
        <v>1042</v>
      </c>
      <c r="I437">
        <v>3522</v>
      </c>
      <c r="J437">
        <v>0.3</v>
      </c>
      <c r="K437">
        <v>2465.4</v>
      </c>
      <c r="L437">
        <v>2555.2800000000002</v>
      </c>
      <c r="M437">
        <v>107</v>
      </c>
      <c r="N437">
        <v>1</v>
      </c>
      <c r="O437">
        <v>0.3</v>
      </c>
    </row>
    <row r="438" spans="1:15" x14ac:dyDescent="0.25">
      <c r="A438" t="s">
        <v>449</v>
      </c>
      <c r="B438" s="1">
        <v>45349</v>
      </c>
      <c r="C438" t="s">
        <v>536</v>
      </c>
      <c r="D438" t="s">
        <v>544</v>
      </c>
      <c r="E438" t="s">
        <v>545</v>
      </c>
      <c r="F438" t="s">
        <v>549</v>
      </c>
      <c r="G438" t="s">
        <v>967</v>
      </c>
      <c r="H438" t="s">
        <v>1044</v>
      </c>
      <c r="I438">
        <v>4188</v>
      </c>
      <c r="J438">
        <v>0.05</v>
      </c>
      <c r="K438">
        <v>3978.6</v>
      </c>
      <c r="L438">
        <v>2779.33</v>
      </c>
      <c r="M438">
        <v>26</v>
      </c>
      <c r="N438">
        <v>3</v>
      </c>
      <c r="O438">
        <v>0.31</v>
      </c>
    </row>
    <row r="439" spans="1:15" x14ac:dyDescent="0.25">
      <c r="A439" t="s">
        <v>450</v>
      </c>
      <c r="B439" s="1">
        <v>45413</v>
      </c>
      <c r="C439" t="s">
        <v>536</v>
      </c>
      <c r="D439" t="s">
        <v>544</v>
      </c>
      <c r="E439" t="s">
        <v>545</v>
      </c>
      <c r="F439" t="s">
        <v>549</v>
      </c>
      <c r="G439" t="s">
        <v>968</v>
      </c>
      <c r="H439" t="s">
        <v>1042</v>
      </c>
      <c r="I439">
        <v>2388</v>
      </c>
      <c r="J439">
        <v>0.32</v>
      </c>
      <c r="K439">
        <v>1623.84</v>
      </c>
      <c r="L439">
        <v>1470.85</v>
      </c>
      <c r="M439">
        <v>162</v>
      </c>
      <c r="N439">
        <v>3</v>
      </c>
      <c r="O439">
        <v>0.34</v>
      </c>
    </row>
    <row r="440" spans="1:15" x14ac:dyDescent="0.25">
      <c r="A440" t="s">
        <v>451</v>
      </c>
      <c r="B440" s="1">
        <v>45292</v>
      </c>
      <c r="C440" t="s">
        <v>536</v>
      </c>
      <c r="D440" t="s">
        <v>539</v>
      </c>
      <c r="E440" t="s">
        <v>546</v>
      </c>
      <c r="F440" t="s">
        <v>549</v>
      </c>
      <c r="G440" t="s">
        <v>969</v>
      </c>
      <c r="H440" t="s">
        <v>1042</v>
      </c>
      <c r="I440">
        <v>7133</v>
      </c>
      <c r="J440">
        <v>0.08</v>
      </c>
      <c r="K440">
        <v>6562.36</v>
      </c>
      <c r="L440">
        <v>3588.39</v>
      </c>
      <c r="M440">
        <v>63</v>
      </c>
      <c r="N440">
        <v>3</v>
      </c>
      <c r="O440">
        <v>0.37</v>
      </c>
    </row>
    <row r="441" spans="1:15" x14ac:dyDescent="0.25">
      <c r="A441" t="s">
        <v>452</v>
      </c>
      <c r="B441" s="1">
        <v>45325</v>
      </c>
      <c r="C441" t="s">
        <v>536</v>
      </c>
      <c r="D441" t="s">
        <v>544</v>
      </c>
      <c r="E441" t="s">
        <v>546</v>
      </c>
      <c r="F441" t="s">
        <v>550</v>
      </c>
      <c r="G441" t="s">
        <v>970</v>
      </c>
      <c r="H441" t="s">
        <v>1044</v>
      </c>
      <c r="I441">
        <v>2155</v>
      </c>
      <c r="J441">
        <v>0.19</v>
      </c>
      <c r="K441">
        <v>1745.55</v>
      </c>
      <c r="L441">
        <v>1175.53</v>
      </c>
      <c r="M441">
        <v>166</v>
      </c>
      <c r="N441">
        <v>2</v>
      </c>
      <c r="O441">
        <v>0.38</v>
      </c>
    </row>
    <row r="442" spans="1:15" x14ac:dyDescent="0.25">
      <c r="A442" t="s">
        <v>453</v>
      </c>
      <c r="B442" s="1">
        <v>45387</v>
      </c>
      <c r="C442" t="s">
        <v>536</v>
      </c>
      <c r="D442" t="s">
        <v>539</v>
      </c>
      <c r="E442" t="s">
        <v>545</v>
      </c>
      <c r="F442" t="s">
        <v>548</v>
      </c>
      <c r="G442" t="s">
        <v>971</v>
      </c>
      <c r="H442" t="s">
        <v>1045</v>
      </c>
      <c r="I442">
        <v>5644</v>
      </c>
      <c r="J442">
        <v>0.09</v>
      </c>
      <c r="K442">
        <v>5136.04</v>
      </c>
      <c r="L442">
        <v>3509.4</v>
      </c>
      <c r="M442">
        <v>29</v>
      </c>
      <c r="N442">
        <v>1</v>
      </c>
      <c r="O442">
        <v>0.42</v>
      </c>
    </row>
    <row r="443" spans="1:15" x14ac:dyDescent="0.25">
      <c r="A443" t="s">
        <v>454</v>
      </c>
      <c r="B443" s="1">
        <v>45417</v>
      </c>
      <c r="C443" t="s">
        <v>537</v>
      </c>
      <c r="D443" t="s">
        <v>541</v>
      </c>
      <c r="E443" t="s">
        <v>546</v>
      </c>
      <c r="F443" t="s">
        <v>550</v>
      </c>
      <c r="G443" t="s">
        <v>972</v>
      </c>
      <c r="H443" t="s">
        <v>1044</v>
      </c>
      <c r="I443">
        <v>702</v>
      </c>
      <c r="J443">
        <v>0.25</v>
      </c>
      <c r="K443">
        <v>526.5</v>
      </c>
      <c r="L443">
        <v>477.54</v>
      </c>
      <c r="M443">
        <v>61</v>
      </c>
      <c r="N443">
        <v>3</v>
      </c>
      <c r="O443">
        <v>0.38</v>
      </c>
    </row>
    <row r="444" spans="1:15" x14ac:dyDescent="0.25">
      <c r="A444" t="s">
        <v>455</v>
      </c>
      <c r="B444" s="1">
        <v>45409</v>
      </c>
      <c r="C444" t="s">
        <v>536</v>
      </c>
      <c r="D444" t="s">
        <v>539</v>
      </c>
      <c r="E444" t="s">
        <v>546</v>
      </c>
      <c r="F444" t="s">
        <v>549</v>
      </c>
      <c r="G444" t="s">
        <v>973</v>
      </c>
      <c r="H444" t="s">
        <v>1043</v>
      </c>
      <c r="I444">
        <v>907</v>
      </c>
      <c r="J444">
        <v>0.08</v>
      </c>
      <c r="K444">
        <v>834.44</v>
      </c>
      <c r="L444">
        <v>538.35</v>
      </c>
      <c r="M444">
        <v>52</v>
      </c>
      <c r="N444">
        <v>1</v>
      </c>
      <c r="O444">
        <v>0.37</v>
      </c>
    </row>
    <row r="445" spans="1:15" x14ac:dyDescent="0.25">
      <c r="A445" t="s">
        <v>456</v>
      </c>
      <c r="B445" s="1">
        <v>45339</v>
      </c>
      <c r="C445" t="s">
        <v>536</v>
      </c>
      <c r="D445" t="s">
        <v>544</v>
      </c>
      <c r="E445" t="s">
        <v>545</v>
      </c>
      <c r="F445" t="s">
        <v>548</v>
      </c>
      <c r="G445" t="s">
        <v>974</v>
      </c>
      <c r="H445" t="s">
        <v>1044</v>
      </c>
      <c r="I445">
        <v>4112</v>
      </c>
      <c r="J445">
        <v>7.0000000000000007E-2</v>
      </c>
      <c r="K445">
        <v>3824.16</v>
      </c>
      <c r="L445">
        <v>1909.73</v>
      </c>
      <c r="M445">
        <v>51</v>
      </c>
      <c r="N445">
        <v>3</v>
      </c>
      <c r="O445">
        <v>0.44</v>
      </c>
    </row>
    <row r="446" spans="1:15" x14ac:dyDescent="0.25">
      <c r="A446" t="s">
        <v>457</v>
      </c>
      <c r="B446" s="1">
        <v>45380</v>
      </c>
      <c r="C446" t="s">
        <v>536</v>
      </c>
      <c r="D446" t="s">
        <v>539</v>
      </c>
      <c r="E446" t="s">
        <v>546</v>
      </c>
      <c r="F446" t="s">
        <v>549</v>
      </c>
      <c r="G446" t="s">
        <v>975</v>
      </c>
      <c r="H446" t="s">
        <v>1042</v>
      </c>
      <c r="I446">
        <v>4887</v>
      </c>
      <c r="J446">
        <v>0.25</v>
      </c>
      <c r="K446">
        <v>3665.25</v>
      </c>
      <c r="L446">
        <v>2424.81</v>
      </c>
      <c r="M446">
        <v>108</v>
      </c>
      <c r="N446">
        <v>3</v>
      </c>
      <c r="O446">
        <v>0.3</v>
      </c>
    </row>
    <row r="447" spans="1:15" x14ac:dyDescent="0.25">
      <c r="A447" t="s">
        <v>458</v>
      </c>
      <c r="B447" s="1">
        <v>45408</v>
      </c>
      <c r="C447" t="s">
        <v>536</v>
      </c>
      <c r="D447" t="s">
        <v>539</v>
      </c>
      <c r="E447" t="s">
        <v>546</v>
      </c>
      <c r="F447" t="s">
        <v>548</v>
      </c>
      <c r="G447" t="s">
        <v>976</v>
      </c>
      <c r="H447" t="s">
        <v>1045</v>
      </c>
      <c r="I447">
        <v>7883</v>
      </c>
      <c r="J447">
        <v>0.28000000000000003</v>
      </c>
      <c r="K447">
        <v>5675.76</v>
      </c>
      <c r="L447">
        <v>4345.04</v>
      </c>
      <c r="M447">
        <v>60</v>
      </c>
      <c r="N447">
        <v>1</v>
      </c>
      <c r="O447">
        <v>0.37</v>
      </c>
    </row>
    <row r="448" spans="1:15" x14ac:dyDescent="0.25">
      <c r="A448" t="s">
        <v>459</v>
      </c>
      <c r="B448" s="1">
        <v>45420</v>
      </c>
      <c r="C448" t="s">
        <v>535</v>
      </c>
      <c r="D448" t="s">
        <v>540</v>
      </c>
      <c r="E448" t="s">
        <v>545</v>
      </c>
      <c r="F448" t="s">
        <v>547</v>
      </c>
      <c r="G448" t="s">
        <v>977</v>
      </c>
      <c r="H448" t="s">
        <v>1043</v>
      </c>
      <c r="I448">
        <v>2213</v>
      </c>
      <c r="J448">
        <v>0.25</v>
      </c>
      <c r="K448">
        <v>1659.75</v>
      </c>
      <c r="L448">
        <v>1258.71</v>
      </c>
      <c r="M448">
        <v>58</v>
      </c>
      <c r="N448">
        <v>3</v>
      </c>
      <c r="O448">
        <v>0.36</v>
      </c>
    </row>
    <row r="449" spans="1:15" x14ac:dyDescent="0.25">
      <c r="A449" t="s">
        <v>460</v>
      </c>
      <c r="B449" s="1">
        <v>45307</v>
      </c>
      <c r="C449" t="s">
        <v>537</v>
      </c>
      <c r="D449" t="s">
        <v>542</v>
      </c>
      <c r="E449" t="s">
        <v>545</v>
      </c>
      <c r="F449" t="s">
        <v>548</v>
      </c>
      <c r="G449" t="s">
        <v>978</v>
      </c>
      <c r="H449" t="s">
        <v>1043</v>
      </c>
      <c r="I449">
        <v>7757</v>
      </c>
      <c r="J449">
        <v>0.22</v>
      </c>
      <c r="K449">
        <v>6050.46</v>
      </c>
      <c r="L449">
        <v>4294.95</v>
      </c>
      <c r="M449">
        <v>162</v>
      </c>
      <c r="N449">
        <v>2</v>
      </c>
      <c r="O449">
        <v>0.36</v>
      </c>
    </row>
    <row r="450" spans="1:15" x14ac:dyDescent="0.25">
      <c r="A450" t="s">
        <v>461</v>
      </c>
      <c r="B450" s="1">
        <v>45360</v>
      </c>
      <c r="C450" t="s">
        <v>537</v>
      </c>
      <c r="D450" t="s">
        <v>543</v>
      </c>
      <c r="E450" t="s">
        <v>545</v>
      </c>
      <c r="F450" t="s">
        <v>548</v>
      </c>
      <c r="G450" t="s">
        <v>979</v>
      </c>
      <c r="H450" t="s">
        <v>1045</v>
      </c>
      <c r="I450">
        <v>3060</v>
      </c>
      <c r="J450">
        <v>0.19</v>
      </c>
      <c r="K450">
        <v>2478.6</v>
      </c>
      <c r="L450">
        <v>1702.64</v>
      </c>
      <c r="M450">
        <v>102</v>
      </c>
      <c r="N450">
        <v>1</v>
      </c>
      <c r="O450">
        <v>0.3</v>
      </c>
    </row>
    <row r="451" spans="1:15" x14ac:dyDescent="0.25">
      <c r="A451" t="s">
        <v>462</v>
      </c>
      <c r="B451" s="1">
        <v>45313</v>
      </c>
      <c r="C451" t="s">
        <v>536</v>
      </c>
      <c r="D451" t="s">
        <v>544</v>
      </c>
      <c r="E451" t="s">
        <v>545</v>
      </c>
      <c r="F451" t="s">
        <v>550</v>
      </c>
      <c r="G451" t="s">
        <v>980</v>
      </c>
      <c r="H451" t="s">
        <v>1045</v>
      </c>
      <c r="I451">
        <v>6769</v>
      </c>
      <c r="J451">
        <v>0.19</v>
      </c>
      <c r="K451">
        <v>5482.89</v>
      </c>
      <c r="L451">
        <v>3852.13</v>
      </c>
      <c r="M451">
        <v>73</v>
      </c>
      <c r="N451">
        <v>3</v>
      </c>
      <c r="O451">
        <v>0.35</v>
      </c>
    </row>
    <row r="452" spans="1:15" x14ac:dyDescent="0.25">
      <c r="A452" t="s">
        <v>463</v>
      </c>
      <c r="B452" s="1">
        <v>45384</v>
      </c>
      <c r="C452" t="s">
        <v>537</v>
      </c>
      <c r="D452" t="s">
        <v>542</v>
      </c>
      <c r="E452" t="s">
        <v>546</v>
      </c>
      <c r="F452" t="s">
        <v>550</v>
      </c>
      <c r="G452" t="s">
        <v>686</v>
      </c>
      <c r="H452" t="s">
        <v>1043</v>
      </c>
      <c r="I452">
        <v>4795</v>
      </c>
      <c r="J452">
        <v>0.13</v>
      </c>
      <c r="K452">
        <v>4171.6499999999996</v>
      </c>
      <c r="L452">
        <v>2913.33</v>
      </c>
      <c r="M452">
        <v>59</v>
      </c>
      <c r="N452">
        <v>2</v>
      </c>
      <c r="O452">
        <v>0.43</v>
      </c>
    </row>
    <row r="453" spans="1:15" x14ac:dyDescent="0.25">
      <c r="A453" t="s">
        <v>464</v>
      </c>
      <c r="B453" s="1">
        <v>45367</v>
      </c>
      <c r="C453" t="s">
        <v>535</v>
      </c>
      <c r="D453" t="s">
        <v>538</v>
      </c>
      <c r="E453" t="s">
        <v>545</v>
      </c>
      <c r="F453" t="s">
        <v>547</v>
      </c>
      <c r="G453" t="s">
        <v>981</v>
      </c>
      <c r="H453" t="s">
        <v>1042</v>
      </c>
      <c r="I453">
        <v>962</v>
      </c>
      <c r="J453">
        <v>0.24</v>
      </c>
      <c r="K453">
        <v>731.12</v>
      </c>
      <c r="L453">
        <v>634.4</v>
      </c>
      <c r="M453">
        <v>13</v>
      </c>
      <c r="N453">
        <v>1</v>
      </c>
      <c r="O453">
        <v>0.28999999999999998</v>
      </c>
    </row>
    <row r="454" spans="1:15" x14ac:dyDescent="0.25">
      <c r="A454" t="s">
        <v>465</v>
      </c>
      <c r="B454" s="1">
        <v>45445</v>
      </c>
      <c r="C454" t="s">
        <v>535</v>
      </c>
      <c r="D454" t="s">
        <v>540</v>
      </c>
      <c r="E454" t="s">
        <v>546</v>
      </c>
      <c r="F454" t="s">
        <v>548</v>
      </c>
      <c r="G454" t="s">
        <v>982</v>
      </c>
      <c r="H454" t="s">
        <v>1042</v>
      </c>
      <c r="I454">
        <v>4100</v>
      </c>
      <c r="J454">
        <v>0.14000000000000001</v>
      </c>
      <c r="K454">
        <v>3526</v>
      </c>
      <c r="L454">
        <v>2496.86</v>
      </c>
      <c r="M454">
        <v>52</v>
      </c>
      <c r="N454">
        <v>3</v>
      </c>
      <c r="O454">
        <v>0.38</v>
      </c>
    </row>
    <row r="455" spans="1:15" x14ac:dyDescent="0.25">
      <c r="A455" t="s">
        <v>466</v>
      </c>
      <c r="B455" s="1">
        <v>45435</v>
      </c>
      <c r="C455" t="s">
        <v>537</v>
      </c>
      <c r="D455" t="s">
        <v>542</v>
      </c>
      <c r="E455" t="s">
        <v>546</v>
      </c>
      <c r="F455" t="s">
        <v>549</v>
      </c>
      <c r="G455" t="s">
        <v>983</v>
      </c>
      <c r="H455" t="s">
        <v>1044</v>
      </c>
      <c r="I455">
        <v>7404</v>
      </c>
      <c r="J455">
        <v>0.16</v>
      </c>
      <c r="K455">
        <v>6219.36</v>
      </c>
      <c r="L455">
        <v>4696.51</v>
      </c>
      <c r="M455">
        <v>48</v>
      </c>
      <c r="N455">
        <v>2</v>
      </c>
      <c r="O455">
        <v>0.41</v>
      </c>
    </row>
    <row r="456" spans="1:15" x14ac:dyDescent="0.25">
      <c r="A456" t="s">
        <v>467</v>
      </c>
      <c r="B456" s="1">
        <v>45470</v>
      </c>
      <c r="C456" t="s">
        <v>535</v>
      </c>
      <c r="D456" t="s">
        <v>538</v>
      </c>
      <c r="E456" t="s">
        <v>546</v>
      </c>
      <c r="F456" t="s">
        <v>550</v>
      </c>
      <c r="G456" t="s">
        <v>984</v>
      </c>
      <c r="H456" t="s">
        <v>1044</v>
      </c>
      <c r="I456">
        <v>5235</v>
      </c>
      <c r="J456">
        <v>0.24</v>
      </c>
      <c r="K456">
        <v>3978.6</v>
      </c>
      <c r="L456">
        <v>3657.15</v>
      </c>
      <c r="M456">
        <v>27</v>
      </c>
      <c r="N456">
        <v>2</v>
      </c>
      <c r="O456">
        <v>0.33</v>
      </c>
    </row>
    <row r="457" spans="1:15" x14ac:dyDescent="0.25">
      <c r="A457" t="s">
        <v>468</v>
      </c>
      <c r="B457" s="1">
        <v>45377</v>
      </c>
      <c r="C457" t="s">
        <v>535</v>
      </c>
      <c r="D457" t="s">
        <v>540</v>
      </c>
      <c r="E457" t="s">
        <v>545</v>
      </c>
      <c r="F457" t="s">
        <v>548</v>
      </c>
      <c r="G457" t="s">
        <v>954</v>
      </c>
      <c r="H457" t="s">
        <v>1044</v>
      </c>
      <c r="I457">
        <v>5259</v>
      </c>
      <c r="J457">
        <v>0.1</v>
      </c>
      <c r="K457">
        <v>4733.1000000000004</v>
      </c>
      <c r="L457">
        <v>3505.75</v>
      </c>
      <c r="M457">
        <v>161</v>
      </c>
      <c r="N457">
        <v>2</v>
      </c>
      <c r="O457">
        <v>0.36</v>
      </c>
    </row>
    <row r="458" spans="1:15" x14ac:dyDescent="0.25">
      <c r="A458" t="s">
        <v>469</v>
      </c>
      <c r="B458" s="1">
        <v>45320</v>
      </c>
      <c r="C458" t="s">
        <v>537</v>
      </c>
      <c r="D458" t="s">
        <v>542</v>
      </c>
      <c r="E458" t="s">
        <v>545</v>
      </c>
      <c r="F458" t="s">
        <v>550</v>
      </c>
      <c r="G458" t="s">
        <v>985</v>
      </c>
      <c r="H458" t="s">
        <v>1045</v>
      </c>
      <c r="I458">
        <v>6139</v>
      </c>
      <c r="J458">
        <v>0.28999999999999998</v>
      </c>
      <c r="K458">
        <v>4358.6899999999996</v>
      </c>
      <c r="L458">
        <v>4513.1499999999996</v>
      </c>
      <c r="M458">
        <v>164</v>
      </c>
      <c r="N458">
        <v>3</v>
      </c>
      <c r="O458">
        <v>0.45</v>
      </c>
    </row>
    <row r="459" spans="1:15" x14ac:dyDescent="0.25">
      <c r="A459" t="s">
        <v>470</v>
      </c>
      <c r="B459" s="1">
        <v>45360</v>
      </c>
      <c r="C459" t="s">
        <v>536</v>
      </c>
      <c r="D459" t="s">
        <v>539</v>
      </c>
      <c r="E459" t="s">
        <v>546</v>
      </c>
      <c r="F459" t="s">
        <v>547</v>
      </c>
      <c r="G459" t="s">
        <v>986</v>
      </c>
      <c r="H459" t="s">
        <v>1045</v>
      </c>
      <c r="I459">
        <v>320</v>
      </c>
      <c r="J459">
        <v>0.23</v>
      </c>
      <c r="K459">
        <v>246.4</v>
      </c>
      <c r="L459">
        <v>146.31</v>
      </c>
      <c r="M459">
        <v>181</v>
      </c>
      <c r="N459">
        <v>2</v>
      </c>
      <c r="O459">
        <v>0.3</v>
      </c>
    </row>
    <row r="460" spans="1:15" x14ac:dyDescent="0.25">
      <c r="A460" t="s">
        <v>471</v>
      </c>
      <c r="B460" s="1">
        <v>45338</v>
      </c>
      <c r="C460" t="s">
        <v>536</v>
      </c>
      <c r="D460" t="s">
        <v>544</v>
      </c>
      <c r="E460" t="s">
        <v>545</v>
      </c>
      <c r="F460" t="s">
        <v>549</v>
      </c>
      <c r="G460" t="s">
        <v>987</v>
      </c>
      <c r="H460" t="s">
        <v>1043</v>
      </c>
      <c r="I460">
        <v>6557</v>
      </c>
      <c r="J460">
        <v>0.06</v>
      </c>
      <c r="K460">
        <v>6163.58</v>
      </c>
      <c r="L460">
        <v>4564.63</v>
      </c>
      <c r="M460">
        <v>77</v>
      </c>
      <c r="N460">
        <v>3</v>
      </c>
      <c r="O460">
        <v>0.38</v>
      </c>
    </row>
    <row r="461" spans="1:15" x14ac:dyDescent="0.25">
      <c r="A461" t="s">
        <v>472</v>
      </c>
      <c r="B461" s="1">
        <v>45385</v>
      </c>
      <c r="C461" t="s">
        <v>537</v>
      </c>
      <c r="D461" t="s">
        <v>542</v>
      </c>
      <c r="E461" t="s">
        <v>546</v>
      </c>
      <c r="F461" t="s">
        <v>549</v>
      </c>
      <c r="G461" t="s">
        <v>988</v>
      </c>
      <c r="H461" t="s">
        <v>1042</v>
      </c>
      <c r="I461">
        <v>4528</v>
      </c>
      <c r="J461">
        <v>0.24</v>
      </c>
      <c r="K461">
        <v>3441.28</v>
      </c>
      <c r="L461">
        <v>3103.14</v>
      </c>
      <c r="M461">
        <v>194</v>
      </c>
      <c r="N461">
        <v>1</v>
      </c>
      <c r="O461">
        <v>0.35</v>
      </c>
    </row>
    <row r="462" spans="1:15" x14ac:dyDescent="0.25">
      <c r="A462" t="s">
        <v>473</v>
      </c>
      <c r="B462" s="1">
        <v>45435</v>
      </c>
      <c r="C462" t="s">
        <v>536</v>
      </c>
      <c r="D462" t="s">
        <v>544</v>
      </c>
      <c r="E462" t="s">
        <v>545</v>
      </c>
      <c r="F462" t="s">
        <v>548</v>
      </c>
      <c r="G462" t="s">
        <v>989</v>
      </c>
      <c r="H462" t="s">
        <v>1042</v>
      </c>
      <c r="I462">
        <v>4324</v>
      </c>
      <c r="J462">
        <v>0.24</v>
      </c>
      <c r="K462">
        <v>3286.24</v>
      </c>
      <c r="L462">
        <v>2687.29</v>
      </c>
      <c r="M462">
        <v>182</v>
      </c>
      <c r="N462">
        <v>2</v>
      </c>
      <c r="O462">
        <v>0.28999999999999998</v>
      </c>
    </row>
    <row r="463" spans="1:15" x14ac:dyDescent="0.25">
      <c r="A463" t="s">
        <v>474</v>
      </c>
      <c r="B463" s="1">
        <v>45467</v>
      </c>
      <c r="C463" t="s">
        <v>535</v>
      </c>
      <c r="D463" t="s">
        <v>538</v>
      </c>
      <c r="E463" t="s">
        <v>546</v>
      </c>
      <c r="F463" t="s">
        <v>547</v>
      </c>
      <c r="G463" t="s">
        <v>990</v>
      </c>
      <c r="H463" t="s">
        <v>1043</v>
      </c>
      <c r="I463">
        <v>3372</v>
      </c>
      <c r="J463">
        <v>0.25</v>
      </c>
      <c r="K463">
        <v>2529</v>
      </c>
      <c r="L463">
        <v>1598.43</v>
      </c>
      <c r="M463">
        <v>166</v>
      </c>
      <c r="N463">
        <v>3</v>
      </c>
      <c r="O463">
        <v>0.31</v>
      </c>
    </row>
    <row r="464" spans="1:15" x14ac:dyDescent="0.25">
      <c r="A464" t="s">
        <v>475</v>
      </c>
      <c r="B464" s="1">
        <v>45376</v>
      </c>
      <c r="C464" t="s">
        <v>537</v>
      </c>
      <c r="D464" t="s">
        <v>542</v>
      </c>
      <c r="E464" t="s">
        <v>546</v>
      </c>
      <c r="F464" t="s">
        <v>548</v>
      </c>
      <c r="G464" t="s">
        <v>991</v>
      </c>
      <c r="H464" t="s">
        <v>1042</v>
      </c>
      <c r="I464">
        <v>2720</v>
      </c>
      <c r="J464">
        <v>0.31</v>
      </c>
      <c r="K464">
        <v>1876.8</v>
      </c>
      <c r="L464">
        <v>2001.17</v>
      </c>
      <c r="M464">
        <v>76</v>
      </c>
      <c r="N464">
        <v>3</v>
      </c>
      <c r="O464">
        <v>0.31</v>
      </c>
    </row>
    <row r="465" spans="1:15" x14ac:dyDescent="0.25">
      <c r="A465" t="s">
        <v>476</v>
      </c>
      <c r="B465" s="1">
        <v>45330</v>
      </c>
      <c r="C465" t="s">
        <v>536</v>
      </c>
      <c r="D465" t="s">
        <v>539</v>
      </c>
      <c r="E465" t="s">
        <v>546</v>
      </c>
      <c r="F465" t="s">
        <v>548</v>
      </c>
      <c r="G465" t="s">
        <v>827</v>
      </c>
      <c r="H465" t="s">
        <v>1044</v>
      </c>
      <c r="I465">
        <v>3137</v>
      </c>
      <c r="J465">
        <v>0.22</v>
      </c>
      <c r="K465">
        <v>2446.86</v>
      </c>
      <c r="L465">
        <v>2237.9699999999998</v>
      </c>
      <c r="M465">
        <v>69</v>
      </c>
      <c r="N465">
        <v>2</v>
      </c>
      <c r="O465">
        <v>0.44</v>
      </c>
    </row>
    <row r="466" spans="1:15" x14ac:dyDescent="0.25">
      <c r="A466" t="s">
        <v>477</v>
      </c>
      <c r="B466" s="1">
        <v>45391</v>
      </c>
      <c r="C466" t="s">
        <v>536</v>
      </c>
      <c r="D466" t="s">
        <v>539</v>
      </c>
      <c r="E466" t="s">
        <v>545</v>
      </c>
      <c r="F466" t="s">
        <v>550</v>
      </c>
      <c r="G466" t="s">
        <v>992</v>
      </c>
      <c r="H466" t="s">
        <v>1043</v>
      </c>
      <c r="I466">
        <v>3529</v>
      </c>
      <c r="J466">
        <v>0.21</v>
      </c>
      <c r="K466">
        <v>2787.91</v>
      </c>
      <c r="L466">
        <v>2065.73</v>
      </c>
      <c r="M466">
        <v>19</v>
      </c>
      <c r="N466">
        <v>3</v>
      </c>
      <c r="O466">
        <v>0.38</v>
      </c>
    </row>
    <row r="467" spans="1:15" x14ac:dyDescent="0.25">
      <c r="A467" t="s">
        <v>478</v>
      </c>
      <c r="B467" s="1">
        <v>45324</v>
      </c>
      <c r="C467" t="s">
        <v>535</v>
      </c>
      <c r="D467" t="s">
        <v>540</v>
      </c>
      <c r="E467" t="s">
        <v>546</v>
      </c>
      <c r="F467" t="s">
        <v>550</v>
      </c>
      <c r="G467" t="s">
        <v>993</v>
      </c>
      <c r="H467" t="s">
        <v>1045</v>
      </c>
      <c r="I467">
        <v>1773</v>
      </c>
      <c r="J467">
        <v>0.09</v>
      </c>
      <c r="K467">
        <v>1613.43</v>
      </c>
      <c r="L467">
        <v>1073.67</v>
      </c>
      <c r="M467">
        <v>178</v>
      </c>
      <c r="N467">
        <v>1</v>
      </c>
      <c r="O467">
        <v>0.28999999999999998</v>
      </c>
    </row>
    <row r="468" spans="1:15" x14ac:dyDescent="0.25">
      <c r="A468" t="s">
        <v>479</v>
      </c>
      <c r="B468" s="1">
        <v>45392</v>
      </c>
      <c r="C468" t="s">
        <v>536</v>
      </c>
      <c r="D468" t="s">
        <v>539</v>
      </c>
      <c r="E468" t="s">
        <v>546</v>
      </c>
      <c r="F468" t="s">
        <v>548</v>
      </c>
      <c r="G468" t="s">
        <v>994</v>
      </c>
      <c r="H468" t="s">
        <v>1043</v>
      </c>
      <c r="I468">
        <v>1214</v>
      </c>
      <c r="J468">
        <v>0.08</v>
      </c>
      <c r="K468">
        <v>1116.8800000000001</v>
      </c>
      <c r="L468">
        <v>650.41999999999996</v>
      </c>
      <c r="M468">
        <v>68</v>
      </c>
      <c r="N468">
        <v>3</v>
      </c>
      <c r="O468">
        <v>0.39</v>
      </c>
    </row>
    <row r="469" spans="1:15" x14ac:dyDescent="0.25">
      <c r="A469" t="s">
        <v>480</v>
      </c>
      <c r="B469" s="1">
        <v>45314</v>
      </c>
      <c r="C469" t="s">
        <v>536</v>
      </c>
      <c r="D469" t="s">
        <v>544</v>
      </c>
      <c r="E469" t="s">
        <v>546</v>
      </c>
      <c r="F469" t="s">
        <v>548</v>
      </c>
      <c r="G469" t="s">
        <v>995</v>
      </c>
      <c r="H469" t="s">
        <v>1042</v>
      </c>
      <c r="I469">
        <v>4613</v>
      </c>
      <c r="J469">
        <v>0.22</v>
      </c>
      <c r="K469">
        <v>3598.14</v>
      </c>
      <c r="L469">
        <v>2106.6</v>
      </c>
      <c r="M469">
        <v>76</v>
      </c>
      <c r="N469">
        <v>2</v>
      </c>
      <c r="O469">
        <v>0.38</v>
      </c>
    </row>
    <row r="470" spans="1:15" x14ac:dyDescent="0.25">
      <c r="A470" t="s">
        <v>481</v>
      </c>
      <c r="B470" s="1">
        <v>45301</v>
      </c>
      <c r="C470" t="s">
        <v>536</v>
      </c>
      <c r="D470" t="s">
        <v>544</v>
      </c>
      <c r="E470" t="s">
        <v>546</v>
      </c>
      <c r="F470" t="s">
        <v>547</v>
      </c>
      <c r="G470" t="s">
        <v>996</v>
      </c>
      <c r="H470" t="s">
        <v>1045</v>
      </c>
      <c r="I470">
        <v>4293</v>
      </c>
      <c r="J470">
        <v>0.1</v>
      </c>
      <c r="K470">
        <v>3863.7</v>
      </c>
      <c r="L470">
        <v>2958.97</v>
      </c>
      <c r="M470">
        <v>75</v>
      </c>
      <c r="N470">
        <v>2</v>
      </c>
      <c r="O470">
        <v>0.37</v>
      </c>
    </row>
    <row r="471" spans="1:15" x14ac:dyDescent="0.25">
      <c r="A471" t="s">
        <v>482</v>
      </c>
      <c r="B471" s="1">
        <v>45360</v>
      </c>
      <c r="C471" t="s">
        <v>536</v>
      </c>
      <c r="D471" t="s">
        <v>539</v>
      </c>
      <c r="E471" t="s">
        <v>546</v>
      </c>
      <c r="F471" t="s">
        <v>549</v>
      </c>
      <c r="G471" t="s">
        <v>997</v>
      </c>
      <c r="H471" t="s">
        <v>1043</v>
      </c>
      <c r="I471">
        <v>3232</v>
      </c>
      <c r="J471">
        <v>0.15</v>
      </c>
      <c r="K471">
        <v>2747.2</v>
      </c>
      <c r="L471">
        <v>2213.04</v>
      </c>
      <c r="M471">
        <v>44</v>
      </c>
      <c r="N471">
        <v>3</v>
      </c>
      <c r="O471">
        <v>0.32</v>
      </c>
    </row>
    <row r="472" spans="1:15" x14ac:dyDescent="0.25">
      <c r="A472" t="s">
        <v>483</v>
      </c>
      <c r="B472" s="1">
        <v>45391</v>
      </c>
      <c r="C472" t="s">
        <v>537</v>
      </c>
      <c r="D472" t="s">
        <v>543</v>
      </c>
      <c r="E472" t="s">
        <v>546</v>
      </c>
      <c r="F472" t="s">
        <v>547</v>
      </c>
      <c r="G472" t="s">
        <v>676</v>
      </c>
      <c r="H472" t="s">
        <v>1045</v>
      </c>
      <c r="I472">
        <v>4850</v>
      </c>
      <c r="J472">
        <v>0.17</v>
      </c>
      <c r="K472">
        <v>4025.5</v>
      </c>
      <c r="L472">
        <v>3605.81</v>
      </c>
      <c r="M472">
        <v>160</v>
      </c>
      <c r="N472">
        <v>2</v>
      </c>
      <c r="O472">
        <v>0.31</v>
      </c>
    </row>
    <row r="473" spans="1:15" x14ac:dyDescent="0.25">
      <c r="A473" t="s">
        <v>484</v>
      </c>
      <c r="B473" s="1">
        <v>45325</v>
      </c>
      <c r="C473" t="s">
        <v>536</v>
      </c>
      <c r="D473" t="s">
        <v>544</v>
      </c>
      <c r="E473" t="s">
        <v>545</v>
      </c>
      <c r="F473" t="s">
        <v>549</v>
      </c>
      <c r="G473" t="s">
        <v>998</v>
      </c>
      <c r="H473" t="s">
        <v>1045</v>
      </c>
      <c r="I473">
        <v>3012</v>
      </c>
      <c r="J473">
        <v>0.21</v>
      </c>
      <c r="K473">
        <v>2379.48</v>
      </c>
      <c r="L473">
        <v>1416.82</v>
      </c>
      <c r="M473">
        <v>135</v>
      </c>
      <c r="N473">
        <v>1</v>
      </c>
      <c r="O473">
        <v>0.44</v>
      </c>
    </row>
    <row r="474" spans="1:15" x14ac:dyDescent="0.25">
      <c r="A474" t="s">
        <v>485</v>
      </c>
      <c r="B474" s="1">
        <v>45471</v>
      </c>
      <c r="C474" t="s">
        <v>537</v>
      </c>
      <c r="D474" t="s">
        <v>541</v>
      </c>
      <c r="E474" t="s">
        <v>546</v>
      </c>
      <c r="F474" t="s">
        <v>548</v>
      </c>
      <c r="G474" t="s">
        <v>999</v>
      </c>
      <c r="H474" t="s">
        <v>1043</v>
      </c>
      <c r="I474">
        <v>3966</v>
      </c>
      <c r="J474">
        <v>0.24</v>
      </c>
      <c r="K474">
        <v>3014.16</v>
      </c>
      <c r="L474">
        <v>2461.16</v>
      </c>
      <c r="M474">
        <v>159</v>
      </c>
      <c r="N474">
        <v>3</v>
      </c>
      <c r="O474">
        <v>0.35</v>
      </c>
    </row>
    <row r="475" spans="1:15" x14ac:dyDescent="0.25">
      <c r="A475" t="s">
        <v>486</v>
      </c>
      <c r="B475" s="1">
        <v>45429</v>
      </c>
      <c r="C475" t="s">
        <v>536</v>
      </c>
      <c r="D475" t="s">
        <v>539</v>
      </c>
      <c r="E475" t="s">
        <v>545</v>
      </c>
      <c r="F475" t="s">
        <v>550</v>
      </c>
      <c r="G475" t="s">
        <v>1000</v>
      </c>
      <c r="H475" t="s">
        <v>1042</v>
      </c>
      <c r="I475">
        <v>4230</v>
      </c>
      <c r="J475">
        <v>0.35</v>
      </c>
      <c r="K475">
        <v>2749.5</v>
      </c>
      <c r="L475">
        <v>2167.85</v>
      </c>
      <c r="M475">
        <v>160</v>
      </c>
      <c r="N475">
        <v>3</v>
      </c>
      <c r="O475">
        <v>0.39</v>
      </c>
    </row>
    <row r="476" spans="1:15" x14ac:dyDescent="0.25">
      <c r="A476" t="s">
        <v>487</v>
      </c>
      <c r="B476" s="1">
        <v>45438</v>
      </c>
      <c r="C476" t="s">
        <v>536</v>
      </c>
      <c r="D476" t="s">
        <v>544</v>
      </c>
      <c r="E476" t="s">
        <v>545</v>
      </c>
      <c r="F476" t="s">
        <v>550</v>
      </c>
      <c r="G476" t="s">
        <v>1001</v>
      </c>
      <c r="H476" t="s">
        <v>1043</v>
      </c>
      <c r="I476">
        <v>6024</v>
      </c>
      <c r="J476">
        <v>0.12</v>
      </c>
      <c r="K476">
        <v>5301.12</v>
      </c>
      <c r="L476">
        <v>3896.15</v>
      </c>
      <c r="M476">
        <v>112</v>
      </c>
      <c r="N476">
        <v>3</v>
      </c>
      <c r="O476">
        <v>0.33</v>
      </c>
    </row>
    <row r="477" spans="1:15" x14ac:dyDescent="0.25">
      <c r="A477" t="s">
        <v>488</v>
      </c>
      <c r="B477" s="1">
        <v>45387</v>
      </c>
      <c r="C477" t="s">
        <v>536</v>
      </c>
      <c r="D477" t="s">
        <v>539</v>
      </c>
      <c r="E477" t="s">
        <v>546</v>
      </c>
      <c r="F477" t="s">
        <v>549</v>
      </c>
      <c r="G477" t="s">
        <v>632</v>
      </c>
      <c r="H477" t="s">
        <v>1044</v>
      </c>
      <c r="I477">
        <v>1123</v>
      </c>
      <c r="J477">
        <v>0.06</v>
      </c>
      <c r="K477">
        <v>1055.6199999999999</v>
      </c>
      <c r="L477">
        <v>740.96</v>
      </c>
      <c r="M477">
        <v>100</v>
      </c>
      <c r="N477">
        <v>1</v>
      </c>
      <c r="O477">
        <v>0.41</v>
      </c>
    </row>
    <row r="478" spans="1:15" x14ac:dyDescent="0.25">
      <c r="A478" t="s">
        <v>489</v>
      </c>
      <c r="B478" s="1">
        <v>45292</v>
      </c>
      <c r="C478" t="s">
        <v>536</v>
      </c>
      <c r="D478" t="s">
        <v>539</v>
      </c>
      <c r="E478" t="s">
        <v>546</v>
      </c>
      <c r="F478" t="s">
        <v>550</v>
      </c>
      <c r="G478" t="s">
        <v>1002</v>
      </c>
      <c r="H478" t="s">
        <v>1045</v>
      </c>
      <c r="I478">
        <v>5758</v>
      </c>
      <c r="J478">
        <v>0.18</v>
      </c>
      <c r="K478">
        <v>4721.5600000000004</v>
      </c>
      <c r="L478">
        <v>3139.21</v>
      </c>
      <c r="M478">
        <v>126</v>
      </c>
      <c r="N478">
        <v>1</v>
      </c>
      <c r="O478">
        <v>0.4</v>
      </c>
    </row>
    <row r="479" spans="1:15" x14ac:dyDescent="0.25">
      <c r="A479" t="s">
        <v>490</v>
      </c>
      <c r="B479" s="1">
        <v>45360</v>
      </c>
      <c r="C479" t="s">
        <v>537</v>
      </c>
      <c r="D479" t="s">
        <v>543</v>
      </c>
      <c r="E479" t="s">
        <v>546</v>
      </c>
      <c r="F479" t="s">
        <v>547</v>
      </c>
      <c r="G479" t="s">
        <v>1003</v>
      </c>
      <c r="H479" t="s">
        <v>1045</v>
      </c>
      <c r="I479">
        <v>7214</v>
      </c>
      <c r="J479">
        <v>0.27</v>
      </c>
      <c r="K479">
        <v>5266.22</v>
      </c>
      <c r="L479">
        <v>3298.12</v>
      </c>
      <c r="M479">
        <v>151</v>
      </c>
      <c r="N479">
        <v>2</v>
      </c>
      <c r="O479">
        <v>0.44</v>
      </c>
    </row>
    <row r="480" spans="1:15" x14ac:dyDescent="0.25">
      <c r="A480" t="s">
        <v>491</v>
      </c>
      <c r="B480" s="1">
        <v>45295</v>
      </c>
      <c r="C480" t="s">
        <v>535</v>
      </c>
      <c r="D480" t="s">
        <v>540</v>
      </c>
      <c r="E480" t="s">
        <v>546</v>
      </c>
      <c r="F480" t="s">
        <v>547</v>
      </c>
      <c r="G480" t="s">
        <v>1004</v>
      </c>
      <c r="H480" t="s">
        <v>1043</v>
      </c>
      <c r="I480">
        <v>6129</v>
      </c>
      <c r="J480">
        <v>0.22</v>
      </c>
      <c r="K480">
        <v>4780.62</v>
      </c>
      <c r="L480">
        <v>3507.07</v>
      </c>
      <c r="M480">
        <v>44</v>
      </c>
      <c r="N480">
        <v>2</v>
      </c>
      <c r="O480">
        <v>0.39</v>
      </c>
    </row>
    <row r="481" spans="1:15" x14ac:dyDescent="0.25">
      <c r="A481" t="s">
        <v>492</v>
      </c>
      <c r="B481" s="1">
        <v>45307</v>
      </c>
      <c r="C481" t="s">
        <v>535</v>
      </c>
      <c r="D481" t="s">
        <v>540</v>
      </c>
      <c r="E481" t="s">
        <v>546</v>
      </c>
      <c r="F481" t="s">
        <v>549</v>
      </c>
      <c r="G481" t="s">
        <v>1005</v>
      </c>
      <c r="H481" t="s">
        <v>1043</v>
      </c>
      <c r="I481">
        <v>4490</v>
      </c>
      <c r="J481">
        <v>0.14000000000000001</v>
      </c>
      <c r="K481">
        <v>3861.4</v>
      </c>
      <c r="L481">
        <v>2865.03</v>
      </c>
      <c r="M481">
        <v>160</v>
      </c>
      <c r="N481">
        <v>3</v>
      </c>
      <c r="O481">
        <v>0.38</v>
      </c>
    </row>
    <row r="482" spans="1:15" x14ac:dyDescent="0.25">
      <c r="A482" t="s">
        <v>493</v>
      </c>
      <c r="B482" s="1">
        <v>45315</v>
      </c>
      <c r="C482" t="s">
        <v>536</v>
      </c>
      <c r="D482" t="s">
        <v>539</v>
      </c>
      <c r="E482" t="s">
        <v>546</v>
      </c>
      <c r="F482" t="s">
        <v>547</v>
      </c>
      <c r="G482" t="s">
        <v>1006</v>
      </c>
      <c r="H482" t="s">
        <v>1045</v>
      </c>
      <c r="I482">
        <v>3027</v>
      </c>
      <c r="J482">
        <v>0.1</v>
      </c>
      <c r="K482">
        <v>2724.3</v>
      </c>
      <c r="L482">
        <v>2080.1799999999998</v>
      </c>
      <c r="M482">
        <v>155</v>
      </c>
      <c r="N482">
        <v>2</v>
      </c>
      <c r="O482">
        <v>0.35</v>
      </c>
    </row>
    <row r="483" spans="1:15" x14ac:dyDescent="0.25">
      <c r="A483" t="s">
        <v>494</v>
      </c>
      <c r="B483" s="1">
        <v>45371</v>
      </c>
      <c r="C483" t="s">
        <v>537</v>
      </c>
      <c r="D483" t="s">
        <v>542</v>
      </c>
      <c r="E483" t="s">
        <v>546</v>
      </c>
      <c r="F483" t="s">
        <v>550</v>
      </c>
      <c r="G483" t="s">
        <v>1007</v>
      </c>
      <c r="H483" t="s">
        <v>1045</v>
      </c>
      <c r="I483">
        <v>6241</v>
      </c>
      <c r="J483">
        <v>0.1</v>
      </c>
      <c r="K483">
        <v>5616.9</v>
      </c>
      <c r="L483">
        <v>4162.26</v>
      </c>
      <c r="M483">
        <v>19</v>
      </c>
      <c r="N483">
        <v>2</v>
      </c>
      <c r="O483">
        <v>0.4</v>
      </c>
    </row>
    <row r="484" spans="1:15" x14ac:dyDescent="0.25">
      <c r="A484" t="s">
        <v>495</v>
      </c>
      <c r="B484" s="1">
        <v>45293</v>
      </c>
      <c r="C484" t="s">
        <v>535</v>
      </c>
      <c r="D484" t="s">
        <v>540</v>
      </c>
      <c r="E484" t="s">
        <v>546</v>
      </c>
      <c r="F484" t="s">
        <v>548</v>
      </c>
      <c r="G484" t="s">
        <v>930</v>
      </c>
      <c r="H484" t="s">
        <v>1044</v>
      </c>
      <c r="I484">
        <v>1241</v>
      </c>
      <c r="J484">
        <v>0.25</v>
      </c>
      <c r="K484">
        <v>930.75</v>
      </c>
      <c r="L484">
        <v>855.79</v>
      </c>
      <c r="M484">
        <v>141</v>
      </c>
      <c r="N484">
        <v>1</v>
      </c>
      <c r="O484">
        <v>0.28000000000000003</v>
      </c>
    </row>
    <row r="485" spans="1:15" x14ac:dyDescent="0.25">
      <c r="A485" t="s">
        <v>496</v>
      </c>
      <c r="B485" s="1">
        <v>45419</v>
      </c>
      <c r="C485" t="s">
        <v>535</v>
      </c>
      <c r="D485" t="s">
        <v>538</v>
      </c>
      <c r="E485" t="s">
        <v>546</v>
      </c>
      <c r="F485" t="s">
        <v>547</v>
      </c>
      <c r="G485" t="s">
        <v>1008</v>
      </c>
      <c r="H485" t="s">
        <v>1042</v>
      </c>
      <c r="I485">
        <v>6272</v>
      </c>
      <c r="J485">
        <v>0.25</v>
      </c>
      <c r="K485">
        <v>4704</v>
      </c>
      <c r="L485">
        <v>4100.13</v>
      </c>
      <c r="M485">
        <v>22</v>
      </c>
      <c r="N485">
        <v>2</v>
      </c>
      <c r="O485">
        <v>0.41</v>
      </c>
    </row>
    <row r="486" spans="1:15" x14ac:dyDescent="0.25">
      <c r="A486" t="s">
        <v>497</v>
      </c>
      <c r="B486" s="1">
        <v>45451</v>
      </c>
      <c r="C486" t="s">
        <v>536</v>
      </c>
      <c r="D486" t="s">
        <v>539</v>
      </c>
      <c r="E486" t="s">
        <v>545</v>
      </c>
      <c r="F486" t="s">
        <v>549</v>
      </c>
      <c r="G486" t="s">
        <v>1009</v>
      </c>
      <c r="H486" t="s">
        <v>1044</v>
      </c>
      <c r="I486">
        <v>7583</v>
      </c>
      <c r="J486">
        <v>7.0000000000000007E-2</v>
      </c>
      <c r="K486">
        <v>7052.19</v>
      </c>
      <c r="L486">
        <v>3725.44</v>
      </c>
      <c r="M486">
        <v>20</v>
      </c>
      <c r="N486">
        <v>3</v>
      </c>
      <c r="O486">
        <v>0.43</v>
      </c>
    </row>
    <row r="487" spans="1:15" x14ac:dyDescent="0.25">
      <c r="A487" t="s">
        <v>498</v>
      </c>
      <c r="B487" s="1">
        <v>45375</v>
      </c>
      <c r="C487" t="s">
        <v>535</v>
      </c>
      <c r="D487" t="s">
        <v>538</v>
      </c>
      <c r="E487" t="s">
        <v>546</v>
      </c>
      <c r="F487" t="s">
        <v>549</v>
      </c>
      <c r="G487" t="s">
        <v>1010</v>
      </c>
      <c r="H487" t="s">
        <v>1045</v>
      </c>
      <c r="I487">
        <v>5243</v>
      </c>
      <c r="J487">
        <v>0.32</v>
      </c>
      <c r="K487">
        <v>3565.24</v>
      </c>
      <c r="L487">
        <v>2422.7199999999998</v>
      </c>
      <c r="M487">
        <v>139</v>
      </c>
      <c r="N487">
        <v>2</v>
      </c>
      <c r="O487">
        <v>0.35</v>
      </c>
    </row>
    <row r="488" spans="1:15" x14ac:dyDescent="0.25">
      <c r="A488" t="s">
        <v>499</v>
      </c>
      <c r="B488" s="1">
        <v>45443</v>
      </c>
      <c r="C488" t="s">
        <v>536</v>
      </c>
      <c r="D488" t="s">
        <v>544</v>
      </c>
      <c r="E488" t="s">
        <v>545</v>
      </c>
      <c r="F488" t="s">
        <v>549</v>
      </c>
      <c r="G488" t="s">
        <v>1011</v>
      </c>
      <c r="H488" t="s">
        <v>1044</v>
      </c>
      <c r="I488">
        <v>3790</v>
      </c>
      <c r="J488">
        <v>0.14000000000000001</v>
      </c>
      <c r="K488">
        <v>3259.4</v>
      </c>
      <c r="L488">
        <v>2594.5100000000002</v>
      </c>
      <c r="M488">
        <v>98</v>
      </c>
      <c r="N488">
        <v>3</v>
      </c>
      <c r="O488">
        <v>0.44</v>
      </c>
    </row>
    <row r="489" spans="1:15" x14ac:dyDescent="0.25">
      <c r="A489" t="s">
        <v>500</v>
      </c>
      <c r="B489" s="1">
        <v>45431</v>
      </c>
      <c r="C489" t="s">
        <v>536</v>
      </c>
      <c r="D489" t="s">
        <v>539</v>
      </c>
      <c r="E489" t="s">
        <v>545</v>
      </c>
      <c r="F489" t="s">
        <v>547</v>
      </c>
      <c r="G489" t="s">
        <v>565</v>
      </c>
      <c r="H489" t="s">
        <v>1045</v>
      </c>
      <c r="I489">
        <v>5803</v>
      </c>
      <c r="J489">
        <v>0.22</v>
      </c>
      <c r="K489">
        <v>4526.34</v>
      </c>
      <c r="L489">
        <v>2971.4</v>
      </c>
      <c r="M489">
        <v>79</v>
      </c>
      <c r="N489">
        <v>3</v>
      </c>
      <c r="O489">
        <v>0.33</v>
      </c>
    </row>
    <row r="490" spans="1:15" x14ac:dyDescent="0.25">
      <c r="A490" t="s">
        <v>501</v>
      </c>
      <c r="B490" s="1">
        <v>45469</v>
      </c>
      <c r="C490" t="s">
        <v>536</v>
      </c>
      <c r="D490" t="s">
        <v>544</v>
      </c>
      <c r="E490" t="s">
        <v>545</v>
      </c>
      <c r="F490" t="s">
        <v>549</v>
      </c>
      <c r="G490" t="s">
        <v>1012</v>
      </c>
      <c r="H490" t="s">
        <v>1044</v>
      </c>
      <c r="I490">
        <v>5895</v>
      </c>
      <c r="J490">
        <v>0.17</v>
      </c>
      <c r="K490">
        <v>4892.8500000000004</v>
      </c>
      <c r="L490">
        <v>3128.76</v>
      </c>
      <c r="M490">
        <v>120</v>
      </c>
      <c r="N490">
        <v>2</v>
      </c>
      <c r="O490">
        <v>0.41</v>
      </c>
    </row>
    <row r="491" spans="1:15" x14ac:dyDescent="0.25">
      <c r="A491" t="s">
        <v>502</v>
      </c>
      <c r="B491" s="1">
        <v>45454</v>
      </c>
      <c r="C491" t="s">
        <v>535</v>
      </c>
      <c r="D491" t="s">
        <v>538</v>
      </c>
      <c r="E491" t="s">
        <v>545</v>
      </c>
      <c r="F491" t="s">
        <v>548</v>
      </c>
      <c r="G491" t="s">
        <v>1013</v>
      </c>
      <c r="H491" t="s">
        <v>1044</v>
      </c>
      <c r="I491">
        <v>7764</v>
      </c>
      <c r="J491">
        <v>0.3</v>
      </c>
      <c r="K491">
        <v>5434.8</v>
      </c>
      <c r="L491">
        <v>3919.61</v>
      </c>
      <c r="M491">
        <v>111</v>
      </c>
      <c r="N491">
        <v>3</v>
      </c>
      <c r="O491">
        <v>0.28000000000000003</v>
      </c>
    </row>
    <row r="492" spans="1:15" x14ac:dyDescent="0.25">
      <c r="A492" t="s">
        <v>503</v>
      </c>
      <c r="B492" s="1">
        <v>45415</v>
      </c>
      <c r="C492" t="s">
        <v>535</v>
      </c>
      <c r="D492" t="s">
        <v>538</v>
      </c>
      <c r="E492" t="s">
        <v>546</v>
      </c>
      <c r="F492" t="s">
        <v>548</v>
      </c>
      <c r="G492" t="s">
        <v>1014</v>
      </c>
      <c r="H492" t="s">
        <v>1044</v>
      </c>
      <c r="I492">
        <v>3705</v>
      </c>
      <c r="J492">
        <v>7.0000000000000007E-2</v>
      </c>
      <c r="K492">
        <v>3445.65</v>
      </c>
      <c r="L492">
        <v>2334.11</v>
      </c>
      <c r="M492">
        <v>92</v>
      </c>
      <c r="N492">
        <v>2</v>
      </c>
      <c r="O492">
        <v>0.37</v>
      </c>
    </row>
    <row r="493" spans="1:15" x14ac:dyDescent="0.25">
      <c r="A493" t="s">
        <v>504</v>
      </c>
      <c r="B493" s="1">
        <v>45324</v>
      </c>
      <c r="C493" t="s">
        <v>535</v>
      </c>
      <c r="D493" t="s">
        <v>540</v>
      </c>
      <c r="E493" t="s">
        <v>545</v>
      </c>
      <c r="F493" t="s">
        <v>548</v>
      </c>
      <c r="G493" t="s">
        <v>929</v>
      </c>
      <c r="H493" t="s">
        <v>1042</v>
      </c>
      <c r="I493">
        <v>4042</v>
      </c>
      <c r="J493">
        <v>0.32</v>
      </c>
      <c r="K493">
        <v>2748.56</v>
      </c>
      <c r="L493">
        <v>1937.14</v>
      </c>
      <c r="M493">
        <v>143</v>
      </c>
      <c r="N493">
        <v>1</v>
      </c>
      <c r="O493">
        <v>0.34</v>
      </c>
    </row>
    <row r="494" spans="1:15" x14ac:dyDescent="0.25">
      <c r="A494" t="s">
        <v>505</v>
      </c>
      <c r="B494" s="1">
        <v>45452</v>
      </c>
      <c r="C494" t="s">
        <v>535</v>
      </c>
      <c r="D494" t="s">
        <v>538</v>
      </c>
      <c r="E494" t="s">
        <v>546</v>
      </c>
      <c r="F494" t="s">
        <v>549</v>
      </c>
      <c r="G494" t="s">
        <v>1015</v>
      </c>
      <c r="H494" t="s">
        <v>1044</v>
      </c>
      <c r="I494">
        <v>7332</v>
      </c>
      <c r="J494">
        <v>0.14000000000000001</v>
      </c>
      <c r="K494">
        <v>6305.52</v>
      </c>
      <c r="L494">
        <v>3439.48</v>
      </c>
      <c r="M494">
        <v>84</v>
      </c>
      <c r="N494">
        <v>2</v>
      </c>
      <c r="O494">
        <v>0.28000000000000003</v>
      </c>
    </row>
    <row r="495" spans="1:15" x14ac:dyDescent="0.25">
      <c r="A495" t="s">
        <v>506</v>
      </c>
      <c r="B495" s="1">
        <v>45470</v>
      </c>
      <c r="C495" t="s">
        <v>535</v>
      </c>
      <c r="D495" t="s">
        <v>538</v>
      </c>
      <c r="E495" t="s">
        <v>546</v>
      </c>
      <c r="F495" t="s">
        <v>549</v>
      </c>
      <c r="G495" t="s">
        <v>1016</v>
      </c>
      <c r="H495" t="s">
        <v>1044</v>
      </c>
      <c r="I495">
        <v>5497</v>
      </c>
      <c r="J495">
        <v>0.31</v>
      </c>
      <c r="K495">
        <v>3792.93</v>
      </c>
      <c r="L495">
        <v>2950.97</v>
      </c>
      <c r="M495">
        <v>68</v>
      </c>
      <c r="N495">
        <v>3</v>
      </c>
      <c r="O495">
        <v>0.3</v>
      </c>
    </row>
    <row r="496" spans="1:15" x14ac:dyDescent="0.25">
      <c r="A496" t="s">
        <v>507</v>
      </c>
      <c r="B496" s="1">
        <v>45462</v>
      </c>
      <c r="C496" t="s">
        <v>535</v>
      </c>
      <c r="D496" t="s">
        <v>540</v>
      </c>
      <c r="E496" t="s">
        <v>545</v>
      </c>
      <c r="F496" t="s">
        <v>549</v>
      </c>
      <c r="G496" t="s">
        <v>909</v>
      </c>
      <c r="H496" t="s">
        <v>1042</v>
      </c>
      <c r="I496">
        <v>3156</v>
      </c>
      <c r="J496">
        <v>0.31</v>
      </c>
      <c r="K496">
        <v>2177.64</v>
      </c>
      <c r="L496">
        <v>1580.08</v>
      </c>
      <c r="M496">
        <v>113</v>
      </c>
      <c r="N496">
        <v>3</v>
      </c>
      <c r="O496">
        <v>0.4</v>
      </c>
    </row>
    <row r="497" spans="1:15" x14ac:dyDescent="0.25">
      <c r="A497" t="s">
        <v>508</v>
      </c>
      <c r="B497" s="1">
        <v>45392</v>
      </c>
      <c r="C497" t="s">
        <v>537</v>
      </c>
      <c r="D497" t="s">
        <v>541</v>
      </c>
      <c r="E497" t="s">
        <v>546</v>
      </c>
      <c r="F497" t="s">
        <v>549</v>
      </c>
      <c r="G497" t="s">
        <v>1017</v>
      </c>
      <c r="H497" t="s">
        <v>1044</v>
      </c>
      <c r="I497">
        <v>4988</v>
      </c>
      <c r="J497">
        <v>0.25</v>
      </c>
      <c r="K497">
        <v>3741</v>
      </c>
      <c r="L497">
        <v>3196.38</v>
      </c>
      <c r="M497">
        <v>72</v>
      </c>
      <c r="N497">
        <v>1</v>
      </c>
      <c r="O497">
        <v>0.37</v>
      </c>
    </row>
    <row r="498" spans="1:15" x14ac:dyDescent="0.25">
      <c r="A498" t="s">
        <v>509</v>
      </c>
      <c r="B498" s="1">
        <v>45303</v>
      </c>
      <c r="C498" t="s">
        <v>535</v>
      </c>
      <c r="D498" t="s">
        <v>540</v>
      </c>
      <c r="E498" t="s">
        <v>545</v>
      </c>
      <c r="F498" t="s">
        <v>549</v>
      </c>
      <c r="G498" t="s">
        <v>1018</v>
      </c>
      <c r="H498" t="s">
        <v>1042</v>
      </c>
      <c r="I498">
        <v>6196</v>
      </c>
      <c r="J498">
        <v>0.26</v>
      </c>
      <c r="K498">
        <v>4585.04</v>
      </c>
      <c r="L498">
        <v>2984.12</v>
      </c>
      <c r="M498">
        <v>125</v>
      </c>
      <c r="N498">
        <v>2</v>
      </c>
      <c r="O498">
        <v>0.39</v>
      </c>
    </row>
    <row r="499" spans="1:15" x14ac:dyDescent="0.25">
      <c r="A499" t="s">
        <v>510</v>
      </c>
      <c r="B499" s="1">
        <v>45358</v>
      </c>
      <c r="C499" t="s">
        <v>535</v>
      </c>
      <c r="D499" t="s">
        <v>540</v>
      </c>
      <c r="E499" t="s">
        <v>545</v>
      </c>
      <c r="F499" t="s">
        <v>548</v>
      </c>
      <c r="G499" t="s">
        <v>1019</v>
      </c>
      <c r="H499" t="s">
        <v>1042</v>
      </c>
      <c r="I499">
        <v>3749</v>
      </c>
      <c r="J499">
        <v>0.08</v>
      </c>
      <c r="K499">
        <v>3449.08</v>
      </c>
      <c r="L499">
        <v>2145.6799999999998</v>
      </c>
      <c r="M499">
        <v>88</v>
      </c>
      <c r="N499">
        <v>3</v>
      </c>
      <c r="O499">
        <v>0.44</v>
      </c>
    </row>
    <row r="500" spans="1:15" x14ac:dyDescent="0.25">
      <c r="A500" t="s">
        <v>511</v>
      </c>
      <c r="B500" s="1">
        <v>45356</v>
      </c>
      <c r="C500" t="s">
        <v>537</v>
      </c>
      <c r="D500" t="s">
        <v>541</v>
      </c>
      <c r="E500" t="s">
        <v>545</v>
      </c>
      <c r="F500" t="s">
        <v>549</v>
      </c>
      <c r="G500" t="s">
        <v>1020</v>
      </c>
      <c r="H500" t="s">
        <v>1043</v>
      </c>
      <c r="I500">
        <v>6752</v>
      </c>
      <c r="J500">
        <v>0.31</v>
      </c>
      <c r="K500">
        <v>4658.88</v>
      </c>
      <c r="L500">
        <v>3306.36</v>
      </c>
      <c r="M500">
        <v>105</v>
      </c>
      <c r="N500">
        <v>1</v>
      </c>
      <c r="O500">
        <v>0.3</v>
      </c>
    </row>
    <row r="501" spans="1:15" x14ac:dyDescent="0.25">
      <c r="A501" t="s">
        <v>512</v>
      </c>
      <c r="B501" s="1">
        <v>45452</v>
      </c>
      <c r="C501" t="s">
        <v>535</v>
      </c>
      <c r="D501" t="s">
        <v>540</v>
      </c>
      <c r="E501" t="s">
        <v>546</v>
      </c>
      <c r="F501" t="s">
        <v>547</v>
      </c>
      <c r="G501" t="s">
        <v>1021</v>
      </c>
      <c r="H501" t="s">
        <v>1044</v>
      </c>
      <c r="I501">
        <v>5405</v>
      </c>
      <c r="J501">
        <v>0.21</v>
      </c>
      <c r="K501">
        <v>4269.95</v>
      </c>
      <c r="L501">
        <v>2710.49</v>
      </c>
      <c r="M501">
        <v>91</v>
      </c>
      <c r="N501">
        <v>2</v>
      </c>
      <c r="O501">
        <v>0.36</v>
      </c>
    </row>
    <row r="502" spans="1:15" x14ac:dyDescent="0.25">
      <c r="A502" t="s">
        <v>513</v>
      </c>
      <c r="B502" s="1">
        <v>45459</v>
      </c>
      <c r="C502" t="s">
        <v>535</v>
      </c>
      <c r="D502" t="s">
        <v>540</v>
      </c>
      <c r="E502" t="s">
        <v>546</v>
      </c>
      <c r="F502" t="s">
        <v>550</v>
      </c>
      <c r="G502" t="s">
        <v>1022</v>
      </c>
      <c r="H502" t="s">
        <v>1044</v>
      </c>
      <c r="I502">
        <v>6503</v>
      </c>
      <c r="J502">
        <v>0.19</v>
      </c>
      <c r="K502">
        <v>5267.43</v>
      </c>
      <c r="L502">
        <v>3806.73</v>
      </c>
      <c r="M502">
        <v>98</v>
      </c>
      <c r="N502">
        <v>2</v>
      </c>
      <c r="O502">
        <v>0.35</v>
      </c>
    </row>
    <row r="503" spans="1:15" x14ac:dyDescent="0.25">
      <c r="A503" t="s">
        <v>514</v>
      </c>
      <c r="B503" s="1">
        <v>45365</v>
      </c>
      <c r="C503" t="s">
        <v>535</v>
      </c>
      <c r="D503" t="s">
        <v>540</v>
      </c>
      <c r="E503" t="s">
        <v>546</v>
      </c>
      <c r="F503" t="s">
        <v>550</v>
      </c>
      <c r="G503" t="s">
        <v>1023</v>
      </c>
      <c r="H503" t="s">
        <v>1042</v>
      </c>
      <c r="I503">
        <v>6499</v>
      </c>
      <c r="J503">
        <v>0.24</v>
      </c>
      <c r="K503">
        <v>4939.24</v>
      </c>
      <c r="L503">
        <v>3741.42</v>
      </c>
      <c r="M503">
        <v>26</v>
      </c>
      <c r="N503">
        <v>2</v>
      </c>
      <c r="O503">
        <v>0.28999999999999998</v>
      </c>
    </row>
    <row r="504" spans="1:15" x14ac:dyDescent="0.25">
      <c r="A504" t="s">
        <v>515</v>
      </c>
      <c r="B504" s="1">
        <v>45334</v>
      </c>
      <c r="C504" t="s">
        <v>535</v>
      </c>
      <c r="D504" t="s">
        <v>540</v>
      </c>
      <c r="E504" t="s">
        <v>545</v>
      </c>
      <c r="F504" t="s">
        <v>550</v>
      </c>
      <c r="G504" t="s">
        <v>1024</v>
      </c>
      <c r="H504" t="s">
        <v>1045</v>
      </c>
      <c r="I504">
        <v>5144</v>
      </c>
      <c r="J504">
        <v>0.3</v>
      </c>
      <c r="K504">
        <v>3600.8</v>
      </c>
      <c r="L504">
        <v>2715.42</v>
      </c>
      <c r="M504">
        <v>25</v>
      </c>
      <c r="N504">
        <v>3</v>
      </c>
      <c r="O504">
        <v>0.28999999999999998</v>
      </c>
    </row>
    <row r="505" spans="1:15" x14ac:dyDescent="0.25">
      <c r="A505" t="s">
        <v>516</v>
      </c>
      <c r="B505" s="1">
        <v>45335</v>
      </c>
      <c r="C505" t="s">
        <v>535</v>
      </c>
      <c r="D505" t="s">
        <v>540</v>
      </c>
      <c r="E505" t="s">
        <v>546</v>
      </c>
      <c r="F505" t="s">
        <v>550</v>
      </c>
      <c r="G505" t="s">
        <v>1025</v>
      </c>
      <c r="H505" t="s">
        <v>1045</v>
      </c>
      <c r="I505">
        <v>2709</v>
      </c>
      <c r="J505">
        <v>0.2</v>
      </c>
      <c r="K505">
        <v>2167.1999999999998</v>
      </c>
      <c r="L505">
        <v>1447.74</v>
      </c>
      <c r="M505">
        <v>171</v>
      </c>
      <c r="N505">
        <v>3</v>
      </c>
      <c r="O505">
        <v>0.41</v>
      </c>
    </row>
    <row r="506" spans="1:15" x14ac:dyDescent="0.25">
      <c r="A506" t="s">
        <v>517</v>
      </c>
      <c r="B506" s="1">
        <v>45320</v>
      </c>
      <c r="C506" t="s">
        <v>537</v>
      </c>
      <c r="D506" t="s">
        <v>542</v>
      </c>
      <c r="E506" t="s">
        <v>545</v>
      </c>
      <c r="F506" t="s">
        <v>550</v>
      </c>
      <c r="G506" t="s">
        <v>613</v>
      </c>
      <c r="H506" t="s">
        <v>1044</v>
      </c>
      <c r="I506">
        <v>6290</v>
      </c>
      <c r="J506">
        <v>0.26</v>
      </c>
      <c r="K506">
        <v>4654.6000000000004</v>
      </c>
      <c r="L506">
        <v>3411.14</v>
      </c>
      <c r="M506">
        <v>134</v>
      </c>
      <c r="N506">
        <v>2</v>
      </c>
      <c r="O506">
        <v>0.28999999999999998</v>
      </c>
    </row>
    <row r="507" spans="1:15" x14ac:dyDescent="0.25">
      <c r="A507" t="s">
        <v>518</v>
      </c>
      <c r="B507" s="1">
        <v>45432</v>
      </c>
      <c r="C507" t="s">
        <v>535</v>
      </c>
      <c r="D507" t="s">
        <v>538</v>
      </c>
      <c r="E507" t="s">
        <v>546</v>
      </c>
      <c r="F507" t="s">
        <v>550</v>
      </c>
      <c r="G507" t="s">
        <v>1026</v>
      </c>
      <c r="H507" t="s">
        <v>1042</v>
      </c>
      <c r="I507">
        <v>7917</v>
      </c>
      <c r="J507">
        <v>0.35</v>
      </c>
      <c r="K507">
        <v>5146.05</v>
      </c>
      <c r="L507">
        <v>4115.3999999999996</v>
      </c>
      <c r="M507">
        <v>96</v>
      </c>
      <c r="N507">
        <v>2</v>
      </c>
      <c r="O507">
        <v>0.31</v>
      </c>
    </row>
    <row r="508" spans="1:15" x14ac:dyDescent="0.25">
      <c r="A508" t="s">
        <v>519</v>
      </c>
      <c r="B508" s="1">
        <v>45303</v>
      </c>
      <c r="C508" t="s">
        <v>535</v>
      </c>
      <c r="D508" t="s">
        <v>540</v>
      </c>
      <c r="E508" t="s">
        <v>545</v>
      </c>
      <c r="F508" t="s">
        <v>549</v>
      </c>
      <c r="G508" t="s">
        <v>1005</v>
      </c>
      <c r="H508" t="s">
        <v>1045</v>
      </c>
      <c r="I508">
        <v>6306</v>
      </c>
      <c r="J508">
        <v>0.18</v>
      </c>
      <c r="K508">
        <v>5170.92</v>
      </c>
      <c r="L508">
        <v>4115.78</v>
      </c>
      <c r="M508">
        <v>179</v>
      </c>
      <c r="N508">
        <v>1</v>
      </c>
      <c r="O508">
        <v>0.43</v>
      </c>
    </row>
    <row r="509" spans="1:15" x14ac:dyDescent="0.25">
      <c r="A509" t="s">
        <v>520</v>
      </c>
      <c r="B509" s="1">
        <v>45386</v>
      </c>
      <c r="C509" t="s">
        <v>536</v>
      </c>
      <c r="D509" t="s">
        <v>544</v>
      </c>
      <c r="E509" t="s">
        <v>546</v>
      </c>
      <c r="F509" t="s">
        <v>550</v>
      </c>
      <c r="G509" t="s">
        <v>1027</v>
      </c>
      <c r="H509" t="s">
        <v>1042</v>
      </c>
      <c r="I509">
        <v>1908</v>
      </c>
      <c r="J509">
        <v>0.28999999999999998</v>
      </c>
      <c r="K509">
        <v>1354.68</v>
      </c>
      <c r="L509">
        <v>1042.18</v>
      </c>
      <c r="M509">
        <v>16</v>
      </c>
      <c r="N509">
        <v>2</v>
      </c>
      <c r="O509">
        <v>0.32</v>
      </c>
    </row>
    <row r="510" spans="1:15" x14ac:dyDescent="0.25">
      <c r="A510" t="s">
        <v>521</v>
      </c>
      <c r="B510" s="1">
        <v>45337</v>
      </c>
      <c r="C510" t="s">
        <v>537</v>
      </c>
      <c r="D510" t="s">
        <v>542</v>
      </c>
      <c r="E510" t="s">
        <v>545</v>
      </c>
      <c r="F510" t="s">
        <v>549</v>
      </c>
      <c r="G510" t="s">
        <v>1028</v>
      </c>
      <c r="H510" t="s">
        <v>1045</v>
      </c>
      <c r="I510">
        <v>3014</v>
      </c>
      <c r="J510">
        <v>0.21</v>
      </c>
      <c r="K510">
        <v>2381.06</v>
      </c>
      <c r="L510">
        <v>2132.79</v>
      </c>
      <c r="M510">
        <v>184</v>
      </c>
      <c r="N510">
        <v>2</v>
      </c>
      <c r="O510">
        <v>0.32</v>
      </c>
    </row>
    <row r="511" spans="1:15" x14ac:dyDescent="0.25">
      <c r="A511" t="s">
        <v>522</v>
      </c>
      <c r="B511" s="1">
        <v>45421</v>
      </c>
      <c r="C511" t="s">
        <v>537</v>
      </c>
      <c r="D511" t="s">
        <v>541</v>
      </c>
      <c r="E511" t="s">
        <v>545</v>
      </c>
      <c r="F511" t="s">
        <v>550</v>
      </c>
      <c r="G511" t="s">
        <v>1029</v>
      </c>
      <c r="H511" t="s">
        <v>1043</v>
      </c>
      <c r="I511">
        <v>290</v>
      </c>
      <c r="J511">
        <v>0.09</v>
      </c>
      <c r="K511">
        <v>263.89999999999998</v>
      </c>
      <c r="L511">
        <v>177.27</v>
      </c>
      <c r="M511">
        <v>92</v>
      </c>
      <c r="N511">
        <v>2</v>
      </c>
      <c r="O511">
        <v>0.37</v>
      </c>
    </row>
    <row r="512" spans="1:15" x14ac:dyDescent="0.25">
      <c r="A512" t="s">
        <v>523</v>
      </c>
      <c r="B512" s="1">
        <v>45326</v>
      </c>
      <c r="C512" t="s">
        <v>536</v>
      </c>
      <c r="D512" t="s">
        <v>544</v>
      </c>
      <c r="E512" t="s">
        <v>546</v>
      </c>
      <c r="F512" t="s">
        <v>550</v>
      </c>
      <c r="G512" t="s">
        <v>1030</v>
      </c>
      <c r="H512" t="s">
        <v>1044</v>
      </c>
      <c r="I512">
        <v>3333</v>
      </c>
      <c r="J512">
        <v>0.28999999999999998</v>
      </c>
      <c r="K512">
        <v>2366.4299999999998</v>
      </c>
      <c r="L512">
        <v>2237.19</v>
      </c>
      <c r="M512">
        <v>51</v>
      </c>
      <c r="N512">
        <v>2</v>
      </c>
      <c r="O512">
        <v>0.42</v>
      </c>
    </row>
    <row r="513" spans="1:15" x14ac:dyDescent="0.25">
      <c r="A513" t="s">
        <v>524</v>
      </c>
      <c r="B513" s="1">
        <v>45372</v>
      </c>
      <c r="C513" t="s">
        <v>537</v>
      </c>
      <c r="D513" t="s">
        <v>541</v>
      </c>
      <c r="E513" t="s">
        <v>546</v>
      </c>
      <c r="F513" t="s">
        <v>550</v>
      </c>
      <c r="G513" t="s">
        <v>1031</v>
      </c>
      <c r="H513" t="s">
        <v>1043</v>
      </c>
      <c r="I513">
        <v>2568</v>
      </c>
      <c r="J513">
        <v>0.1</v>
      </c>
      <c r="K513">
        <v>2311.1999999999998</v>
      </c>
      <c r="L513">
        <v>1758.95</v>
      </c>
      <c r="M513">
        <v>31</v>
      </c>
      <c r="N513">
        <v>3</v>
      </c>
      <c r="O513">
        <v>0.39</v>
      </c>
    </row>
    <row r="514" spans="1:15" x14ac:dyDescent="0.25">
      <c r="A514" t="s">
        <v>525</v>
      </c>
      <c r="B514" s="1">
        <v>45381</v>
      </c>
      <c r="C514" t="s">
        <v>537</v>
      </c>
      <c r="D514" t="s">
        <v>541</v>
      </c>
      <c r="E514" t="s">
        <v>546</v>
      </c>
      <c r="F514" t="s">
        <v>550</v>
      </c>
      <c r="G514" t="s">
        <v>1032</v>
      </c>
      <c r="H514" t="s">
        <v>1042</v>
      </c>
      <c r="I514">
        <v>7046</v>
      </c>
      <c r="J514">
        <v>0.21</v>
      </c>
      <c r="K514">
        <v>5566.34</v>
      </c>
      <c r="L514">
        <v>3335.27</v>
      </c>
      <c r="M514">
        <v>188</v>
      </c>
      <c r="N514">
        <v>1</v>
      </c>
      <c r="O514">
        <v>0.32</v>
      </c>
    </row>
    <row r="515" spans="1:15" x14ac:dyDescent="0.25">
      <c r="A515" t="s">
        <v>526</v>
      </c>
      <c r="B515" s="1">
        <v>45299</v>
      </c>
      <c r="C515" t="s">
        <v>536</v>
      </c>
      <c r="D515" t="s">
        <v>539</v>
      </c>
      <c r="E515" t="s">
        <v>546</v>
      </c>
      <c r="F515" t="s">
        <v>550</v>
      </c>
      <c r="G515" t="s">
        <v>1033</v>
      </c>
      <c r="H515" t="s">
        <v>1042</v>
      </c>
      <c r="I515">
        <v>7181</v>
      </c>
      <c r="J515">
        <v>0.28000000000000003</v>
      </c>
      <c r="K515">
        <v>5170.32</v>
      </c>
      <c r="L515">
        <v>5245.28</v>
      </c>
      <c r="M515">
        <v>180</v>
      </c>
      <c r="N515">
        <v>1</v>
      </c>
      <c r="O515">
        <v>0.42</v>
      </c>
    </row>
    <row r="516" spans="1:15" x14ac:dyDescent="0.25">
      <c r="A516" t="s">
        <v>527</v>
      </c>
      <c r="B516" s="1">
        <v>45384</v>
      </c>
      <c r="C516" t="s">
        <v>536</v>
      </c>
      <c r="D516" t="s">
        <v>544</v>
      </c>
      <c r="E516" t="s">
        <v>546</v>
      </c>
      <c r="F516" t="s">
        <v>547</v>
      </c>
      <c r="G516" t="s">
        <v>1034</v>
      </c>
      <c r="H516" t="s">
        <v>1044</v>
      </c>
      <c r="I516">
        <v>7379</v>
      </c>
      <c r="J516">
        <v>0.16</v>
      </c>
      <c r="K516">
        <v>6198.36</v>
      </c>
      <c r="L516">
        <v>4191.24</v>
      </c>
      <c r="M516">
        <v>87</v>
      </c>
      <c r="N516">
        <v>3</v>
      </c>
      <c r="O516">
        <v>0.38</v>
      </c>
    </row>
    <row r="517" spans="1:15" x14ac:dyDescent="0.25">
      <c r="A517" t="s">
        <v>528</v>
      </c>
      <c r="B517" s="1">
        <v>45445</v>
      </c>
      <c r="C517" t="s">
        <v>537</v>
      </c>
      <c r="D517" t="s">
        <v>543</v>
      </c>
      <c r="E517" t="s">
        <v>546</v>
      </c>
      <c r="F517" t="s">
        <v>547</v>
      </c>
      <c r="G517" t="s">
        <v>1035</v>
      </c>
      <c r="H517" t="s">
        <v>1042</v>
      </c>
      <c r="I517">
        <v>1911</v>
      </c>
      <c r="J517">
        <v>0.25</v>
      </c>
      <c r="K517">
        <v>1433.25</v>
      </c>
      <c r="L517">
        <v>1095.69</v>
      </c>
      <c r="M517">
        <v>138</v>
      </c>
      <c r="N517">
        <v>2</v>
      </c>
      <c r="O517">
        <v>0.3</v>
      </c>
    </row>
    <row r="518" spans="1:15" x14ac:dyDescent="0.25">
      <c r="A518" t="s">
        <v>529</v>
      </c>
      <c r="B518" s="1">
        <v>45381</v>
      </c>
      <c r="C518" t="s">
        <v>537</v>
      </c>
      <c r="D518" t="s">
        <v>541</v>
      </c>
      <c r="E518" t="s">
        <v>546</v>
      </c>
      <c r="F518" t="s">
        <v>550</v>
      </c>
      <c r="G518" t="s">
        <v>1036</v>
      </c>
      <c r="H518" t="s">
        <v>1045</v>
      </c>
      <c r="I518">
        <v>5448</v>
      </c>
      <c r="J518">
        <v>0.34</v>
      </c>
      <c r="K518">
        <v>3595.68</v>
      </c>
      <c r="L518">
        <v>2794.66</v>
      </c>
      <c r="M518">
        <v>88</v>
      </c>
      <c r="N518">
        <v>3</v>
      </c>
      <c r="O518">
        <v>0.34</v>
      </c>
    </row>
    <row r="519" spans="1:15" x14ac:dyDescent="0.25">
      <c r="A519" t="s">
        <v>530</v>
      </c>
      <c r="B519" s="1">
        <v>45453</v>
      </c>
      <c r="C519" t="s">
        <v>535</v>
      </c>
      <c r="D519" t="s">
        <v>540</v>
      </c>
      <c r="E519" t="s">
        <v>546</v>
      </c>
      <c r="F519" t="s">
        <v>549</v>
      </c>
      <c r="G519" t="s">
        <v>1037</v>
      </c>
      <c r="H519" t="s">
        <v>1045</v>
      </c>
      <c r="I519">
        <v>7347</v>
      </c>
      <c r="J519">
        <v>0.28000000000000003</v>
      </c>
      <c r="K519">
        <v>5289.84</v>
      </c>
      <c r="L519">
        <v>3545.7</v>
      </c>
      <c r="M519">
        <v>96</v>
      </c>
      <c r="N519">
        <v>2</v>
      </c>
      <c r="O519">
        <v>0.34</v>
      </c>
    </row>
    <row r="520" spans="1:15" x14ac:dyDescent="0.25">
      <c r="A520" t="s">
        <v>531</v>
      </c>
      <c r="B520" s="1">
        <v>45406</v>
      </c>
      <c r="C520" t="s">
        <v>535</v>
      </c>
      <c r="D520" t="s">
        <v>538</v>
      </c>
      <c r="E520" t="s">
        <v>545</v>
      </c>
      <c r="F520" t="s">
        <v>548</v>
      </c>
      <c r="G520" t="s">
        <v>1038</v>
      </c>
      <c r="H520" t="s">
        <v>1044</v>
      </c>
      <c r="I520">
        <v>2510</v>
      </c>
      <c r="J520">
        <v>0.09</v>
      </c>
      <c r="K520">
        <v>2284.1</v>
      </c>
      <c r="L520">
        <v>1835.86</v>
      </c>
      <c r="M520">
        <v>160</v>
      </c>
      <c r="N520">
        <v>3</v>
      </c>
      <c r="O520">
        <v>0.43</v>
      </c>
    </row>
    <row r="521" spans="1:15" x14ac:dyDescent="0.25">
      <c r="A521" t="s">
        <v>532</v>
      </c>
      <c r="B521" s="1">
        <v>45396</v>
      </c>
      <c r="C521" t="s">
        <v>536</v>
      </c>
      <c r="D521" t="s">
        <v>544</v>
      </c>
      <c r="E521" t="s">
        <v>546</v>
      </c>
      <c r="F521" t="s">
        <v>548</v>
      </c>
      <c r="G521" t="s">
        <v>1039</v>
      </c>
      <c r="H521" t="s">
        <v>1045</v>
      </c>
      <c r="I521">
        <v>3694</v>
      </c>
      <c r="J521">
        <v>0.14000000000000001</v>
      </c>
      <c r="K521">
        <v>3176.84</v>
      </c>
      <c r="L521">
        <v>2366.7199999999998</v>
      </c>
      <c r="M521">
        <v>112</v>
      </c>
      <c r="N521">
        <v>2</v>
      </c>
      <c r="O521">
        <v>0.31</v>
      </c>
    </row>
    <row r="522" spans="1:15" x14ac:dyDescent="0.25">
      <c r="A522" t="s">
        <v>533</v>
      </c>
      <c r="B522" s="1">
        <v>45426</v>
      </c>
      <c r="C522" t="s">
        <v>537</v>
      </c>
      <c r="D522" t="s">
        <v>542</v>
      </c>
      <c r="E522" t="s">
        <v>546</v>
      </c>
      <c r="F522" t="s">
        <v>550</v>
      </c>
      <c r="G522" t="s">
        <v>1040</v>
      </c>
      <c r="H522" t="s">
        <v>1045</v>
      </c>
      <c r="I522">
        <v>2171</v>
      </c>
      <c r="J522">
        <v>0.34</v>
      </c>
      <c r="K522">
        <v>1432.86</v>
      </c>
      <c r="L522">
        <v>1405.35</v>
      </c>
      <c r="M522">
        <v>60</v>
      </c>
      <c r="N522">
        <v>1</v>
      </c>
      <c r="O522">
        <v>0.37</v>
      </c>
    </row>
    <row r="523" spans="1:15" x14ac:dyDescent="0.25">
      <c r="A523" t="s">
        <v>534</v>
      </c>
      <c r="B523" s="1">
        <v>45349</v>
      </c>
      <c r="C523" t="s">
        <v>536</v>
      </c>
      <c r="D523" t="s">
        <v>544</v>
      </c>
      <c r="E523" t="s">
        <v>546</v>
      </c>
      <c r="F523" t="s">
        <v>547</v>
      </c>
      <c r="G523" t="s">
        <v>1041</v>
      </c>
      <c r="H523" t="s">
        <v>1044</v>
      </c>
      <c r="I523">
        <v>4643</v>
      </c>
      <c r="J523">
        <v>0.19</v>
      </c>
      <c r="K523">
        <v>3760.83</v>
      </c>
      <c r="L523">
        <v>2616.1799999999998</v>
      </c>
      <c r="M523">
        <v>123</v>
      </c>
      <c r="N523">
        <v>3</v>
      </c>
      <c r="O523">
        <v>0.35</v>
      </c>
    </row>
  </sheetData>
  <mergeCells count="1">
    <mergeCell ref="A1:O2"/>
  </mergeCell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FE60-D186-48E4-9959-F55CF485FD86}">
  <sheetPr codeName="Sheet2"/>
  <dimension ref="A1:W523"/>
  <sheetViews>
    <sheetView topLeftCell="M503" workbookViewId="0">
      <selection activeCell="O12" sqref="O12"/>
    </sheetView>
  </sheetViews>
  <sheetFormatPr defaultRowHeight="15" x14ac:dyDescent="0.25"/>
  <cols>
    <col min="1" max="1" width="11.28515625" bestFit="1" customWidth="1"/>
    <col min="2" max="2" width="13.5703125" style="2" bestFit="1" customWidth="1"/>
    <col min="3" max="3" width="19.140625" bestFit="1" customWidth="1"/>
    <col min="4" max="4" width="14.7109375" bestFit="1" customWidth="1"/>
    <col min="5" max="5" width="14" bestFit="1" customWidth="1"/>
    <col min="6" max="6" width="10.28515625" bestFit="1" customWidth="1"/>
    <col min="7" max="7" width="16" bestFit="1" customWidth="1"/>
    <col min="8" max="8" width="9.85546875" bestFit="1" customWidth="1"/>
    <col min="9" max="9" width="11.7109375" style="3" bestFit="1" customWidth="1"/>
    <col min="10" max="10" width="14.7109375" style="4" bestFit="1" customWidth="1"/>
    <col min="11" max="11" width="12.140625" style="3" bestFit="1" customWidth="1"/>
    <col min="12" max="12" width="12" style="3" bestFit="1" customWidth="1"/>
    <col min="13" max="13" width="12.85546875" style="5" bestFit="1" customWidth="1"/>
    <col min="14" max="14" width="15.7109375" style="3" bestFit="1" customWidth="1"/>
    <col min="15" max="15" width="24.5703125" style="6" bestFit="1" customWidth="1"/>
    <col min="16" max="16" width="11.140625" style="3" bestFit="1" customWidth="1"/>
    <col min="17" max="17" width="17.5703125" style="3" bestFit="1" customWidth="1"/>
    <col min="18" max="18" width="12.5703125" style="3" bestFit="1" customWidth="1"/>
    <col min="19" max="19" width="14.28515625" style="3" bestFit="1" customWidth="1"/>
    <col min="20" max="20" width="19.5703125" style="4" bestFit="1" customWidth="1"/>
    <col min="21" max="21" width="18.42578125" style="4" bestFit="1" customWidth="1"/>
    <col min="22" max="22" width="14.140625" bestFit="1" customWidth="1"/>
    <col min="23" max="23" width="16.7109375" bestFit="1" customWidth="1"/>
  </cols>
  <sheetData>
    <row r="1" spans="1:23" x14ac:dyDescent="0.25">
      <c r="A1" s="16" t="s">
        <v>1060</v>
      </c>
      <c r="B1" s="16"/>
      <c r="C1" s="16"/>
      <c r="D1" s="16"/>
      <c r="E1" s="16"/>
      <c r="F1" s="16"/>
      <c r="G1" s="16"/>
      <c r="H1" s="16"/>
      <c r="I1" s="16"/>
      <c r="J1" s="16"/>
      <c r="K1" s="16"/>
      <c r="L1" s="16"/>
      <c r="M1" s="16"/>
      <c r="N1" s="16"/>
      <c r="O1" s="16"/>
      <c r="P1" s="16"/>
      <c r="Q1" s="16"/>
      <c r="R1" s="16"/>
      <c r="S1" s="16"/>
      <c r="T1" s="16"/>
      <c r="U1" s="16"/>
      <c r="V1" s="16"/>
      <c r="W1" s="16"/>
    </row>
    <row r="2" spans="1:23" x14ac:dyDescent="0.25">
      <c r="A2" s="16"/>
      <c r="B2" s="16"/>
      <c r="C2" s="16"/>
      <c r="D2" s="16"/>
      <c r="E2" s="16"/>
      <c r="F2" s="16"/>
      <c r="G2" s="16"/>
      <c r="H2" s="16"/>
      <c r="I2" s="16"/>
      <c r="J2" s="16"/>
      <c r="K2" s="16"/>
      <c r="L2" s="16"/>
      <c r="M2" s="16"/>
      <c r="N2" s="16"/>
      <c r="O2" s="16"/>
      <c r="P2" s="16"/>
      <c r="Q2" s="16"/>
      <c r="R2" s="16"/>
      <c r="S2" s="16"/>
      <c r="T2" s="16"/>
      <c r="U2" s="16"/>
      <c r="V2" s="16"/>
      <c r="W2" s="16"/>
    </row>
    <row r="3" spans="1:23" x14ac:dyDescent="0.25">
      <c r="A3" t="s">
        <v>0</v>
      </c>
      <c r="B3" s="2" t="s">
        <v>1</v>
      </c>
      <c r="C3" t="s">
        <v>5</v>
      </c>
      <c r="D3" t="s">
        <v>6</v>
      </c>
      <c r="E3" t="s">
        <v>2</v>
      </c>
      <c r="F3" t="s">
        <v>3</v>
      </c>
      <c r="G3" t="s">
        <v>4</v>
      </c>
      <c r="H3" t="s">
        <v>7</v>
      </c>
      <c r="I3" s="3" t="s">
        <v>8</v>
      </c>
      <c r="J3" s="4" t="s">
        <v>9</v>
      </c>
      <c r="K3" s="3" t="s">
        <v>10</v>
      </c>
      <c r="L3" s="3" t="s">
        <v>11</v>
      </c>
      <c r="M3" s="5" t="s">
        <v>13</v>
      </c>
      <c r="N3" s="3" t="s">
        <v>12</v>
      </c>
      <c r="O3" s="6" t="s">
        <v>14</v>
      </c>
      <c r="P3" s="3" t="s">
        <v>1046</v>
      </c>
      <c r="Q3" s="3" t="s">
        <v>1047</v>
      </c>
      <c r="R3" s="3" t="s">
        <v>1048</v>
      </c>
      <c r="S3" s="3" t="s">
        <v>1049</v>
      </c>
      <c r="T3" s="4" t="s">
        <v>1050</v>
      </c>
      <c r="U3" s="4" t="s">
        <v>1051</v>
      </c>
      <c r="V3" t="s">
        <v>1052</v>
      </c>
      <c r="W3" t="s">
        <v>1053</v>
      </c>
    </row>
    <row r="4" spans="1:23" x14ac:dyDescent="0.25">
      <c r="A4" t="s">
        <v>15</v>
      </c>
      <c r="B4" s="2">
        <v>45394</v>
      </c>
      <c r="C4" t="s">
        <v>547</v>
      </c>
      <c r="D4" t="s">
        <v>551</v>
      </c>
      <c r="E4" t="s">
        <v>535</v>
      </c>
      <c r="F4" t="s">
        <v>538</v>
      </c>
      <c r="G4" t="s">
        <v>545</v>
      </c>
      <c r="H4" t="s">
        <v>1042</v>
      </c>
      <c r="I4" s="3">
        <v>7637</v>
      </c>
      <c r="J4" s="4">
        <v>0.18</v>
      </c>
      <c r="K4" s="3">
        <v>6262.34</v>
      </c>
      <c r="L4" s="3">
        <v>5653.47</v>
      </c>
      <c r="M4" s="5">
        <v>2</v>
      </c>
      <c r="N4" s="3">
        <v>173</v>
      </c>
      <c r="O4" s="6">
        <v>0.35</v>
      </c>
      <c r="P4" s="3">
        <v>12524.68</v>
      </c>
      <c r="Q4" s="3">
        <v>5826.47</v>
      </c>
      <c r="R4" s="3">
        <v>11652.94</v>
      </c>
      <c r="S4" s="3">
        <v>871.73999999999978</v>
      </c>
      <c r="T4" s="4">
        <v>6.9601778249025095E-2</v>
      </c>
      <c r="U4" s="4">
        <v>-0.28039822175097501</v>
      </c>
      <c r="V4" t="s">
        <v>1054</v>
      </c>
      <c r="W4" t="s">
        <v>1055</v>
      </c>
    </row>
    <row r="5" spans="1:23" x14ac:dyDescent="0.25">
      <c r="A5" t="s">
        <v>16</v>
      </c>
      <c r="B5" s="2">
        <v>45471</v>
      </c>
      <c r="C5" t="s">
        <v>548</v>
      </c>
      <c r="D5" t="s">
        <v>552</v>
      </c>
      <c r="E5" t="s">
        <v>536</v>
      </c>
      <c r="F5" t="s">
        <v>539</v>
      </c>
      <c r="G5" t="s">
        <v>546</v>
      </c>
      <c r="H5" t="s">
        <v>1043</v>
      </c>
      <c r="I5" s="3">
        <v>5154</v>
      </c>
      <c r="J5" s="4">
        <v>0.28000000000000003</v>
      </c>
      <c r="K5" s="3">
        <v>3710.88</v>
      </c>
      <c r="L5" s="3">
        <v>2846.25</v>
      </c>
      <c r="M5" s="5">
        <v>1</v>
      </c>
      <c r="N5" s="3">
        <v>199</v>
      </c>
      <c r="O5" s="6">
        <v>0.32</v>
      </c>
      <c r="P5" s="3">
        <v>3710.88</v>
      </c>
      <c r="Q5" s="3">
        <v>3045.25</v>
      </c>
      <c r="R5" s="3">
        <v>3045.25</v>
      </c>
      <c r="S5" s="3">
        <v>665.63000000000011</v>
      </c>
      <c r="T5" s="4">
        <v>0.17937254775147701</v>
      </c>
      <c r="U5" s="4">
        <v>-0.14062745224852299</v>
      </c>
      <c r="V5" t="s">
        <v>1054</v>
      </c>
      <c r="W5" t="s">
        <v>1056</v>
      </c>
    </row>
    <row r="6" spans="1:23" x14ac:dyDescent="0.25">
      <c r="A6" t="s">
        <v>17</v>
      </c>
      <c r="B6" s="2">
        <v>45384</v>
      </c>
      <c r="C6" t="s">
        <v>547</v>
      </c>
      <c r="D6" t="s">
        <v>553</v>
      </c>
      <c r="E6" t="s">
        <v>535</v>
      </c>
      <c r="F6" t="s">
        <v>540</v>
      </c>
      <c r="G6" t="s">
        <v>546</v>
      </c>
      <c r="H6" t="s">
        <v>1043</v>
      </c>
      <c r="I6" s="3">
        <v>5442</v>
      </c>
      <c r="J6" s="4">
        <v>0.21</v>
      </c>
      <c r="K6" s="3">
        <v>4299.18</v>
      </c>
      <c r="L6" s="3">
        <v>3259.59</v>
      </c>
      <c r="M6" s="5">
        <v>1</v>
      </c>
      <c r="N6" s="3">
        <v>95</v>
      </c>
      <c r="O6" s="6">
        <v>0.43</v>
      </c>
      <c r="P6" s="3">
        <v>4299.18</v>
      </c>
      <c r="Q6" s="3">
        <v>3354.59</v>
      </c>
      <c r="R6" s="3">
        <v>3354.59</v>
      </c>
      <c r="S6" s="3">
        <v>944.59000000000015</v>
      </c>
      <c r="T6" s="4">
        <v>0.21971399197056199</v>
      </c>
      <c r="U6" s="4">
        <v>-0.210286008029438</v>
      </c>
      <c r="V6" t="s">
        <v>1054</v>
      </c>
      <c r="W6" t="s">
        <v>1056</v>
      </c>
    </row>
    <row r="7" spans="1:23" x14ac:dyDescent="0.25">
      <c r="A7" t="s">
        <v>18</v>
      </c>
      <c r="B7" s="2">
        <v>45306</v>
      </c>
      <c r="C7" t="s">
        <v>548</v>
      </c>
      <c r="D7" t="s">
        <v>554</v>
      </c>
      <c r="E7" t="s">
        <v>535</v>
      </c>
      <c r="F7" t="s">
        <v>540</v>
      </c>
      <c r="G7" t="s">
        <v>546</v>
      </c>
      <c r="H7" t="s">
        <v>1044</v>
      </c>
      <c r="I7" s="3">
        <v>1869</v>
      </c>
      <c r="J7" s="4">
        <v>0.34</v>
      </c>
      <c r="K7" s="3">
        <v>1233.54</v>
      </c>
      <c r="L7" s="3">
        <v>1374.06</v>
      </c>
      <c r="M7" s="5">
        <v>2</v>
      </c>
      <c r="N7" s="3">
        <v>92</v>
      </c>
      <c r="O7" s="6">
        <v>0.39</v>
      </c>
      <c r="P7" s="3">
        <v>2467.08</v>
      </c>
      <c r="Q7" s="3">
        <v>1466.06</v>
      </c>
      <c r="R7" s="3">
        <v>2932.12</v>
      </c>
      <c r="S7" s="3">
        <v>-465.03999999999996</v>
      </c>
      <c r="T7" s="4">
        <v>-0.18849814355432301</v>
      </c>
      <c r="U7" s="4">
        <v>-0.57849814355432305</v>
      </c>
      <c r="V7" t="s">
        <v>1057</v>
      </c>
      <c r="W7" t="s">
        <v>1056</v>
      </c>
    </row>
    <row r="8" spans="1:23" x14ac:dyDescent="0.25">
      <c r="A8" t="s">
        <v>19</v>
      </c>
      <c r="B8" s="2">
        <v>45398</v>
      </c>
      <c r="C8" t="s">
        <v>549</v>
      </c>
      <c r="D8" t="s">
        <v>555</v>
      </c>
      <c r="E8" t="s">
        <v>535</v>
      </c>
      <c r="F8" t="s">
        <v>540</v>
      </c>
      <c r="G8" t="s">
        <v>546</v>
      </c>
      <c r="H8" t="s">
        <v>1044</v>
      </c>
      <c r="I8" s="3">
        <v>5638</v>
      </c>
      <c r="J8" s="4">
        <v>0.28000000000000003</v>
      </c>
      <c r="K8" s="3">
        <v>4059.36</v>
      </c>
      <c r="L8" s="3">
        <v>3875.98</v>
      </c>
      <c r="M8" s="5">
        <v>3</v>
      </c>
      <c r="N8" s="3">
        <v>66</v>
      </c>
      <c r="O8" s="6">
        <v>0.3</v>
      </c>
      <c r="P8" s="3">
        <v>12178.08</v>
      </c>
      <c r="Q8" s="3">
        <v>3941.98</v>
      </c>
      <c r="R8" s="3">
        <v>11825.94</v>
      </c>
      <c r="S8" s="3">
        <v>352.13999999999942</v>
      </c>
      <c r="T8" s="4">
        <v>2.8915888218832501E-2</v>
      </c>
      <c r="U8" s="4">
        <v>-0.27108411178116698</v>
      </c>
      <c r="V8" t="s">
        <v>1054</v>
      </c>
      <c r="W8" t="s">
        <v>1056</v>
      </c>
    </row>
    <row r="9" spans="1:23" x14ac:dyDescent="0.25">
      <c r="A9" t="s">
        <v>20</v>
      </c>
      <c r="B9" s="2">
        <v>45363</v>
      </c>
      <c r="C9" t="s">
        <v>550</v>
      </c>
      <c r="D9" t="s">
        <v>556</v>
      </c>
      <c r="E9" t="s">
        <v>537</v>
      </c>
      <c r="F9" t="s">
        <v>541</v>
      </c>
      <c r="G9" t="s">
        <v>546</v>
      </c>
      <c r="H9" t="s">
        <v>1045</v>
      </c>
      <c r="I9" s="3">
        <v>7380</v>
      </c>
      <c r="J9" s="4">
        <v>0.32</v>
      </c>
      <c r="K9" s="3">
        <v>5018.3999999999996</v>
      </c>
      <c r="L9" s="3">
        <v>4097.93</v>
      </c>
      <c r="M9" s="5">
        <v>3</v>
      </c>
      <c r="N9" s="3">
        <v>155</v>
      </c>
      <c r="O9" s="6">
        <v>0.3</v>
      </c>
      <c r="P9" s="3">
        <v>15055.199999999999</v>
      </c>
      <c r="Q9" s="3">
        <v>4252.93</v>
      </c>
      <c r="R9" s="3">
        <v>12758.79</v>
      </c>
      <c r="S9" s="3">
        <v>2296.409999999998</v>
      </c>
      <c r="T9" s="4">
        <v>0.15253267973856199</v>
      </c>
      <c r="U9" s="4">
        <v>-0.147467320261438</v>
      </c>
      <c r="V9" t="s">
        <v>1054</v>
      </c>
      <c r="W9" t="s">
        <v>1056</v>
      </c>
    </row>
    <row r="10" spans="1:23" x14ac:dyDescent="0.25">
      <c r="A10" t="s">
        <v>21</v>
      </c>
      <c r="B10" s="2">
        <v>45312</v>
      </c>
      <c r="C10" t="s">
        <v>547</v>
      </c>
      <c r="D10" t="s">
        <v>557</v>
      </c>
      <c r="E10" t="s">
        <v>537</v>
      </c>
      <c r="F10" t="s">
        <v>542</v>
      </c>
      <c r="G10" t="s">
        <v>545</v>
      </c>
      <c r="H10" t="s">
        <v>1043</v>
      </c>
      <c r="I10" s="3">
        <v>5822</v>
      </c>
      <c r="J10" s="4">
        <v>0.12</v>
      </c>
      <c r="K10" s="3">
        <v>5123.3599999999997</v>
      </c>
      <c r="L10" s="3">
        <v>3312.69</v>
      </c>
      <c r="M10" s="5">
        <v>2</v>
      </c>
      <c r="N10" s="3">
        <v>36</v>
      </c>
      <c r="O10" s="6">
        <v>0.3</v>
      </c>
      <c r="P10" s="3">
        <v>10246.719999999999</v>
      </c>
      <c r="Q10" s="3">
        <v>3348.69</v>
      </c>
      <c r="R10" s="3">
        <v>6697.38</v>
      </c>
      <c r="S10" s="3">
        <v>3549.3399999999992</v>
      </c>
      <c r="T10" s="4">
        <v>0.34638791730426899</v>
      </c>
      <c r="U10" s="4">
        <v>4.6387917304269E-2</v>
      </c>
      <c r="V10" t="s">
        <v>1058</v>
      </c>
      <c r="W10" t="s">
        <v>1055</v>
      </c>
    </row>
    <row r="11" spans="1:23" x14ac:dyDescent="0.25">
      <c r="A11" t="s">
        <v>22</v>
      </c>
      <c r="B11" s="2">
        <v>45394</v>
      </c>
      <c r="C11" t="s">
        <v>548</v>
      </c>
      <c r="D11" t="s">
        <v>558</v>
      </c>
      <c r="E11" t="s">
        <v>535</v>
      </c>
      <c r="F11" t="s">
        <v>538</v>
      </c>
      <c r="G11" t="s">
        <v>546</v>
      </c>
      <c r="H11" t="s">
        <v>1045</v>
      </c>
      <c r="I11" s="3">
        <v>1906</v>
      </c>
      <c r="J11" s="4">
        <v>0.31</v>
      </c>
      <c r="K11" s="3">
        <v>1315.14</v>
      </c>
      <c r="L11" s="3">
        <v>993.04</v>
      </c>
      <c r="M11" s="5">
        <v>1</v>
      </c>
      <c r="N11" s="3">
        <v>80</v>
      </c>
      <c r="O11" s="6">
        <v>0.38</v>
      </c>
      <c r="P11" s="3">
        <v>1315.14</v>
      </c>
      <c r="Q11" s="3">
        <v>1073.04</v>
      </c>
      <c r="R11" s="3">
        <v>1073.04</v>
      </c>
      <c r="S11" s="3">
        <v>242.10000000000014</v>
      </c>
      <c r="T11" s="4">
        <v>0.18408686527670101</v>
      </c>
      <c r="U11" s="4">
        <v>-0.19591313472329899</v>
      </c>
      <c r="V11" t="s">
        <v>1054</v>
      </c>
      <c r="W11" t="s">
        <v>1056</v>
      </c>
    </row>
    <row r="12" spans="1:23" x14ac:dyDescent="0.25">
      <c r="A12" t="s">
        <v>23</v>
      </c>
      <c r="B12" s="2">
        <v>45413</v>
      </c>
      <c r="C12" t="s">
        <v>548</v>
      </c>
      <c r="D12" t="s">
        <v>559</v>
      </c>
      <c r="E12" t="s">
        <v>537</v>
      </c>
      <c r="F12" t="s">
        <v>541</v>
      </c>
      <c r="G12" t="s">
        <v>545</v>
      </c>
      <c r="H12" t="s">
        <v>1043</v>
      </c>
      <c r="I12" s="3">
        <v>2264</v>
      </c>
      <c r="J12" s="4">
        <v>0.18</v>
      </c>
      <c r="K12" s="3">
        <v>1856.48</v>
      </c>
      <c r="L12" s="3">
        <v>1634.4</v>
      </c>
      <c r="M12" s="5">
        <v>2</v>
      </c>
      <c r="N12" s="3">
        <v>48</v>
      </c>
      <c r="O12" s="6">
        <v>0.36</v>
      </c>
      <c r="P12" s="3">
        <v>3712.96</v>
      </c>
      <c r="Q12" s="3">
        <v>1682.4</v>
      </c>
      <c r="R12" s="3">
        <v>3364.8</v>
      </c>
      <c r="S12" s="3">
        <v>348.15999999999985</v>
      </c>
      <c r="T12" s="4">
        <v>9.3768852882875106E-2</v>
      </c>
      <c r="U12" s="4">
        <v>-0.26623114711712498</v>
      </c>
      <c r="V12" t="s">
        <v>1054</v>
      </c>
      <c r="W12" t="s">
        <v>1055</v>
      </c>
    </row>
    <row r="13" spans="1:23" x14ac:dyDescent="0.25">
      <c r="A13" t="s">
        <v>24</v>
      </c>
      <c r="B13" s="2">
        <v>45366</v>
      </c>
      <c r="C13" t="s">
        <v>550</v>
      </c>
      <c r="D13" t="s">
        <v>560</v>
      </c>
      <c r="E13" t="s">
        <v>537</v>
      </c>
      <c r="F13" t="s">
        <v>543</v>
      </c>
      <c r="G13" t="s">
        <v>545</v>
      </c>
      <c r="H13" t="s">
        <v>1042</v>
      </c>
      <c r="I13" s="3">
        <v>4974</v>
      </c>
      <c r="J13" s="4">
        <v>0.3</v>
      </c>
      <c r="K13" s="3">
        <v>3481.8</v>
      </c>
      <c r="L13" s="3">
        <v>3348.81</v>
      </c>
      <c r="M13" s="5">
        <v>1</v>
      </c>
      <c r="N13" s="3">
        <v>140</v>
      </c>
      <c r="O13" s="6">
        <v>0.32</v>
      </c>
      <c r="P13" s="3">
        <v>3481.8</v>
      </c>
      <c r="Q13" s="3">
        <v>3488.81</v>
      </c>
      <c r="R13" s="3">
        <v>3488.81</v>
      </c>
      <c r="S13" s="3">
        <v>-7.0099999999997635</v>
      </c>
      <c r="T13" s="4">
        <v>-2.0133264403468798E-3</v>
      </c>
      <c r="U13" s="4">
        <v>-0.32201332644034703</v>
      </c>
      <c r="V13" t="s">
        <v>1054</v>
      </c>
      <c r="W13" t="s">
        <v>1056</v>
      </c>
    </row>
    <row r="14" spans="1:23" x14ac:dyDescent="0.25">
      <c r="A14" t="s">
        <v>25</v>
      </c>
      <c r="B14" s="2">
        <v>45379</v>
      </c>
      <c r="C14" t="s">
        <v>547</v>
      </c>
      <c r="D14" t="s">
        <v>561</v>
      </c>
      <c r="E14" t="s">
        <v>536</v>
      </c>
      <c r="F14" t="s">
        <v>544</v>
      </c>
      <c r="G14" t="s">
        <v>546</v>
      </c>
      <c r="H14" t="s">
        <v>1045</v>
      </c>
      <c r="I14" s="3">
        <v>5079</v>
      </c>
      <c r="J14" s="4">
        <v>0.18</v>
      </c>
      <c r="K14" s="3">
        <v>4164.78</v>
      </c>
      <c r="L14" s="3">
        <v>3507.72</v>
      </c>
      <c r="M14" s="5">
        <v>1</v>
      </c>
      <c r="N14" s="3">
        <v>182</v>
      </c>
      <c r="O14" s="6">
        <v>0.28999999999999998</v>
      </c>
      <c r="P14" s="3">
        <v>4164.78</v>
      </c>
      <c r="Q14" s="3">
        <v>3689.72</v>
      </c>
      <c r="R14" s="3">
        <v>3689.72</v>
      </c>
      <c r="S14" s="3">
        <v>475.05999999999995</v>
      </c>
      <c r="T14" s="4">
        <v>0.11406604910703599</v>
      </c>
      <c r="U14" s="4">
        <v>-0.17593395089296399</v>
      </c>
      <c r="V14" t="s">
        <v>1054</v>
      </c>
      <c r="W14" t="s">
        <v>1055</v>
      </c>
    </row>
    <row r="15" spans="1:23" x14ac:dyDescent="0.25">
      <c r="A15" t="s">
        <v>26</v>
      </c>
      <c r="B15" s="2">
        <v>45408</v>
      </c>
      <c r="C15" t="s">
        <v>548</v>
      </c>
      <c r="D15" t="s">
        <v>562</v>
      </c>
      <c r="E15" t="s">
        <v>537</v>
      </c>
      <c r="F15" t="s">
        <v>542</v>
      </c>
      <c r="G15" t="s">
        <v>545</v>
      </c>
      <c r="H15" t="s">
        <v>1042</v>
      </c>
      <c r="I15" s="3">
        <v>1300</v>
      </c>
      <c r="J15" s="4">
        <v>0.26</v>
      </c>
      <c r="K15" s="3">
        <v>962</v>
      </c>
      <c r="L15" s="3">
        <v>614.41999999999996</v>
      </c>
      <c r="M15" s="5">
        <v>1</v>
      </c>
      <c r="N15" s="3">
        <v>56</v>
      </c>
      <c r="O15" s="6">
        <v>0.32</v>
      </c>
      <c r="P15" s="3">
        <v>962</v>
      </c>
      <c r="Q15" s="3">
        <v>670.42</v>
      </c>
      <c r="R15" s="3">
        <v>670.42</v>
      </c>
      <c r="S15" s="3">
        <v>291.58000000000004</v>
      </c>
      <c r="T15" s="4">
        <v>0.303097713097713</v>
      </c>
      <c r="U15" s="4">
        <v>-1.6902286902287001E-2</v>
      </c>
      <c r="V15" t="s">
        <v>1054</v>
      </c>
      <c r="W15" t="s">
        <v>1056</v>
      </c>
    </row>
    <row r="16" spans="1:23" x14ac:dyDescent="0.25">
      <c r="A16" t="s">
        <v>27</v>
      </c>
      <c r="B16" s="2">
        <v>45391</v>
      </c>
      <c r="C16" t="s">
        <v>547</v>
      </c>
      <c r="D16" t="s">
        <v>563</v>
      </c>
      <c r="E16" t="s">
        <v>536</v>
      </c>
      <c r="F16" t="s">
        <v>539</v>
      </c>
      <c r="G16" t="s">
        <v>545</v>
      </c>
      <c r="H16" t="s">
        <v>1044</v>
      </c>
      <c r="I16" s="3">
        <v>2753</v>
      </c>
      <c r="J16" s="4">
        <v>0.27</v>
      </c>
      <c r="K16" s="3">
        <v>2009.69</v>
      </c>
      <c r="L16" s="3">
        <v>1994.76</v>
      </c>
      <c r="M16" s="5">
        <v>2</v>
      </c>
      <c r="N16" s="3">
        <v>83</v>
      </c>
      <c r="O16" s="6">
        <v>0.36</v>
      </c>
      <c r="P16" s="3">
        <v>4019.38</v>
      </c>
      <c r="Q16" s="3">
        <v>2077.7600000000002</v>
      </c>
      <c r="R16" s="3">
        <v>4155.5200000000004</v>
      </c>
      <c r="S16" s="3">
        <v>-136.14000000000033</v>
      </c>
      <c r="T16" s="4">
        <v>-3.3870895511248097E-2</v>
      </c>
      <c r="U16" s="4">
        <v>-0.39387089551124799</v>
      </c>
      <c r="V16" t="s">
        <v>1054</v>
      </c>
      <c r="W16" t="s">
        <v>1056</v>
      </c>
    </row>
    <row r="17" spans="1:23" x14ac:dyDescent="0.25">
      <c r="A17" t="s">
        <v>28</v>
      </c>
      <c r="B17" s="2">
        <v>45395</v>
      </c>
      <c r="C17" t="s">
        <v>550</v>
      </c>
      <c r="D17" t="s">
        <v>564</v>
      </c>
      <c r="E17" t="s">
        <v>535</v>
      </c>
      <c r="F17" t="s">
        <v>538</v>
      </c>
      <c r="G17" t="s">
        <v>546</v>
      </c>
      <c r="H17" t="s">
        <v>1043</v>
      </c>
      <c r="I17" s="3">
        <v>3769</v>
      </c>
      <c r="J17" s="4">
        <v>0.16</v>
      </c>
      <c r="K17" s="3">
        <v>3165.96</v>
      </c>
      <c r="L17" s="3">
        <v>2355.9899999999998</v>
      </c>
      <c r="M17" s="5">
        <v>1</v>
      </c>
      <c r="N17" s="3">
        <v>110</v>
      </c>
      <c r="O17" s="6">
        <v>0.32</v>
      </c>
      <c r="P17" s="3">
        <v>3165.96</v>
      </c>
      <c r="Q17" s="3">
        <v>2465.9899999999998</v>
      </c>
      <c r="R17" s="3">
        <v>2465.9899999999998</v>
      </c>
      <c r="S17" s="3">
        <v>699.97000000000025</v>
      </c>
      <c r="T17" s="4">
        <v>0.22109249643078299</v>
      </c>
      <c r="U17" s="4">
        <v>-9.8907503569217001E-2</v>
      </c>
      <c r="V17" t="s">
        <v>1054</v>
      </c>
      <c r="W17" t="s">
        <v>1055</v>
      </c>
    </row>
    <row r="18" spans="1:23" x14ac:dyDescent="0.25">
      <c r="A18" t="s">
        <v>29</v>
      </c>
      <c r="B18" s="2">
        <v>45443</v>
      </c>
      <c r="C18" t="s">
        <v>547</v>
      </c>
      <c r="D18" t="s">
        <v>565</v>
      </c>
      <c r="E18" t="s">
        <v>536</v>
      </c>
      <c r="F18" t="s">
        <v>539</v>
      </c>
      <c r="G18" t="s">
        <v>546</v>
      </c>
      <c r="H18" t="s">
        <v>1042</v>
      </c>
      <c r="I18" s="3">
        <v>2558</v>
      </c>
      <c r="J18" s="4">
        <v>0.26</v>
      </c>
      <c r="K18" s="3">
        <v>1892.92</v>
      </c>
      <c r="L18" s="3">
        <v>1275.8900000000001</v>
      </c>
      <c r="M18" s="5">
        <v>3</v>
      </c>
      <c r="N18" s="3">
        <v>55</v>
      </c>
      <c r="O18" s="6">
        <v>0.42</v>
      </c>
      <c r="P18" s="3">
        <v>5678.76</v>
      </c>
      <c r="Q18" s="3">
        <v>1330.89</v>
      </c>
      <c r="R18" s="3">
        <v>3992.67</v>
      </c>
      <c r="S18" s="3">
        <v>1686.0900000000001</v>
      </c>
      <c r="T18" s="4">
        <v>0.29691164972634898</v>
      </c>
      <c r="U18" s="4">
        <v>-0.123088350273651</v>
      </c>
      <c r="V18" t="s">
        <v>1054</v>
      </c>
      <c r="W18" t="s">
        <v>1056</v>
      </c>
    </row>
    <row r="19" spans="1:23" x14ac:dyDescent="0.25">
      <c r="A19" t="s">
        <v>30</v>
      </c>
      <c r="B19" s="2">
        <v>45422</v>
      </c>
      <c r="C19" t="s">
        <v>547</v>
      </c>
      <c r="D19" t="s">
        <v>566</v>
      </c>
      <c r="E19" t="s">
        <v>536</v>
      </c>
      <c r="F19" t="s">
        <v>544</v>
      </c>
      <c r="G19" t="s">
        <v>545</v>
      </c>
      <c r="H19" t="s">
        <v>1043</v>
      </c>
      <c r="I19" s="3">
        <v>59</v>
      </c>
      <c r="J19" s="4">
        <v>0.33</v>
      </c>
      <c r="K19" s="3">
        <v>39.53</v>
      </c>
      <c r="L19" s="3">
        <v>41.88</v>
      </c>
      <c r="M19" s="5">
        <v>1</v>
      </c>
      <c r="N19" s="3">
        <v>118</v>
      </c>
      <c r="O19" s="6">
        <v>0.28000000000000003</v>
      </c>
      <c r="P19" s="3">
        <v>39.53</v>
      </c>
      <c r="Q19" s="3">
        <v>159.88</v>
      </c>
      <c r="R19" s="3">
        <v>159.88</v>
      </c>
      <c r="S19" s="3">
        <v>-120.35</v>
      </c>
      <c r="T19" s="4">
        <v>-3.0445231469769798</v>
      </c>
      <c r="U19" s="4">
        <v>-3.32452314697698</v>
      </c>
      <c r="V19" t="s">
        <v>1057</v>
      </c>
      <c r="W19" t="s">
        <v>1056</v>
      </c>
    </row>
    <row r="20" spans="1:23" x14ac:dyDescent="0.25">
      <c r="A20" t="s">
        <v>31</v>
      </c>
      <c r="B20" s="2">
        <v>45441</v>
      </c>
      <c r="C20" t="s">
        <v>550</v>
      </c>
      <c r="D20" t="s">
        <v>567</v>
      </c>
      <c r="E20" t="s">
        <v>537</v>
      </c>
      <c r="F20" t="s">
        <v>542</v>
      </c>
      <c r="G20" t="s">
        <v>545</v>
      </c>
      <c r="H20" t="s">
        <v>1045</v>
      </c>
      <c r="I20" s="3">
        <v>5948</v>
      </c>
      <c r="J20" s="4">
        <v>0.23</v>
      </c>
      <c r="K20" s="3">
        <v>4579.96</v>
      </c>
      <c r="L20" s="3">
        <v>3356.26</v>
      </c>
      <c r="M20" s="5">
        <v>3</v>
      </c>
      <c r="N20" s="3">
        <v>95</v>
      </c>
      <c r="O20" s="6">
        <v>0.42</v>
      </c>
      <c r="P20" s="3">
        <v>13739.880000000001</v>
      </c>
      <c r="Q20" s="3">
        <v>3451.26</v>
      </c>
      <c r="R20" s="3">
        <v>10353.780000000001</v>
      </c>
      <c r="S20" s="3">
        <v>3386.1000000000004</v>
      </c>
      <c r="T20" s="4">
        <v>0.246443200377296</v>
      </c>
      <c r="U20" s="4">
        <v>-0.17355679962270401</v>
      </c>
      <c r="V20" t="s">
        <v>1054</v>
      </c>
      <c r="W20" t="s">
        <v>1056</v>
      </c>
    </row>
    <row r="21" spans="1:23" x14ac:dyDescent="0.25">
      <c r="A21" t="s">
        <v>32</v>
      </c>
      <c r="B21" s="2">
        <v>45344</v>
      </c>
      <c r="C21" t="s">
        <v>547</v>
      </c>
      <c r="D21" t="s">
        <v>568</v>
      </c>
      <c r="E21" t="s">
        <v>535</v>
      </c>
      <c r="F21" t="s">
        <v>538</v>
      </c>
      <c r="G21" t="s">
        <v>546</v>
      </c>
      <c r="H21" t="s">
        <v>1045</v>
      </c>
      <c r="I21" s="3">
        <v>454</v>
      </c>
      <c r="J21" s="4">
        <v>7.0000000000000007E-2</v>
      </c>
      <c r="K21" s="3">
        <v>422.22</v>
      </c>
      <c r="L21" s="3">
        <v>322.08</v>
      </c>
      <c r="M21" s="5">
        <v>1</v>
      </c>
      <c r="N21" s="3">
        <v>104</v>
      </c>
      <c r="O21" s="6">
        <v>0.45</v>
      </c>
      <c r="P21" s="3">
        <v>422.22</v>
      </c>
      <c r="Q21" s="3">
        <v>426.08</v>
      </c>
      <c r="R21" s="3">
        <v>426.08</v>
      </c>
      <c r="S21" s="3">
        <v>-3.8599999999999568</v>
      </c>
      <c r="T21" s="4">
        <v>-9.14215337975453E-3</v>
      </c>
      <c r="U21" s="4">
        <v>-0.459142153379755</v>
      </c>
      <c r="V21" t="s">
        <v>1054</v>
      </c>
      <c r="W21" t="s">
        <v>1059</v>
      </c>
    </row>
    <row r="22" spans="1:23" x14ac:dyDescent="0.25">
      <c r="A22" t="s">
        <v>33</v>
      </c>
      <c r="B22" s="2">
        <v>45293</v>
      </c>
      <c r="C22" t="s">
        <v>547</v>
      </c>
      <c r="D22" t="s">
        <v>569</v>
      </c>
      <c r="E22" t="s">
        <v>536</v>
      </c>
      <c r="F22" t="s">
        <v>539</v>
      </c>
      <c r="G22" t="s">
        <v>545</v>
      </c>
      <c r="H22" t="s">
        <v>1043</v>
      </c>
      <c r="I22" s="3">
        <v>4228</v>
      </c>
      <c r="J22" s="4">
        <v>0.12</v>
      </c>
      <c r="K22" s="3">
        <v>3720.64</v>
      </c>
      <c r="L22" s="3">
        <v>2474.0700000000002</v>
      </c>
      <c r="M22" s="5">
        <v>1</v>
      </c>
      <c r="N22" s="3">
        <v>119</v>
      </c>
      <c r="O22" s="6">
        <v>0.44</v>
      </c>
      <c r="P22" s="3">
        <v>3720.64</v>
      </c>
      <c r="Q22" s="3">
        <v>2593.0700000000002</v>
      </c>
      <c r="R22" s="3">
        <v>2593.0700000000002</v>
      </c>
      <c r="S22" s="3">
        <v>1127.5699999999997</v>
      </c>
      <c r="T22" s="4">
        <v>0.30305807602993001</v>
      </c>
      <c r="U22" s="4">
        <v>-0.13694192397006999</v>
      </c>
      <c r="V22" t="s">
        <v>1054</v>
      </c>
      <c r="W22" t="s">
        <v>1055</v>
      </c>
    </row>
    <row r="23" spans="1:23" x14ac:dyDescent="0.25">
      <c r="A23" t="s">
        <v>34</v>
      </c>
      <c r="B23" s="2">
        <v>45379</v>
      </c>
      <c r="C23" t="s">
        <v>547</v>
      </c>
      <c r="D23" t="s">
        <v>570</v>
      </c>
      <c r="E23" t="s">
        <v>537</v>
      </c>
      <c r="F23" t="s">
        <v>542</v>
      </c>
      <c r="G23" t="s">
        <v>545</v>
      </c>
      <c r="H23" t="s">
        <v>1043</v>
      </c>
      <c r="I23" s="3">
        <v>3469</v>
      </c>
      <c r="J23" s="4">
        <v>0.13</v>
      </c>
      <c r="K23" s="3">
        <v>3018.03</v>
      </c>
      <c r="L23" s="3">
        <v>1584.14</v>
      </c>
      <c r="M23" s="5">
        <v>2</v>
      </c>
      <c r="N23" s="3">
        <v>171</v>
      </c>
      <c r="O23" s="6">
        <v>0.41</v>
      </c>
      <c r="P23" s="3">
        <v>6036.06</v>
      </c>
      <c r="Q23" s="3">
        <v>1755.14</v>
      </c>
      <c r="R23" s="3">
        <v>3510.28</v>
      </c>
      <c r="S23" s="3">
        <v>2525.7800000000002</v>
      </c>
      <c r="T23" s="4">
        <v>0.41844845810015102</v>
      </c>
      <c r="U23" s="4">
        <v>8.4484581001510496E-3</v>
      </c>
      <c r="V23" t="s">
        <v>1058</v>
      </c>
      <c r="W23" t="s">
        <v>1055</v>
      </c>
    </row>
    <row r="24" spans="1:23" x14ac:dyDescent="0.25">
      <c r="A24" t="s">
        <v>35</v>
      </c>
      <c r="B24" s="2">
        <v>45449</v>
      </c>
      <c r="C24" t="s">
        <v>550</v>
      </c>
      <c r="D24" t="s">
        <v>571</v>
      </c>
      <c r="E24" t="s">
        <v>537</v>
      </c>
      <c r="F24" t="s">
        <v>542</v>
      </c>
      <c r="G24" t="s">
        <v>545</v>
      </c>
      <c r="H24" t="s">
        <v>1043</v>
      </c>
      <c r="I24" s="3">
        <v>7951</v>
      </c>
      <c r="J24" s="4">
        <v>0.28999999999999998</v>
      </c>
      <c r="K24" s="3">
        <v>5645.21</v>
      </c>
      <c r="L24" s="3">
        <v>4985.17</v>
      </c>
      <c r="M24" s="5">
        <v>3</v>
      </c>
      <c r="N24" s="3">
        <v>56</v>
      </c>
      <c r="O24" s="6">
        <v>0.41</v>
      </c>
      <c r="P24" s="3">
        <v>16935.63</v>
      </c>
      <c r="Q24" s="3">
        <v>5041.17</v>
      </c>
      <c r="R24" s="3">
        <v>15123.51</v>
      </c>
      <c r="S24" s="3">
        <v>1812.1200000000008</v>
      </c>
      <c r="T24" s="4">
        <v>0.107000448167562</v>
      </c>
      <c r="U24" s="4">
        <v>-0.30299955183243799</v>
      </c>
      <c r="V24" t="s">
        <v>1054</v>
      </c>
      <c r="W24" t="s">
        <v>1056</v>
      </c>
    </row>
    <row r="25" spans="1:23" x14ac:dyDescent="0.25">
      <c r="A25" t="s">
        <v>36</v>
      </c>
      <c r="B25" s="2">
        <v>45329</v>
      </c>
      <c r="C25" t="s">
        <v>548</v>
      </c>
      <c r="D25" t="s">
        <v>572</v>
      </c>
      <c r="E25" t="s">
        <v>537</v>
      </c>
      <c r="F25" t="s">
        <v>543</v>
      </c>
      <c r="G25" t="s">
        <v>546</v>
      </c>
      <c r="H25" t="s">
        <v>1043</v>
      </c>
      <c r="I25" s="3">
        <v>7921</v>
      </c>
      <c r="J25" s="4">
        <v>0.05</v>
      </c>
      <c r="K25" s="3">
        <v>7524.95</v>
      </c>
      <c r="L25" s="3">
        <v>4397.55</v>
      </c>
      <c r="M25" s="5">
        <v>2</v>
      </c>
      <c r="N25" s="3">
        <v>107</v>
      </c>
      <c r="O25" s="6">
        <v>0.35</v>
      </c>
      <c r="P25" s="3">
        <v>15049.9</v>
      </c>
      <c r="Q25" s="3">
        <v>4504.55</v>
      </c>
      <c r="R25" s="3">
        <v>9009.1</v>
      </c>
      <c r="S25" s="3">
        <v>6040.7999999999993</v>
      </c>
      <c r="T25" s="4">
        <v>0.40138472680881598</v>
      </c>
      <c r="U25" s="4">
        <v>5.1384726808815999E-2</v>
      </c>
      <c r="V25" t="s">
        <v>1058</v>
      </c>
      <c r="W25" t="s">
        <v>1059</v>
      </c>
    </row>
    <row r="26" spans="1:23" x14ac:dyDescent="0.25">
      <c r="A26" t="s">
        <v>37</v>
      </c>
      <c r="B26" s="2">
        <v>45421</v>
      </c>
      <c r="C26" t="s">
        <v>550</v>
      </c>
      <c r="D26" t="s">
        <v>573</v>
      </c>
      <c r="E26" t="s">
        <v>536</v>
      </c>
      <c r="F26" t="s">
        <v>539</v>
      </c>
      <c r="G26" t="s">
        <v>546</v>
      </c>
      <c r="H26" t="s">
        <v>1043</v>
      </c>
      <c r="I26" s="3">
        <v>7698</v>
      </c>
      <c r="J26" s="4">
        <v>0.28999999999999998</v>
      </c>
      <c r="K26" s="3">
        <v>5465.58</v>
      </c>
      <c r="L26" s="3">
        <v>4379.88</v>
      </c>
      <c r="M26" s="5">
        <v>3</v>
      </c>
      <c r="N26" s="3">
        <v>115</v>
      </c>
      <c r="O26" s="6">
        <v>0.4</v>
      </c>
      <c r="P26" s="3">
        <v>16396.739999999998</v>
      </c>
      <c r="Q26" s="3">
        <v>4494.88</v>
      </c>
      <c r="R26" s="3">
        <v>13484.64</v>
      </c>
      <c r="S26" s="3">
        <v>2912.0999999999985</v>
      </c>
      <c r="T26" s="4">
        <v>0.17760237705787801</v>
      </c>
      <c r="U26" s="4">
        <v>-0.22239762294212201</v>
      </c>
      <c r="V26" t="s">
        <v>1054</v>
      </c>
      <c r="W26" t="s">
        <v>1056</v>
      </c>
    </row>
    <row r="27" spans="1:23" x14ac:dyDescent="0.25">
      <c r="A27" t="s">
        <v>38</v>
      </c>
      <c r="B27" s="2">
        <v>45312</v>
      </c>
      <c r="C27" t="s">
        <v>550</v>
      </c>
      <c r="D27" t="s">
        <v>574</v>
      </c>
      <c r="E27" t="s">
        <v>537</v>
      </c>
      <c r="F27" t="s">
        <v>542</v>
      </c>
      <c r="G27" t="s">
        <v>545</v>
      </c>
      <c r="H27" t="s">
        <v>1042</v>
      </c>
      <c r="I27" s="3">
        <v>3081</v>
      </c>
      <c r="J27" s="4">
        <v>0.06</v>
      </c>
      <c r="K27" s="3">
        <v>2896.14</v>
      </c>
      <c r="L27" s="3">
        <v>1960.26</v>
      </c>
      <c r="M27" s="5">
        <v>3</v>
      </c>
      <c r="N27" s="3">
        <v>135</v>
      </c>
      <c r="O27" s="6">
        <v>0.38</v>
      </c>
      <c r="P27" s="3">
        <v>8688.42</v>
      </c>
      <c r="Q27" s="3">
        <v>2095.2600000000002</v>
      </c>
      <c r="R27" s="3">
        <v>6285.7800000000007</v>
      </c>
      <c r="S27" s="3">
        <v>2402.6399999999994</v>
      </c>
      <c r="T27" s="4">
        <v>0.27653359298928898</v>
      </c>
      <c r="U27" s="4">
        <v>-0.103466407010711</v>
      </c>
      <c r="V27" t="s">
        <v>1054</v>
      </c>
      <c r="W27" t="s">
        <v>1059</v>
      </c>
    </row>
    <row r="28" spans="1:23" x14ac:dyDescent="0.25">
      <c r="A28" t="s">
        <v>39</v>
      </c>
      <c r="B28" s="2">
        <v>45452</v>
      </c>
      <c r="C28" t="s">
        <v>548</v>
      </c>
      <c r="D28" t="s">
        <v>575</v>
      </c>
      <c r="E28" t="s">
        <v>536</v>
      </c>
      <c r="F28" t="s">
        <v>539</v>
      </c>
      <c r="G28" t="s">
        <v>546</v>
      </c>
      <c r="H28" t="s">
        <v>1044</v>
      </c>
      <c r="I28" s="3">
        <v>6140</v>
      </c>
      <c r="J28" s="4">
        <v>0.09</v>
      </c>
      <c r="K28" s="3">
        <v>5587.4</v>
      </c>
      <c r="L28" s="3">
        <v>3943.49</v>
      </c>
      <c r="M28" s="5">
        <v>1</v>
      </c>
      <c r="N28" s="3">
        <v>113</v>
      </c>
      <c r="O28" s="6">
        <v>0.43</v>
      </c>
      <c r="P28" s="3">
        <v>5587.4</v>
      </c>
      <c r="Q28" s="3">
        <v>4056.49</v>
      </c>
      <c r="R28" s="3">
        <v>4056.49</v>
      </c>
      <c r="S28" s="3">
        <v>1530.9099999999999</v>
      </c>
      <c r="T28" s="4">
        <v>0.27399327057307499</v>
      </c>
      <c r="U28" s="4">
        <v>-0.15600672942692501</v>
      </c>
      <c r="V28" t="s">
        <v>1054</v>
      </c>
      <c r="W28" t="s">
        <v>1059</v>
      </c>
    </row>
    <row r="29" spans="1:23" x14ac:dyDescent="0.25">
      <c r="A29" t="s">
        <v>40</v>
      </c>
      <c r="B29" s="2">
        <v>45349</v>
      </c>
      <c r="C29" t="s">
        <v>549</v>
      </c>
      <c r="D29" t="s">
        <v>576</v>
      </c>
      <c r="E29" t="s">
        <v>536</v>
      </c>
      <c r="F29" t="s">
        <v>539</v>
      </c>
      <c r="G29" t="s">
        <v>546</v>
      </c>
      <c r="H29" t="s">
        <v>1043</v>
      </c>
      <c r="I29" s="3">
        <v>3172</v>
      </c>
      <c r="J29" s="4">
        <v>0.06</v>
      </c>
      <c r="K29" s="3">
        <v>2981.68</v>
      </c>
      <c r="L29" s="3">
        <v>1588.16</v>
      </c>
      <c r="M29" s="5">
        <v>2</v>
      </c>
      <c r="N29" s="3">
        <v>101</v>
      </c>
      <c r="O29" s="6">
        <v>0.31</v>
      </c>
      <c r="P29" s="3">
        <v>5963.36</v>
      </c>
      <c r="Q29" s="3">
        <v>1689.16</v>
      </c>
      <c r="R29" s="3">
        <v>3378.32</v>
      </c>
      <c r="S29" s="3">
        <v>2585.0399999999995</v>
      </c>
      <c r="T29" s="4">
        <v>0.43348716160017198</v>
      </c>
      <c r="U29" s="4">
        <v>0.12348716160017199</v>
      </c>
      <c r="V29" t="s">
        <v>1058</v>
      </c>
      <c r="W29" t="s">
        <v>1059</v>
      </c>
    </row>
    <row r="30" spans="1:23" x14ac:dyDescent="0.25">
      <c r="A30" t="s">
        <v>41</v>
      </c>
      <c r="B30" s="2">
        <v>45313</v>
      </c>
      <c r="C30" t="s">
        <v>547</v>
      </c>
      <c r="D30" t="s">
        <v>577</v>
      </c>
      <c r="E30" t="s">
        <v>537</v>
      </c>
      <c r="F30" t="s">
        <v>542</v>
      </c>
      <c r="G30" t="s">
        <v>546</v>
      </c>
      <c r="H30" t="s">
        <v>1043</v>
      </c>
      <c r="I30" s="3">
        <v>3167</v>
      </c>
      <c r="J30" s="4">
        <v>0.16</v>
      </c>
      <c r="K30" s="3">
        <v>2660.28</v>
      </c>
      <c r="L30" s="3">
        <v>1903.45</v>
      </c>
      <c r="M30" s="5">
        <v>3</v>
      </c>
      <c r="N30" s="3">
        <v>54</v>
      </c>
      <c r="O30" s="6">
        <v>0.28999999999999998</v>
      </c>
      <c r="P30" s="3">
        <v>7980.84</v>
      </c>
      <c r="Q30" s="3">
        <v>1957.45</v>
      </c>
      <c r="R30" s="3">
        <v>5872.35</v>
      </c>
      <c r="S30" s="3">
        <v>2108.4899999999998</v>
      </c>
      <c r="T30" s="4">
        <v>0.26419399461710802</v>
      </c>
      <c r="U30" s="4">
        <v>-2.5806005382891999E-2</v>
      </c>
      <c r="V30" t="s">
        <v>1054</v>
      </c>
      <c r="W30" t="s">
        <v>1055</v>
      </c>
    </row>
    <row r="31" spans="1:23" x14ac:dyDescent="0.25">
      <c r="A31" t="s">
        <v>42</v>
      </c>
      <c r="B31" s="2">
        <v>45380</v>
      </c>
      <c r="C31" t="s">
        <v>550</v>
      </c>
      <c r="D31" t="s">
        <v>578</v>
      </c>
      <c r="E31" t="s">
        <v>536</v>
      </c>
      <c r="F31" t="s">
        <v>539</v>
      </c>
      <c r="G31" t="s">
        <v>546</v>
      </c>
      <c r="H31" t="s">
        <v>1043</v>
      </c>
      <c r="I31" s="3">
        <v>4252</v>
      </c>
      <c r="J31" s="4">
        <v>0.33</v>
      </c>
      <c r="K31" s="3">
        <v>2848.84</v>
      </c>
      <c r="L31" s="3">
        <v>1991.31</v>
      </c>
      <c r="M31" s="5">
        <v>1</v>
      </c>
      <c r="N31" s="3">
        <v>35</v>
      </c>
      <c r="O31" s="6">
        <v>0.28999999999999998</v>
      </c>
      <c r="P31" s="3">
        <v>2848.84</v>
      </c>
      <c r="Q31" s="3">
        <v>2026.31</v>
      </c>
      <c r="R31" s="3">
        <v>2026.31</v>
      </c>
      <c r="S31" s="3">
        <v>822.5300000000002</v>
      </c>
      <c r="T31" s="4">
        <v>0.28872453349433502</v>
      </c>
      <c r="U31" s="4">
        <v>-1.27546650566496E-3</v>
      </c>
      <c r="V31" t="s">
        <v>1054</v>
      </c>
      <c r="W31" t="s">
        <v>1056</v>
      </c>
    </row>
    <row r="32" spans="1:23" x14ac:dyDescent="0.25">
      <c r="A32" t="s">
        <v>43</v>
      </c>
      <c r="B32" s="2">
        <v>45340</v>
      </c>
      <c r="C32" t="s">
        <v>548</v>
      </c>
      <c r="D32" t="s">
        <v>579</v>
      </c>
      <c r="E32" t="s">
        <v>535</v>
      </c>
      <c r="F32" t="s">
        <v>538</v>
      </c>
      <c r="G32" t="s">
        <v>546</v>
      </c>
      <c r="H32" t="s">
        <v>1042</v>
      </c>
      <c r="I32" s="3">
        <v>4871</v>
      </c>
      <c r="J32" s="4">
        <v>0.12</v>
      </c>
      <c r="K32" s="3">
        <v>4286.4799999999996</v>
      </c>
      <c r="L32" s="3">
        <v>3302.47</v>
      </c>
      <c r="M32" s="5">
        <v>2</v>
      </c>
      <c r="N32" s="3">
        <v>87</v>
      </c>
      <c r="O32" s="6">
        <v>0.41</v>
      </c>
      <c r="P32" s="3">
        <v>8572.9599999999991</v>
      </c>
      <c r="Q32" s="3">
        <v>3389.47</v>
      </c>
      <c r="R32" s="3">
        <v>6778.94</v>
      </c>
      <c r="S32" s="3">
        <v>1794.0199999999995</v>
      </c>
      <c r="T32" s="4">
        <v>0.20926494466321999</v>
      </c>
      <c r="U32" s="4">
        <v>-0.20073505533677999</v>
      </c>
      <c r="V32" t="s">
        <v>1054</v>
      </c>
      <c r="W32" t="s">
        <v>1055</v>
      </c>
    </row>
    <row r="33" spans="1:23" x14ac:dyDescent="0.25">
      <c r="A33" t="s">
        <v>44</v>
      </c>
      <c r="B33" s="2">
        <v>45350</v>
      </c>
      <c r="C33" t="s">
        <v>548</v>
      </c>
      <c r="D33" t="s">
        <v>580</v>
      </c>
      <c r="E33" t="s">
        <v>536</v>
      </c>
      <c r="F33" t="s">
        <v>544</v>
      </c>
      <c r="G33" t="s">
        <v>545</v>
      </c>
      <c r="H33" t="s">
        <v>1044</v>
      </c>
      <c r="I33" s="3">
        <v>968</v>
      </c>
      <c r="J33" s="4">
        <v>0.2</v>
      </c>
      <c r="K33" s="3">
        <v>774.4</v>
      </c>
      <c r="L33" s="3">
        <v>590.13</v>
      </c>
      <c r="M33" s="5">
        <v>2</v>
      </c>
      <c r="N33" s="3">
        <v>27</v>
      </c>
      <c r="O33" s="6">
        <v>0.34</v>
      </c>
      <c r="P33" s="3">
        <v>1548.8</v>
      </c>
      <c r="Q33" s="3">
        <v>617.13</v>
      </c>
      <c r="R33" s="3">
        <v>1234.26</v>
      </c>
      <c r="S33" s="3">
        <v>314.53999999999996</v>
      </c>
      <c r="T33" s="4">
        <v>0.203086260330578</v>
      </c>
      <c r="U33" s="4">
        <v>-0.136913739669422</v>
      </c>
      <c r="V33" t="s">
        <v>1054</v>
      </c>
      <c r="W33" t="s">
        <v>1056</v>
      </c>
    </row>
    <row r="34" spans="1:23" x14ac:dyDescent="0.25">
      <c r="A34" t="s">
        <v>45</v>
      </c>
      <c r="B34" s="2">
        <v>45461</v>
      </c>
      <c r="C34" t="s">
        <v>547</v>
      </c>
      <c r="D34" t="s">
        <v>581</v>
      </c>
      <c r="E34" t="s">
        <v>536</v>
      </c>
      <c r="F34" t="s">
        <v>544</v>
      </c>
      <c r="G34" t="s">
        <v>545</v>
      </c>
      <c r="H34" t="s">
        <v>1042</v>
      </c>
      <c r="I34" s="3">
        <v>763</v>
      </c>
      <c r="J34" s="4">
        <v>0.22</v>
      </c>
      <c r="K34" s="3">
        <v>595.14</v>
      </c>
      <c r="L34" s="3">
        <v>535.79</v>
      </c>
      <c r="M34" s="5">
        <v>2</v>
      </c>
      <c r="N34" s="3">
        <v>95</v>
      </c>
      <c r="O34" s="6">
        <v>0.37</v>
      </c>
      <c r="P34" s="3">
        <v>1190.28</v>
      </c>
      <c r="Q34" s="3">
        <v>630.79</v>
      </c>
      <c r="R34" s="3">
        <v>1261.58</v>
      </c>
      <c r="S34" s="3">
        <v>-71.299999999999955</v>
      </c>
      <c r="T34" s="4">
        <v>-5.9901871828477303E-2</v>
      </c>
      <c r="U34" s="4">
        <v>-0.429901871828477</v>
      </c>
      <c r="V34" t="s">
        <v>1054</v>
      </c>
      <c r="W34" t="s">
        <v>1056</v>
      </c>
    </row>
    <row r="35" spans="1:23" x14ac:dyDescent="0.25">
      <c r="A35" t="s">
        <v>46</v>
      </c>
      <c r="B35" s="2">
        <v>45306</v>
      </c>
      <c r="C35" t="s">
        <v>549</v>
      </c>
      <c r="D35" t="s">
        <v>582</v>
      </c>
      <c r="E35" t="s">
        <v>535</v>
      </c>
      <c r="F35" t="s">
        <v>540</v>
      </c>
      <c r="G35" t="s">
        <v>546</v>
      </c>
      <c r="H35" t="s">
        <v>1043</v>
      </c>
      <c r="I35" s="3">
        <v>116</v>
      </c>
      <c r="J35" s="4">
        <v>0.24</v>
      </c>
      <c r="K35" s="3">
        <v>88.16</v>
      </c>
      <c r="L35" s="3">
        <v>68.89</v>
      </c>
      <c r="M35" s="5">
        <v>2</v>
      </c>
      <c r="N35" s="3">
        <v>120</v>
      </c>
      <c r="O35" s="6">
        <v>0.38</v>
      </c>
      <c r="P35" s="3">
        <v>176.32</v>
      </c>
      <c r="Q35" s="3">
        <v>188.89</v>
      </c>
      <c r="R35" s="3">
        <v>377.78</v>
      </c>
      <c r="S35" s="3">
        <v>-201.45999999999998</v>
      </c>
      <c r="T35" s="4">
        <v>-1.1425816696914699</v>
      </c>
      <c r="U35" s="4">
        <v>-1.52258166969147</v>
      </c>
      <c r="V35" t="s">
        <v>1057</v>
      </c>
      <c r="W35" t="s">
        <v>1056</v>
      </c>
    </row>
    <row r="36" spans="1:23" x14ac:dyDescent="0.25">
      <c r="A36" t="s">
        <v>47</v>
      </c>
      <c r="B36" s="2">
        <v>45466</v>
      </c>
      <c r="C36" t="s">
        <v>548</v>
      </c>
      <c r="D36" t="s">
        <v>583</v>
      </c>
      <c r="E36" t="s">
        <v>535</v>
      </c>
      <c r="F36" t="s">
        <v>538</v>
      </c>
      <c r="G36" t="s">
        <v>546</v>
      </c>
      <c r="H36" t="s">
        <v>1045</v>
      </c>
      <c r="I36" s="3">
        <v>5687</v>
      </c>
      <c r="J36" s="4">
        <v>0.32</v>
      </c>
      <c r="K36" s="3">
        <v>3867.16</v>
      </c>
      <c r="L36" s="3">
        <v>3595.7</v>
      </c>
      <c r="M36" s="5">
        <v>3</v>
      </c>
      <c r="N36" s="3">
        <v>196</v>
      </c>
      <c r="O36" s="6">
        <v>0.45</v>
      </c>
      <c r="P36" s="3">
        <v>11601.48</v>
      </c>
      <c r="Q36" s="3">
        <v>3791.7</v>
      </c>
      <c r="R36" s="3">
        <v>11375.099999999999</v>
      </c>
      <c r="S36" s="3">
        <v>226.38000000000102</v>
      </c>
      <c r="T36" s="4">
        <v>1.95130276481967E-2</v>
      </c>
      <c r="U36" s="4">
        <v>-0.430486972351803</v>
      </c>
      <c r="V36" t="s">
        <v>1054</v>
      </c>
      <c r="W36" t="s">
        <v>1056</v>
      </c>
    </row>
    <row r="37" spans="1:23" x14ac:dyDescent="0.25">
      <c r="A37" t="s">
        <v>48</v>
      </c>
      <c r="B37" s="2">
        <v>45342</v>
      </c>
      <c r="C37" t="s">
        <v>547</v>
      </c>
      <c r="D37" t="s">
        <v>584</v>
      </c>
      <c r="E37" t="s">
        <v>535</v>
      </c>
      <c r="F37" t="s">
        <v>540</v>
      </c>
      <c r="G37" t="s">
        <v>546</v>
      </c>
      <c r="H37" t="s">
        <v>1043</v>
      </c>
      <c r="I37" s="3">
        <v>1655</v>
      </c>
      <c r="J37" s="4">
        <v>0.12</v>
      </c>
      <c r="K37" s="3">
        <v>1456.4</v>
      </c>
      <c r="L37" s="3">
        <v>824.53</v>
      </c>
      <c r="M37" s="5">
        <v>2</v>
      </c>
      <c r="N37" s="3">
        <v>84</v>
      </c>
      <c r="O37" s="6">
        <v>0.33</v>
      </c>
      <c r="P37" s="3">
        <v>2912.8</v>
      </c>
      <c r="Q37" s="3">
        <v>908.53</v>
      </c>
      <c r="R37" s="3">
        <v>1817.06</v>
      </c>
      <c r="S37" s="3">
        <v>1095.7400000000002</v>
      </c>
      <c r="T37" s="4">
        <v>0.37618099423235402</v>
      </c>
      <c r="U37" s="4">
        <v>4.6180994232354E-2</v>
      </c>
      <c r="V37" t="s">
        <v>1058</v>
      </c>
      <c r="W37" t="s">
        <v>1055</v>
      </c>
    </row>
    <row r="38" spans="1:23" x14ac:dyDescent="0.25">
      <c r="A38" t="s">
        <v>49</v>
      </c>
      <c r="B38" s="2">
        <v>45399</v>
      </c>
      <c r="C38" t="s">
        <v>548</v>
      </c>
      <c r="D38" t="s">
        <v>585</v>
      </c>
      <c r="E38" t="s">
        <v>536</v>
      </c>
      <c r="F38" t="s">
        <v>539</v>
      </c>
      <c r="G38" t="s">
        <v>546</v>
      </c>
      <c r="H38" t="s">
        <v>1044</v>
      </c>
      <c r="I38" s="3">
        <v>1113</v>
      </c>
      <c r="J38" s="4">
        <v>0.26</v>
      </c>
      <c r="K38" s="3">
        <v>823.62</v>
      </c>
      <c r="L38" s="3">
        <v>833.83</v>
      </c>
      <c r="M38" s="5">
        <v>2</v>
      </c>
      <c r="N38" s="3">
        <v>15</v>
      </c>
      <c r="O38" s="6">
        <v>0.38</v>
      </c>
      <c r="P38" s="3">
        <v>1647.24</v>
      </c>
      <c r="Q38" s="3">
        <v>848.83</v>
      </c>
      <c r="R38" s="3">
        <v>1697.66</v>
      </c>
      <c r="S38" s="3">
        <v>-50.420000000000073</v>
      </c>
      <c r="T38" s="4">
        <v>-3.0608775891794799E-2</v>
      </c>
      <c r="U38" s="4">
        <v>-0.41060877589179501</v>
      </c>
      <c r="V38" t="s">
        <v>1054</v>
      </c>
      <c r="W38" t="s">
        <v>1056</v>
      </c>
    </row>
    <row r="39" spans="1:23" x14ac:dyDescent="0.25">
      <c r="A39" t="s">
        <v>50</v>
      </c>
      <c r="B39" s="2">
        <v>45346</v>
      </c>
      <c r="C39" t="s">
        <v>550</v>
      </c>
      <c r="D39" t="s">
        <v>586</v>
      </c>
      <c r="E39" t="s">
        <v>536</v>
      </c>
      <c r="F39" t="s">
        <v>544</v>
      </c>
      <c r="G39" t="s">
        <v>546</v>
      </c>
      <c r="H39" t="s">
        <v>1042</v>
      </c>
      <c r="I39" s="3">
        <v>6167</v>
      </c>
      <c r="J39" s="4">
        <v>0.25</v>
      </c>
      <c r="K39" s="3">
        <v>4625.25</v>
      </c>
      <c r="L39" s="3">
        <v>4494.59</v>
      </c>
      <c r="M39" s="5">
        <v>3</v>
      </c>
      <c r="N39" s="3">
        <v>88</v>
      </c>
      <c r="O39" s="6">
        <v>0.38</v>
      </c>
      <c r="P39" s="3">
        <v>13875.75</v>
      </c>
      <c r="Q39" s="3">
        <v>4582.59</v>
      </c>
      <c r="R39" s="3">
        <v>13747.77</v>
      </c>
      <c r="S39" s="3">
        <v>127.97999999999956</v>
      </c>
      <c r="T39" s="4">
        <v>9.2232852278254906E-3</v>
      </c>
      <c r="U39" s="4">
        <v>-0.370776714772174</v>
      </c>
      <c r="V39" t="s">
        <v>1054</v>
      </c>
      <c r="W39" t="s">
        <v>1056</v>
      </c>
    </row>
    <row r="40" spans="1:23" x14ac:dyDescent="0.25">
      <c r="A40" t="s">
        <v>51</v>
      </c>
      <c r="B40" s="2">
        <v>45355</v>
      </c>
      <c r="C40" t="s">
        <v>547</v>
      </c>
      <c r="D40" t="s">
        <v>587</v>
      </c>
      <c r="E40" t="s">
        <v>535</v>
      </c>
      <c r="F40" t="s">
        <v>538</v>
      </c>
      <c r="G40" t="s">
        <v>546</v>
      </c>
      <c r="H40" t="s">
        <v>1043</v>
      </c>
      <c r="I40" s="3">
        <v>7029</v>
      </c>
      <c r="J40" s="4">
        <v>0.18</v>
      </c>
      <c r="K40" s="3">
        <v>5763.78</v>
      </c>
      <c r="L40" s="3">
        <v>4233.45</v>
      </c>
      <c r="M40" s="5">
        <v>3</v>
      </c>
      <c r="N40" s="3">
        <v>122</v>
      </c>
      <c r="O40" s="6">
        <v>0.4</v>
      </c>
      <c r="P40" s="3">
        <v>17291.34</v>
      </c>
      <c r="Q40" s="3">
        <v>4355.45</v>
      </c>
      <c r="R40" s="3">
        <v>13066.349999999999</v>
      </c>
      <c r="S40" s="3">
        <v>4224.9900000000016</v>
      </c>
      <c r="T40" s="4">
        <v>0.24434138707584299</v>
      </c>
      <c r="U40" s="4">
        <v>-0.155658612924157</v>
      </c>
      <c r="V40" t="s">
        <v>1054</v>
      </c>
      <c r="W40" t="s">
        <v>1055</v>
      </c>
    </row>
    <row r="41" spans="1:23" x14ac:dyDescent="0.25">
      <c r="A41" t="s">
        <v>52</v>
      </c>
      <c r="B41" s="2">
        <v>45422</v>
      </c>
      <c r="C41" t="s">
        <v>550</v>
      </c>
      <c r="D41" t="s">
        <v>588</v>
      </c>
      <c r="E41" t="s">
        <v>537</v>
      </c>
      <c r="F41" t="s">
        <v>542</v>
      </c>
      <c r="G41" t="s">
        <v>546</v>
      </c>
      <c r="H41" t="s">
        <v>1042</v>
      </c>
      <c r="I41" s="3">
        <v>7038</v>
      </c>
      <c r="J41" s="4">
        <v>0.21</v>
      </c>
      <c r="K41" s="3">
        <v>5560.02</v>
      </c>
      <c r="L41" s="3">
        <v>3276.52</v>
      </c>
      <c r="M41" s="5">
        <v>2</v>
      </c>
      <c r="N41" s="3">
        <v>187</v>
      </c>
      <c r="O41" s="6">
        <v>0.37</v>
      </c>
      <c r="P41" s="3">
        <v>11120.04</v>
      </c>
      <c r="Q41" s="3">
        <v>3463.52</v>
      </c>
      <c r="R41" s="3">
        <v>6927.04</v>
      </c>
      <c r="S41" s="3">
        <v>4193.0000000000009</v>
      </c>
      <c r="T41" s="4">
        <v>0.37706698896766599</v>
      </c>
      <c r="U41" s="4">
        <v>7.066988967666E-3</v>
      </c>
      <c r="V41" t="s">
        <v>1058</v>
      </c>
      <c r="W41" t="s">
        <v>1056</v>
      </c>
    </row>
    <row r="42" spans="1:23" x14ac:dyDescent="0.25">
      <c r="A42" t="s">
        <v>53</v>
      </c>
      <c r="B42" s="2">
        <v>45342</v>
      </c>
      <c r="C42" t="s">
        <v>549</v>
      </c>
      <c r="D42" t="s">
        <v>589</v>
      </c>
      <c r="E42" t="s">
        <v>537</v>
      </c>
      <c r="F42" t="s">
        <v>542</v>
      </c>
      <c r="G42" t="s">
        <v>545</v>
      </c>
      <c r="H42" t="s">
        <v>1045</v>
      </c>
      <c r="I42" s="3">
        <v>1392</v>
      </c>
      <c r="J42" s="4">
        <v>0.25</v>
      </c>
      <c r="K42" s="3">
        <v>1044</v>
      </c>
      <c r="L42" s="3">
        <v>943.87</v>
      </c>
      <c r="M42" s="5">
        <v>2</v>
      </c>
      <c r="N42" s="3">
        <v>152</v>
      </c>
      <c r="O42" s="6">
        <v>0.35</v>
      </c>
      <c r="P42" s="3">
        <v>2088</v>
      </c>
      <c r="Q42" s="3">
        <v>1095.8699999999999</v>
      </c>
      <c r="R42" s="3">
        <v>2191.7399999999998</v>
      </c>
      <c r="S42" s="3">
        <v>-103.73999999999978</v>
      </c>
      <c r="T42" s="4">
        <v>-4.9683908045976902E-2</v>
      </c>
      <c r="U42" s="4">
        <v>-0.39968390804597698</v>
      </c>
      <c r="V42" t="s">
        <v>1054</v>
      </c>
      <c r="W42" t="s">
        <v>1056</v>
      </c>
    </row>
    <row r="43" spans="1:23" x14ac:dyDescent="0.25">
      <c r="A43" t="s">
        <v>54</v>
      </c>
      <c r="B43" s="2">
        <v>45426</v>
      </c>
      <c r="C43" t="s">
        <v>547</v>
      </c>
      <c r="D43" t="s">
        <v>590</v>
      </c>
      <c r="E43" t="s">
        <v>536</v>
      </c>
      <c r="F43" t="s">
        <v>539</v>
      </c>
      <c r="G43" t="s">
        <v>545</v>
      </c>
      <c r="H43" t="s">
        <v>1042</v>
      </c>
      <c r="I43" s="3">
        <v>2019</v>
      </c>
      <c r="J43" s="4">
        <v>0.09</v>
      </c>
      <c r="K43" s="3">
        <v>1837.29</v>
      </c>
      <c r="L43" s="3">
        <v>1351.24</v>
      </c>
      <c r="M43" s="5">
        <v>2</v>
      </c>
      <c r="N43" s="3">
        <v>146</v>
      </c>
      <c r="O43" s="6">
        <v>0.31</v>
      </c>
      <c r="P43" s="3">
        <v>3674.58</v>
      </c>
      <c r="Q43" s="3">
        <v>1497.24</v>
      </c>
      <c r="R43" s="3">
        <v>2994.48</v>
      </c>
      <c r="S43" s="3">
        <v>680.09999999999991</v>
      </c>
      <c r="T43" s="4">
        <v>0.185082376761426</v>
      </c>
      <c r="U43" s="4">
        <v>-0.124917623238574</v>
      </c>
      <c r="V43" t="s">
        <v>1054</v>
      </c>
      <c r="W43" t="s">
        <v>1059</v>
      </c>
    </row>
    <row r="44" spans="1:23" x14ac:dyDescent="0.25">
      <c r="A44" t="s">
        <v>55</v>
      </c>
      <c r="B44" s="2">
        <v>45312</v>
      </c>
      <c r="C44" t="s">
        <v>549</v>
      </c>
      <c r="D44" t="s">
        <v>591</v>
      </c>
      <c r="E44" t="s">
        <v>535</v>
      </c>
      <c r="F44" t="s">
        <v>538</v>
      </c>
      <c r="G44" t="s">
        <v>546</v>
      </c>
      <c r="H44" t="s">
        <v>1042</v>
      </c>
      <c r="I44" s="3">
        <v>5518</v>
      </c>
      <c r="J44" s="4">
        <v>0.09</v>
      </c>
      <c r="K44" s="3">
        <v>5021.38</v>
      </c>
      <c r="L44" s="3">
        <v>3799.59</v>
      </c>
      <c r="M44" s="5">
        <v>2</v>
      </c>
      <c r="N44" s="3">
        <v>23</v>
      </c>
      <c r="O44" s="6">
        <v>0.42</v>
      </c>
      <c r="P44" s="3">
        <v>10042.76</v>
      </c>
      <c r="Q44" s="3">
        <v>3822.59</v>
      </c>
      <c r="R44" s="3">
        <v>7645.18</v>
      </c>
      <c r="S44" s="3">
        <v>2397.58</v>
      </c>
      <c r="T44" s="4">
        <v>0.23873715990424901</v>
      </c>
      <c r="U44" s="4">
        <v>-0.181262840095751</v>
      </c>
      <c r="V44" t="s">
        <v>1054</v>
      </c>
      <c r="W44" t="s">
        <v>1059</v>
      </c>
    </row>
    <row r="45" spans="1:23" x14ac:dyDescent="0.25">
      <c r="A45" t="s">
        <v>56</v>
      </c>
      <c r="B45" s="2">
        <v>45364</v>
      </c>
      <c r="C45" t="s">
        <v>548</v>
      </c>
      <c r="D45" t="s">
        <v>592</v>
      </c>
      <c r="E45" t="s">
        <v>535</v>
      </c>
      <c r="F45" t="s">
        <v>540</v>
      </c>
      <c r="G45" t="s">
        <v>545</v>
      </c>
      <c r="H45" t="s">
        <v>1043</v>
      </c>
      <c r="I45" s="3">
        <v>4277</v>
      </c>
      <c r="J45" s="4">
        <v>0.14000000000000001</v>
      </c>
      <c r="K45" s="3">
        <v>3678.22</v>
      </c>
      <c r="L45" s="3">
        <v>2679.51</v>
      </c>
      <c r="M45" s="5">
        <v>3</v>
      </c>
      <c r="N45" s="3">
        <v>155</v>
      </c>
      <c r="O45" s="6">
        <v>0.4</v>
      </c>
      <c r="P45" s="3">
        <v>11034.66</v>
      </c>
      <c r="Q45" s="3">
        <v>2834.51</v>
      </c>
      <c r="R45" s="3">
        <v>8503.5300000000007</v>
      </c>
      <c r="S45" s="3">
        <v>2531.1299999999992</v>
      </c>
      <c r="T45" s="4">
        <v>0.229379971834202</v>
      </c>
      <c r="U45" s="4">
        <v>-0.17062002816579799</v>
      </c>
      <c r="V45" t="s">
        <v>1054</v>
      </c>
      <c r="W45" t="s">
        <v>1055</v>
      </c>
    </row>
    <row r="46" spans="1:23" x14ac:dyDescent="0.25">
      <c r="A46" t="s">
        <v>57</v>
      </c>
      <c r="B46" s="2">
        <v>45458</v>
      </c>
      <c r="C46" t="s">
        <v>550</v>
      </c>
      <c r="D46" t="s">
        <v>593</v>
      </c>
      <c r="E46" t="s">
        <v>536</v>
      </c>
      <c r="F46" t="s">
        <v>539</v>
      </c>
      <c r="G46" t="s">
        <v>546</v>
      </c>
      <c r="H46" t="s">
        <v>1044</v>
      </c>
      <c r="I46" s="3">
        <v>2240</v>
      </c>
      <c r="J46" s="4">
        <v>0.22</v>
      </c>
      <c r="K46" s="3">
        <v>1747.2</v>
      </c>
      <c r="L46" s="3">
        <v>1246.8</v>
      </c>
      <c r="M46" s="5">
        <v>3</v>
      </c>
      <c r="N46" s="3">
        <v>62</v>
      </c>
      <c r="O46" s="6">
        <v>0.37</v>
      </c>
      <c r="P46" s="3">
        <v>5241.6000000000004</v>
      </c>
      <c r="Q46" s="3">
        <v>1308.8</v>
      </c>
      <c r="R46" s="3">
        <v>3926.3999999999996</v>
      </c>
      <c r="S46" s="3">
        <v>1315.2000000000007</v>
      </c>
      <c r="T46" s="4">
        <v>0.25091575091575102</v>
      </c>
      <c r="U46" s="4">
        <v>-0.119084249084249</v>
      </c>
      <c r="V46" t="s">
        <v>1054</v>
      </c>
      <c r="W46" t="s">
        <v>1056</v>
      </c>
    </row>
    <row r="47" spans="1:23" x14ac:dyDescent="0.25">
      <c r="A47" t="s">
        <v>58</v>
      </c>
      <c r="B47" s="2">
        <v>45309</v>
      </c>
      <c r="C47" t="s">
        <v>548</v>
      </c>
      <c r="D47" t="s">
        <v>594</v>
      </c>
      <c r="E47" t="s">
        <v>537</v>
      </c>
      <c r="F47" t="s">
        <v>541</v>
      </c>
      <c r="G47" t="s">
        <v>545</v>
      </c>
      <c r="H47" t="s">
        <v>1043</v>
      </c>
      <c r="I47" s="3">
        <v>5617</v>
      </c>
      <c r="J47" s="4">
        <v>0.1</v>
      </c>
      <c r="K47" s="3">
        <v>5055.3</v>
      </c>
      <c r="L47" s="3">
        <v>4008.23</v>
      </c>
      <c r="M47" s="5">
        <v>2</v>
      </c>
      <c r="N47" s="3">
        <v>42</v>
      </c>
      <c r="O47" s="6">
        <v>0.43</v>
      </c>
      <c r="P47" s="3">
        <v>10110.6</v>
      </c>
      <c r="Q47" s="3">
        <v>4050.23</v>
      </c>
      <c r="R47" s="3">
        <v>8100.46</v>
      </c>
      <c r="S47" s="3">
        <v>2010.1400000000003</v>
      </c>
      <c r="T47" s="4">
        <v>0.19881510493937099</v>
      </c>
      <c r="U47" s="4">
        <v>-0.231184895060629</v>
      </c>
      <c r="V47" t="s">
        <v>1054</v>
      </c>
      <c r="W47" t="s">
        <v>1055</v>
      </c>
    </row>
    <row r="48" spans="1:23" x14ac:dyDescent="0.25">
      <c r="A48" t="s">
        <v>59</v>
      </c>
      <c r="B48" s="2">
        <v>45423</v>
      </c>
      <c r="C48" t="s">
        <v>547</v>
      </c>
      <c r="D48" t="s">
        <v>595</v>
      </c>
      <c r="E48" t="s">
        <v>535</v>
      </c>
      <c r="F48" t="s">
        <v>538</v>
      </c>
      <c r="G48" t="s">
        <v>546</v>
      </c>
      <c r="H48" t="s">
        <v>1045</v>
      </c>
      <c r="I48" s="3">
        <v>7628</v>
      </c>
      <c r="J48" s="4">
        <v>0.27</v>
      </c>
      <c r="K48" s="3">
        <v>5568.44</v>
      </c>
      <c r="L48" s="3">
        <v>3509.34</v>
      </c>
      <c r="M48" s="5">
        <v>2</v>
      </c>
      <c r="N48" s="3">
        <v>95</v>
      </c>
      <c r="O48" s="6">
        <v>0.41</v>
      </c>
      <c r="P48" s="3">
        <v>11136.88</v>
      </c>
      <c r="Q48" s="3">
        <v>3604.34</v>
      </c>
      <c r="R48" s="3">
        <v>7208.68</v>
      </c>
      <c r="S48" s="3">
        <v>3928.1999999999989</v>
      </c>
      <c r="T48" s="4">
        <v>0.35271997184130599</v>
      </c>
      <c r="U48" s="4">
        <v>-5.7280028158693999E-2</v>
      </c>
      <c r="V48" t="s">
        <v>1054</v>
      </c>
      <c r="W48" t="s">
        <v>1056</v>
      </c>
    </row>
    <row r="49" spans="1:23" x14ac:dyDescent="0.25">
      <c r="A49" t="s">
        <v>60</v>
      </c>
      <c r="B49" s="2">
        <v>45380</v>
      </c>
      <c r="C49" t="s">
        <v>550</v>
      </c>
      <c r="D49" t="s">
        <v>596</v>
      </c>
      <c r="E49" t="s">
        <v>537</v>
      </c>
      <c r="F49" t="s">
        <v>542</v>
      </c>
      <c r="G49" t="s">
        <v>545</v>
      </c>
      <c r="H49" t="s">
        <v>1044</v>
      </c>
      <c r="I49" s="3">
        <v>4960</v>
      </c>
      <c r="J49" s="4">
        <v>0.3</v>
      </c>
      <c r="K49" s="3">
        <v>3472</v>
      </c>
      <c r="L49" s="3">
        <v>2421.6999999999998</v>
      </c>
      <c r="M49" s="5">
        <v>3</v>
      </c>
      <c r="N49" s="3">
        <v>193</v>
      </c>
      <c r="O49" s="6">
        <v>0.42</v>
      </c>
      <c r="P49" s="3">
        <v>10416</v>
      </c>
      <c r="Q49" s="3">
        <v>2614.6999999999998</v>
      </c>
      <c r="R49" s="3">
        <v>7844.0999999999995</v>
      </c>
      <c r="S49" s="3">
        <v>2571.9000000000005</v>
      </c>
      <c r="T49" s="4">
        <v>0.246918202764977</v>
      </c>
      <c r="U49" s="4">
        <v>-0.17308179723502301</v>
      </c>
      <c r="V49" t="s">
        <v>1054</v>
      </c>
      <c r="W49" t="s">
        <v>1056</v>
      </c>
    </row>
    <row r="50" spans="1:23" x14ac:dyDescent="0.25">
      <c r="A50" t="s">
        <v>61</v>
      </c>
      <c r="B50" s="2">
        <v>45351</v>
      </c>
      <c r="C50" t="s">
        <v>549</v>
      </c>
      <c r="D50" t="s">
        <v>597</v>
      </c>
      <c r="E50" t="s">
        <v>535</v>
      </c>
      <c r="F50" t="s">
        <v>540</v>
      </c>
      <c r="G50" t="s">
        <v>545</v>
      </c>
      <c r="H50" t="s">
        <v>1043</v>
      </c>
      <c r="I50" s="3">
        <v>7628</v>
      </c>
      <c r="J50" s="4">
        <v>0.24</v>
      </c>
      <c r="K50" s="3">
        <v>5797.28</v>
      </c>
      <c r="L50" s="3">
        <v>5020.63</v>
      </c>
      <c r="M50" s="5">
        <v>2</v>
      </c>
      <c r="N50" s="3">
        <v>45</v>
      </c>
      <c r="O50" s="6">
        <v>0.32</v>
      </c>
      <c r="P50" s="3">
        <v>11594.56</v>
      </c>
      <c r="Q50" s="3">
        <v>5065.63</v>
      </c>
      <c r="R50" s="3">
        <v>10131.26</v>
      </c>
      <c r="S50" s="3">
        <v>1463.2999999999993</v>
      </c>
      <c r="T50" s="4">
        <v>0.12620573786327399</v>
      </c>
      <c r="U50" s="4">
        <v>-0.19379426213672599</v>
      </c>
      <c r="V50" t="s">
        <v>1054</v>
      </c>
      <c r="W50" t="s">
        <v>1056</v>
      </c>
    </row>
    <row r="51" spans="1:23" x14ac:dyDescent="0.25">
      <c r="A51" t="s">
        <v>62</v>
      </c>
      <c r="B51" s="2">
        <v>45305</v>
      </c>
      <c r="C51" t="s">
        <v>550</v>
      </c>
      <c r="D51" t="s">
        <v>598</v>
      </c>
      <c r="E51" t="s">
        <v>536</v>
      </c>
      <c r="F51" t="s">
        <v>544</v>
      </c>
      <c r="G51" t="s">
        <v>546</v>
      </c>
      <c r="H51" t="s">
        <v>1043</v>
      </c>
      <c r="I51" s="3">
        <v>4857</v>
      </c>
      <c r="J51" s="4">
        <v>0.18</v>
      </c>
      <c r="K51" s="3">
        <v>3982.74</v>
      </c>
      <c r="L51" s="3">
        <v>2605.19</v>
      </c>
      <c r="M51" s="5">
        <v>2</v>
      </c>
      <c r="N51" s="3">
        <v>116</v>
      </c>
      <c r="O51" s="6">
        <v>0.38</v>
      </c>
      <c r="P51" s="3">
        <v>7965.48</v>
      </c>
      <c r="Q51" s="3">
        <v>2721.19</v>
      </c>
      <c r="R51" s="3">
        <v>5442.38</v>
      </c>
      <c r="S51" s="3">
        <v>2523.0999999999995</v>
      </c>
      <c r="T51" s="4">
        <v>0.31675429478198402</v>
      </c>
      <c r="U51" s="4">
        <v>-6.3245705218015993E-2</v>
      </c>
      <c r="V51" t="s">
        <v>1054</v>
      </c>
      <c r="W51" t="s">
        <v>1055</v>
      </c>
    </row>
    <row r="52" spans="1:23" x14ac:dyDescent="0.25">
      <c r="A52" t="s">
        <v>63</v>
      </c>
      <c r="B52" s="2">
        <v>45300</v>
      </c>
      <c r="C52" t="s">
        <v>548</v>
      </c>
      <c r="D52" t="s">
        <v>599</v>
      </c>
      <c r="E52" t="s">
        <v>535</v>
      </c>
      <c r="F52" t="s">
        <v>540</v>
      </c>
      <c r="G52" t="s">
        <v>545</v>
      </c>
      <c r="H52" t="s">
        <v>1044</v>
      </c>
      <c r="I52" s="3">
        <v>3581</v>
      </c>
      <c r="J52" s="4">
        <v>0.08</v>
      </c>
      <c r="K52" s="3">
        <v>3294.52</v>
      </c>
      <c r="L52" s="3">
        <v>2598.46</v>
      </c>
      <c r="M52" s="5">
        <v>1</v>
      </c>
      <c r="N52" s="3">
        <v>142</v>
      </c>
      <c r="O52" s="6">
        <v>0.4</v>
      </c>
      <c r="P52" s="3">
        <v>3294.52</v>
      </c>
      <c r="Q52" s="3">
        <v>2740.46</v>
      </c>
      <c r="R52" s="3">
        <v>2740.46</v>
      </c>
      <c r="S52" s="3">
        <v>554.05999999999995</v>
      </c>
      <c r="T52" s="4">
        <v>0.168176244187317</v>
      </c>
      <c r="U52" s="4">
        <v>-0.231823755812683</v>
      </c>
      <c r="V52" t="s">
        <v>1054</v>
      </c>
      <c r="W52" t="s">
        <v>1059</v>
      </c>
    </row>
    <row r="53" spans="1:23" x14ac:dyDescent="0.25">
      <c r="A53" t="s">
        <v>64</v>
      </c>
      <c r="B53" s="2">
        <v>45381</v>
      </c>
      <c r="C53" t="s">
        <v>548</v>
      </c>
      <c r="D53" t="s">
        <v>600</v>
      </c>
      <c r="E53" t="s">
        <v>535</v>
      </c>
      <c r="F53" t="s">
        <v>538</v>
      </c>
      <c r="G53" t="s">
        <v>545</v>
      </c>
      <c r="H53" t="s">
        <v>1043</v>
      </c>
      <c r="I53" s="3">
        <v>4196</v>
      </c>
      <c r="J53" s="4">
        <v>0.27</v>
      </c>
      <c r="K53" s="3">
        <v>3063.08</v>
      </c>
      <c r="L53" s="3">
        <v>3064.38</v>
      </c>
      <c r="M53" s="5">
        <v>3</v>
      </c>
      <c r="N53" s="3">
        <v>20</v>
      </c>
      <c r="O53" s="6">
        <v>0.3</v>
      </c>
      <c r="P53" s="3">
        <v>9189.24</v>
      </c>
      <c r="Q53" s="3">
        <v>3084.38</v>
      </c>
      <c r="R53" s="3">
        <v>9253.14</v>
      </c>
      <c r="S53" s="3">
        <v>-63.899999999999636</v>
      </c>
      <c r="T53" s="4">
        <v>-6.9537850790707002E-3</v>
      </c>
      <c r="U53" s="4">
        <v>-0.30695378507907101</v>
      </c>
      <c r="V53" t="s">
        <v>1054</v>
      </c>
      <c r="W53" t="s">
        <v>1056</v>
      </c>
    </row>
    <row r="54" spans="1:23" x14ac:dyDescent="0.25">
      <c r="A54" t="s">
        <v>65</v>
      </c>
      <c r="B54" s="2">
        <v>45344</v>
      </c>
      <c r="C54" t="s">
        <v>550</v>
      </c>
      <c r="D54" t="s">
        <v>601</v>
      </c>
      <c r="E54" t="s">
        <v>535</v>
      </c>
      <c r="F54" t="s">
        <v>538</v>
      </c>
      <c r="G54" t="s">
        <v>546</v>
      </c>
      <c r="H54" t="s">
        <v>1044</v>
      </c>
      <c r="I54" s="3">
        <v>2922</v>
      </c>
      <c r="J54" s="4">
        <v>0.15</v>
      </c>
      <c r="K54" s="3">
        <v>2483.6999999999998</v>
      </c>
      <c r="L54" s="3">
        <v>1587.91</v>
      </c>
      <c r="M54" s="5">
        <v>3</v>
      </c>
      <c r="N54" s="3">
        <v>124</v>
      </c>
      <c r="O54" s="6">
        <v>0.35</v>
      </c>
      <c r="P54" s="3">
        <v>7451.0999999999995</v>
      </c>
      <c r="Q54" s="3">
        <v>1711.91</v>
      </c>
      <c r="R54" s="3">
        <v>5135.7300000000005</v>
      </c>
      <c r="S54" s="3">
        <v>2315.369999999999</v>
      </c>
      <c r="T54" s="4">
        <v>0.310742038088336</v>
      </c>
      <c r="U54" s="4">
        <v>-3.9257961911664002E-2</v>
      </c>
      <c r="V54" t="s">
        <v>1054</v>
      </c>
      <c r="W54" t="s">
        <v>1055</v>
      </c>
    </row>
    <row r="55" spans="1:23" x14ac:dyDescent="0.25">
      <c r="A55" t="s">
        <v>66</v>
      </c>
      <c r="B55" s="2">
        <v>45421</v>
      </c>
      <c r="C55" t="s">
        <v>549</v>
      </c>
      <c r="D55" t="s">
        <v>602</v>
      </c>
      <c r="E55" t="s">
        <v>535</v>
      </c>
      <c r="F55" t="s">
        <v>538</v>
      </c>
      <c r="G55" t="s">
        <v>545</v>
      </c>
      <c r="H55" t="s">
        <v>1043</v>
      </c>
      <c r="I55" s="3">
        <v>5082</v>
      </c>
      <c r="J55" s="4">
        <v>0.08</v>
      </c>
      <c r="K55" s="3">
        <v>4675.4399999999996</v>
      </c>
      <c r="L55" s="3">
        <v>2918.85</v>
      </c>
      <c r="M55" s="5">
        <v>3</v>
      </c>
      <c r="N55" s="3">
        <v>99</v>
      </c>
      <c r="O55" s="6">
        <v>0.44</v>
      </c>
      <c r="P55" s="3">
        <v>14026.32</v>
      </c>
      <c r="Q55" s="3">
        <v>3017.85</v>
      </c>
      <c r="R55" s="3">
        <v>9053.5499999999993</v>
      </c>
      <c r="S55" s="3">
        <v>4972.7700000000004</v>
      </c>
      <c r="T55" s="4">
        <v>0.35453133822699001</v>
      </c>
      <c r="U55" s="4">
        <v>-8.5468661773010005E-2</v>
      </c>
      <c r="V55" t="s">
        <v>1054</v>
      </c>
      <c r="W55" t="s">
        <v>1059</v>
      </c>
    </row>
    <row r="56" spans="1:23" x14ac:dyDescent="0.25">
      <c r="A56" t="s">
        <v>67</v>
      </c>
      <c r="B56" s="2">
        <v>45375</v>
      </c>
      <c r="C56" t="s">
        <v>548</v>
      </c>
      <c r="D56" t="s">
        <v>603</v>
      </c>
      <c r="E56" t="s">
        <v>536</v>
      </c>
      <c r="F56" t="s">
        <v>544</v>
      </c>
      <c r="G56" t="s">
        <v>546</v>
      </c>
      <c r="H56" t="s">
        <v>1044</v>
      </c>
      <c r="I56" s="3">
        <v>1004</v>
      </c>
      <c r="J56" s="4">
        <v>0.19</v>
      </c>
      <c r="K56" s="3">
        <v>813.24</v>
      </c>
      <c r="L56" s="3">
        <v>494.23</v>
      </c>
      <c r="M56" s="5">
        <v>1</v>
      </c>
      <c r="N56" s="3">
        <v>161</v>
      </c>
      <c r="O56" s="6">
        <v>0.36</v>
      </c>
      <c r="P56" s="3">
        <v>813.24</v>
      </c>
      <c r="Q56" s="3">
        <v>655.23</v>
      </c>
      <c r="R56" s="3">
        <v>655.23</v>
      </c>
      <c r="S56" s="3">
        <v>158.01</v>
      </c>
      <c r="T56" s="4">
        <v>0.19429688652796201</v>
      </c>
      <c r="U56" s="4">
        <v>-0.16570311347203801</v>
      </c>
      <c r="V56" t="s">
        <v>1054</v>
      </c>
      <c r="W56" t="s">
        <v>1055</v>
      </c>
    </row>
    <row r="57" spans="1:23" x14ac:dyDescent="0.25">
      <c r="A57" t="s">
        <v>68</v>
      </c>
      <c r="B57" s="2">
        <v>45383</v>
      </c>
      <c r="C57" t="s">
        <v>547</v>
      </c>
      <c r="D57" t="s">
        <v>604</v>
      </c>
      <c r="E57" t="s">
        <v>535</v>
      </c>
      <c r="F57" t="s">
        <v>538</v>
      </c>
      <c r="G57" t="s">
        <v>546</v>
      </c>
      <c r="H57" t="s">
        <v>1044</v>
      </c>
      <c r="I57" s="3">
        <v>5148</v>
      </c>
      <c r="J57" s="4">
        <v>0.24</v>
      </c>
      <c r="K57" s="3">
        <v>3912.48</v>
      </c>
      <c r="L57" s="3">
        <v>2336.8200000000002</v>
      </c>
      <c r="M57" s="5">
        <v>3</v>
      </c>
      <c r="N57" s="3">
        <v>58</v>
      </c>
      <c r="O57" s="6">
        <v>0.45</v>
      </c>
      <c r="P57" s="3">
        <v>11737.44</v>
      </c>
      <c r="Q57" s="3">
        <v>2394.8200000000002</v>
      </c>
      <c r="R57" s="3">
        <v>7184.4600000000009</v>
      </c>
      <c r="S57" s="3">
        <v>4552.9799999999996</v>
      </c>
      <c r="T57" s="4">
        <v>0.387902302375987</v>
      </c>
      <c r="U57" s="4">
        <v>-6.2097697624013001E-2</v>
      </c>
      <c r="V57" t="s">
        <v>1054</v>
      </c>
      <c r="W57" t="s">
        <v>1056</v>
      </c>
    </row>
    <row r="58" spans="1:23" x14ac:dyDescent="0.25">
      <c r="A58" t="s">
        <v>69</v>
      </c>
      <c r="B58" s="2">
        <v>45402</v>
      </c>
      <c r="C58" t="s">
        <v>550</v>
      </c>
      <c r="D58" t="s">
        <v>605</v>
      </c>
      <c r="E58" t="s">
        <v>535</v>
      </c>
      <c r="F58" t="s">
        <v>538</v>
      </c>
      <c r="G58" t="s">
        <v>545</v>
      </c>
      <c r="H58" t="s">
        <v>1044</v>
      </c>
      <c r="I58" s="3">
        <v>1774</v>
      </c>
      <c r="J58" s="4">
        <v>0.11</v>
      </c>
      <c r="K58" s="3">
        <v>1578.86</v>
      </c>
      <c r="L58" s="3">
        <v>957.74</v>
      </c>
      <c r="M58" s="5">
        <v>2</v>
      </c>
      <c r="N58" s="3">
        <v>150</v>
      </c>
      <c r="O58" s="6">
        <v>0.41</v>
      </c>
      <c r="P58" s="3">
        <v>3157.72</v>
      </c>
      <c r="Q58" s="3">
        <v>1107.74</v>
      </c>
      <c r="R58" s="3">
        <v>2215.48</v>
      </c>
      <c r="S58" s="3">
        <v>942.23999999999978</v>
      </c>
      <c r="T58" s="4">
        <v>0.29839251105227799</v>
      </c>
      <c r="U58" s="4">
        <v>-0.111607488947722</v>
      </c>
      <c r="V58" t="s">
        <v>1054</v>
      </c>
      <c r="W58" t="s">
        <v>1055</v>
      </c>
    </row>
    <row r="59" spans="1:23" x14ac:dyDescent="0.25">
      <c r="A59" t="s">
        <v>70</v>
      </c>
      <c r="B59" s="2">
        <v>45463</v>
      </c>
      <c r="C59" t="s">
        <v>549</v>
      </c>
      <c r="D59" t="s">
        <v>606</v>
      </c>
      <c r="E59" t="s">
        <v>536</v>
      </c>
      <c r="F59" t="s">
        <v>544</v>
      </c>
      <c r="G59" t="s">
        <v>546</v>
      </c>
      <c r="H59" t="s">
        <v>1045</v>
      </c>
      <c r="I59" s="3">
        <v>4574</v>
      </c>
      <c r="J59" s="4">
        <v>0.16</v>
      </c>
      <c r="K59" s="3">
        <v>3842.16</v>
      </c>
      <c r="L59" s="3">
        <v>3206.23</v>
      </c>
      <c r="M59" s="5">
        <v>2</v>
      </c>
      <c r="N59" s="3">
        <v>28</v>
      </c>
      <c r="O59" s="6">
        <v>0.33</v>
      </c>
      <c r="P59" s="3">
        <v>7684.32</v>
      </c>
      <c r="Q59" s="3">
        <v>3234.23</v>
      </c>
      <c r="R59" s="3">
        <v>6468.46</v>
      </c>
      <c r="S59" s="3">
        <v>1215.8599999999997</v>
      </c>
      <c r="T59" s="4">
        <v>0.15822610198430001</v>
      </c>
      <c r="U59" s="4">
        <v>-0.17177389801570001</v>
      </c>
      <c r="V59" t="s">
        <v>1054</v>
      </c>
      <c r="W59" t="s">
        <v>1055</v>
      </c>
    </row>
    <row r="60" spans="1:23" x14ac:dyDescent="0.25">
      <c r="A60" t="s">
        <v>71</v>
      </c>
      <c r="B60" s="2">
        <v>45299</v>
      </c>
      <c r="C60" t="s">
        <v>550</v>
      </c>
      <c r="D60" t="s">
        <v>607</v>
      </c>
      <c r="E60" t="s">
        <v>536</v>
      </c>
      <c r="F60" t="s">
        <v>544</v>
      </c>
      <c r="G60" t="s">
        <v>546</v>
      </c>
      <c r="H60" t="s">
        <v>1045</v>
      </c>
      <c r="I60" s="3">
        <v>2211</v>
      </c>
      <c r="J60" s="4">
        <v>0.2</v>
      </c>
      <c r="K60" s="3">
        <v>1768.8</v>
      </c>
      <c r="L60" s="3">
        <v>1502.61</v>
      </c>
      <c r="M60" s="5">
        <v>1</v>
      </c>
      <c r="N60" s="3">
        <v>141</v>
      </c>
      <c r="O60" s="6">
        <v>0.34</v>
      </c>
      <c r="P60" s="3">
        <v>1768.8</v>
      </c>
      <c r="Q60" s="3">
        <v>1643.61</v>
      </c>
      <c r="R60" s="3">
        <v>1643.61</v>
      </c>
      <c r="S60" s="3">
        <v>125.19000000000005</v>
      </c>
      <c r="T60" s="4">
        <v>7.0776797829036606E-2</v>
      </c>
      <c r="U60" s="4">
        <v>-0.26922320217096302</v>
      </c>
      <c r="V60" t="s">
        <v>1054</v>
      </c>
      <c r="W60" t="s">
        <v>1056</v>
      </c>
    </row>
    <row r="61" spans="1:23" x14ac:dyDescent="0.25">
      <c r="A61" t="s">
        <v>72</v>
      </c>
      <c r="B61" s="2">
        <v>45466</v>
      </c>
      <c r="C61" t="s">
        <v>549</v>
      </c>
      <c r="D61" t="s">
        <v>608</v>
      </c>
      <c r="E61" t="s">
        <v>536</v>
      </c>
      <c r="F61" t="s">
        <v>539</v>
      </c>
      <c r="G61" t="s">
        <v>546</v>
      </c>
      <c r="H61" t="s">
        <v>1044</v>
      </c>
      <c r="I61" s="3">
        <v>1951</v>
      </c>
      <c r="J61" s="4">
        <v>0.21</v>
      </c>
      <c r="K61" s="3">
        <v>1541.29</v>
      </c>
      <c r="L61" s="3">
        <v>1346.63</v>
      </c>
      <c r="M61" s="5">
        <v>2</v>
      </c>
      <c r="N61" s="3">
        <v>64</v>
      </c>
      <c r="O61" s="6">
        <v>0.43</v>
      </c>
      <c r="P61" s="3">
        <v>3082.58</v>
      </c>
      <c r="Q61" s="3">
        <v>1410.63</v>
      </c>
      <c r="R61" s="3">
        <v>2821.26</v>
      </c>
      <c r="S61" s="3">
        <v>261.31999999999971</v>
      </c>
      <c r="T61" s="4">
        <v>8.4773144573701206E-2</v>
      </c>
      <c r="U61" s="4">
        <v>-0.345226855426299</v>
      </c>
      <c r="V61" t="s">
        <v>1054</v>
      </c>
      <c r="W61" t="s">
        <v>1056</v>
      </c>
    </row>
    <row r="62" spans="1:23" x14ac:dyDescent="0.25">
      <c r="A62" t="s">
        <v>73</v>
      </c>
      <c r="B62" s="2">
        <v>45326</v>
      </c>
      <c r="C62" t="s">
        <v>548</v>
      </c>
      <c r="D62" t="s">
        <v>609</v>
      </c>
      <c r="E62" t="s">
        <v>535</v>
      </c>
      <c r="F62" t="s">
        <v>540</v>
      </c>
      <c r="G62" t="s">
        <v>546</v>
      </c>
      <c r="H62" t="s">
        <v>1044</v>
      </c>
      <c r="I62" s="3">
        <v>2540</v>
      </c>
      <c r="J62" s="4">
        <v>0.2</v>
      </c>
      <c r="K62" s="3">
        <v>2032</v>
      </c>
      <c r="L62" s="3">
        <v>1596.43</v>
      </c>
      <c r="M62" s="5">
        <v>3</v>
      </c>
      <c r="N62" s="3">
        <v>76</v>
      </c>
      <c r="O62" s="6">
        <v>0.39</v>
      </c>
      <c r="P62" s="3">
        <v>6096</v>
      </c>
      <c r="Q62" s="3">
        <v>1672.43</v>
      </c>
      <c r="R62" s="3">
        <v>5017.29</v>
      </c>
      <c r="S62" s="3">
        <v>1078.71</v>
      </c>
      <c r="T62" s="4">
        <v>0.17695374015748</v>
      </c>
      <c r="U62" s="4">
        <v>-0.21304625984252001</v>
      </c>
      <c r="V62" t="s">
        <v>1054</v>
      </c>
      <c r="W62" t="s">
        <v>1056</v>
      </c>
    </row>
    <row r="63" spans="1:23" x14ac:dyDescent="0.25">
      <c r="A63" t="s">
        <v>74</v>
      </c>
      <c r="B63" s="2">
        <v>45372</v>
      </c>
      <c r="C63" t="s">
        <v>549</v>
      </c>
      <c r="D63" t="s">
        <v>610</v>
      </c>
      <c r="E63" t="s">
        <v>537</v>
      </c>
      <c r="F63" t="s">
        <v>541</v>
      </c>
      <c r="G63" t="s">
        <v>545</v>
      </c>
      <c r="H63" t="s">
        <v>1042</v>
      </c>
      <c r="I63" s="3">
        <v>3241</v>
      </c>
      <c r="J63" s="4">
        <v>0.28999999999999998</v>
      </c>
      <c r="K63" s="3">
        <v>2301.11</v>
      </c>
      <c r="L63" s="3">
        <v>2394.4299999999998</v>
      </c>
      <c r="M63" s="5">
        <v>2</v>
      </c>
      <c r="N63" s="3">
        <v>174</v>
      </c>
      <c r="O63" s="6">
        <v>0.31</v>
      </c>
      <c r="P63" s="3">
        <v>4602.22</v>
      </c>
      <c r="Q63" s="3">
        <v>2568.4299999999998</v>
      </c>
      <c r="R63" s="3">
        <v>5136.8599999999997</v>
      </c>
      <c r="S63" s="3">
        <v>-534.63999999999942</v>
      </c>
      <c r="T63" s="4">
        <v>-0.116170022293589</v>
      </c>
      <c r="U63" s="4">
        <v>-0.42617002229358902</v>
      </c>
      <c r="V63" t="s">
        <v>1054</v>
      </c>
      <c r="W63" t="s">
        <v>1056</v>
      </c>
    </row>
    <row r="64" spans="1:23" x14ac:dyDescent="0.25">
      <c r="A64" t="s">
        <v>75</v>
      </c>
      <c r="B64" s="2">
        <v>45455</v>
      </c>
      <c r="C64" t="s">
        <v>550</v>
      </c>
      <c r="D64" t="s">
        <v>611</v>
      </c>
      <c r="E64" t="s">
        <v>536</v>
      </c>
      <c r="F64" t="s">
        <v>544</v>
      </c>
      <c r="G64" t="s">
        <v>546</v>
      </c>
      <c r="H64" t="s">
        <v>1044</v>
      </c>
      <c r="I64" s="3">
        <v>7890</v>
      </c>
      <c r="J64" s="4">
        <v>0.11</v>
      </c>
      <c r="K64" s="3">
        <v>7022.1</v>
      </c>
      <c r="L64" s="3">
        <v>3613.3</v>
      </c>
      <c r="M64" s="5">
        <v>3</v>
      </c>
      <c r="N64" s="3">
        <v>134</v>
      </c>
      <c r="O64" s="6">
        <v>0.38</v>
      </c>
      <c r="P64" s="3">
        <v>21066.300000000003</v>
      </c>
      <c r="Q64" s="3">
        <v>3747.3</v>
      </c>
      <c r="R64" s="3">
        <v>11241.900000000001</v>
      </c>
      <c r="S64" s="3">
        <v>9824.4000000000015</v>
      </c>
      <c r="T64" s="4">
        <v>0.46635621822531698</v>
      </c>
      <c r="U64" s="4">
        <v>8.6356218225317E-2</v>
      </c>
      <c r="V64" t="s">
        <v>1058</v>
      </c>
      <c r="W64" t="s">
        <v>1055</v>
      </c>
    </row>
    <row r="65" spans="1:23" x14ac:dyDescent="0.25">
      <c r="A65" t="s">
        <v>76</v>
      </c>
      <c r="B65" s="2">
        <v>45341</v>
      </c>
      <c r="C65" t="s">
        <v>547</v>
      </c>
      <c r="D65" t="s">
        <v>612</v>
      </c>
      <c r="E65" t="s">
        <v>537</v>
      </c>
      <c r="F65" t="s">
        <v>543</v>
      </c>
      <c r="G65" t="s">
        <v>545</v>
      </c>
      <c r="H65" t="s">
        <v>1042</v>
      </c>
      <c r="I65" s="3">
        <v>3644</v>
      </c>
      <c r="J65" s="4">
        <v>0.13</v>
      </c>
      <c r="K65" s="3">
        <v>3170.28</v>
      </c>
      <c r="L65" s="3">
        <v>2054.88</v>
      </c>
      <c r="M65" s="5">
        <v>1</v>
      </c>
      <c r="N65" s="3">
        <v>128</v>
      </c>
      <c r="O65" s="6">
        <v>0.34</v>
      </c>
      <c r="P65" s="3">
        <v>3170.28</v>
      </c>
      <c r="Q65" s="3">
        <v>2182.88</v>
      </c>
      <c r="R65" s="3">
        <v>2182.88</v>
      </c>
      <c r="S65" s="3">
        <v>987.40000000000009</v>
      </c>
      <c r="T65" s="4">
        <v>0.31145513960912002</v>
      </c>
      <c r="U65" s="4">
        <v>-2.854486039088E-2</v>
      </c>
      <c r="V65" t="s">
        <v>1054</v>
      </c>
      <c r="W65" t="s">
        <v>1055</v>
      </c>
    </row>
    <row r="66" spans="1:23" x14ac:dyDescent="0.25">
      <c r="A66" t="s">
        <v>77</v>
      </c>
      <c r="B66" s="2">
        <v>45395</v>
      </c>
      <c r="C66" t="s">
        <v>550</v>
      </c>
      <c r="D66" t="s">
        <v>613</v>
      </c>
      <c r="E66" t="s">
        <v>537</v>
      </c>
      <c r="F66" t="s">
        <v>542</v>
      </c>
      <c r="G66" t="s">
        <v>545</v>
      </c>
      <c r="H66" t="s">
        <v>1044</v>
      </c>
      <c r="I66" s="3">
        <v>5669</v>
      </c>
      <c r="J66" s="4">
        <v>0.34</v>
      </c>
      <c r="K66" s="3">
        <v>3741.54</v>
      </c>
      <c r="L66" s="3">
        <v>3877.19</v>
      </c>
      <c r="M66" s="5">
        <v>2</v>
      </c>
      <c r="N66" s="3">
        <v>90</v>
      </c>
      <c r="O66" s="6">
        <v>0.38</v>
      </c>
      <c r="P66" s="3">
        <v>7483.08</v>
      </c>
      <c r="Q66" s="3">
        <v>3967.19</v>
      </c>
      <c r="R66" s="3">
        <v>7934.38</v>
      </c>
      <c r="S66" s="3">
        <v>-451.30000000000018</v>
      </c>
      <c r="T66" s="4">
        <v>-6.0309391320151597E-2</v>
      </c>
      <c r="U66" s="4">
        <v>-0.44030939132015201</v>
      </c>
      <c r="V66" t="s">
        <v>1054</v>
      </c>
      <c r="W66" t="s">
        <v>1056</v>
      </c>
    </row>
    <row r="67" spans="1:23" x14ac:dyDescent="0.25">
      <c r="A67" t="s">
        <v>78</v>
      </c>
      <c r="B67" s="2">
        <v>45423</v>
      </c>
      <c r="C67" t="s">
        <v>549</v>
      </c>
      <c r="D67" t="s">
        <v>614</v>
      </c>
      <c r="E67" t="s">
        <v>537</v>
      </c>
      <c r="F67" t="s">
        <v>541</v>
      </c>
      <c r="G67" t="s">
        <v>546</v>
      </c>
      <c r="H67" t="s">
        <v>1043</v>
      </c>
      <c r="I67" s="3">
        <v>3236</v>
      </c>
      <c r="J67" s="4">
        <v>0.2</v>
      </c>
      <c r="K67" s="3">
        <v>2588.8000000000002</v>
      </c>
      <c r="L67" s="3">
        <v>2176.23</v>
      </c>
      <c r="M67" s="5">
        <v>3</v>
      </c>
      <c r="N67" s="3">
        <v>34</v>
      </c>
      <c r="O67" s="6">
        <v>0.32</v>
      </c>
      <c r="P67" s="3">
        <v>7766.4000000000005</v>
      </c>
      <c r="Q67" s="3">
        <v>2210.23</v>
      </c>
      <c r="R67" s="3">
        <v>6630.6900000000005</v>
      </c>
      <c r="S67" s="3">
        <v>1135.71</v>
      </c>
      <c r="T67" s="4">
        <v>0.14623377626699599</v>
      </c>
      <c r="U67" s="4">
        <v>-0.17376622373300399</v>
      </c>
      <c r="V67" t="s">
        <v>1054</v>
      </c>
      <c r="W67" t="s">
        <v>1056</v>
      </c>
    </row>
    <row r="68" spans="1:23" x14ac:dyDescent="0.25">
      <c r="A68" t="s">
        <v>79</v>
      </c>
      <c r="B68" s="2">
        <v>45293</v>
      </c>
      <c r="C68" t="s">
        <v>549</v>
      </c>
      <c r="D68" t="s">
        <v>555</v>
      </c>
      <c r="E68" t="s">
        <v>536</v>
      </c>
      <c r="F68" t="s">
        <v>544</v>
      </c>
      <c r="G68" t="s">
        <v>546</v>
      </c>
      <c r="H68" t="s">
        <v>1045</v>
      </c>
      <c r="I68" s="3">
        <v>3230</v>
      </c>
      <c r="J68" s="4">
        <v>0.26</v>
      </c>
      <c r="K68" s="3">
        <v>2390.1999999999998</v>
      </c>
      <c r="L68" s="3">
        <v>2115.5100000000002</v>
      </c>
      <c r="M68" s="5">
        <v>2</v>
      </c>
      <c r="N68" s="3">
        <v>79</v>
      </c>
      <c r="O68" s="6">
        <v>0.37</v>
      </c>
      <c r="P68" s="3">
        <v>4780.3999999999996</v>
      </c>
      <c r="Q68" s="3">
        <v>2194.5100000000002</v>
      </c>
      <c r="R68" s="3">
        <v>4389.0200000000004</v>
      </c>
      <c r="S68" s="3">
        <v>391.3799999999992</v>
      </c>
      <c r="T68" s="4">
        <v>8.1871809890385602E-2</v>
      </c>
      <c r="U68" s="4">
        <v>-0.28812819010961399</v>
      </c>
      <c r="V68" t="s">
        <v>1054</v>
      </c>
      <c r="W68" t="s">
        <v>1056</v>
      </c>
    </row>
    <row r="69" spans="1:23" x14ac:dyDescent="0.25">
      <c r="A69" t="s">
        <v>80</v>
      </c>
      <c r="B69" s="2">
        <v>45425</v>
      </c>
      <c r="C69" t="s">
        <v>550</v>
      </c>
      <c r="D69" t="s">
        <v>615</v>
      </c>
      <c r="E69" t="s">
        <v>535</v>
      </c>
      <c r="F69" t="s">
        <v>538</v>
      </c>
      <c r="G69" t="s">
        <v>546</v>
      </c>
      <c r="H69" t="s">
        <v>1045</v>
      </c>
      <c r="I69" s="3">
        <v>7191</v>
      </c>
      <c r="J69" s="4">
        <v>0.3</v>
      </c>
      <c r="K69" s="3">
        <v>5033.7</v>
      </c>
      <c r="L69" s="3">
        <v>3681.26</v>
      </c>
      <c r="M69" s="5">
        <v>2</v>
      </c>
      <c r="N69" s="3">
        <v>115</v>
      </c>
      <c r="O69" s="6">
        <v>0.3</v>
      </c>
      <c r="P69" s="3">
        <v>10067.4</v>
      </c>
      <c r="Q69" s="3">
        <v>3796.26</v>
      </c>
      <c r="R69" s="3">
        <v>7592.52</v>
      </c>
      <c r="S69" s="3">
        <v>2474.8799999999992</v>
      </c>
      <c r="T69" s="4">
        <v>0.245831098396805</v>
      </c>
      <c r="U69" s="4">
        <v>-5.4168901603194999E-2</v>
      </c>
      <c r="V69" t="s">
        <v>1054</v>
      </c>
      <c r="W69" t="s">
        <v>1056</v>
      </c>
    </row>
    <row r="70" spans="1:23" x14ac:dyDescent="0.25">
      <c r="A70" t="s">
        <v>81</v>
      </c>
      <c r="B70" s="2">
        <v>45345</v>
      </c>
      <c r="C70" t="s">
        <v>548</v>
      </c>
      <c r="D70" t="s">
        <v>616</v>
      </c>
      <c r="E70" t="s">
        <v>536</v>
      </c>
      <c r="F70" t="s">
        <v>544</v>
      </c>
      <c r="G70" t="s">
        <v>546</v>
      </c>
      <c r="H70" t="s">
        <v>1042</v>
      </c>
      <c r="I70" s="3">
        <v>5918</v>
      </c>
      <c r="J70" s="4">
        <v>0.25</v>
      </c>
      <c r="K70" s="3">
        <v>4438.5</v>
      </c>
      <c r="L70" s="3">
        <v>2974.45</v>
      </c>
      <c r="M70" s="5">
        <v>1</v>
      </c>
      <c r="N70" s="3">
        <v>182</v>
      </c>
      <c r="O70" s="6">
        <v>0.35</v>
      </c>
      <c r="P70" s="3">
        <v>4438.5</v>
      </c>
      <c r="Q70" s="3">
        <v>3156.45</v>
      </c>
      <c r="R70" s="3">
        <v>3156.45</v>
      </c>
      <c r="S70" s="3">
        <v>1282.0500000000002</v>
      </c>
      <c r="T70" s="4">
        <v>0.28884758364312302</v>
      </c>
      <c r="U70" s="4">
        <v>-6.1152416356877001E-2</v>
      </c>
      <c r="V70" t="s">
        <v>1054</v>
      </c>
      <c r="W70" t="s">
        <v>1056</v>
      </c>
    </row>
    <row r="71" spans="1:23" x14ac:dyDescent="0.25">
      <c r="A71" t="s">
        <v>82</v>
      </c>
      <c r="B71" s="2">
        <v>45397</v>
      </c>
      <c r="C71" t="s">
        <v>550</v>
      </c>
      <c r="D71" t="s">
        <v>617</v>
      </c>
      <c r="E71" t="s">
        <v>537</v>
      </c>
      <c r="F71" t="s">
        <v>543</v>
      </c>
      <c r="G71" t="s">
        <v>546</v>
      </c>
      <c r="H71" t="s">
        <v>1042</v>
      </c>
      <c r="I71" s="3">
        <v>5991</v>
      </c>
      <c r="J71" s="4">
        <v>0.27</v>
      </c>
      <c r="K71" s="3">
        <v>4373.43</v>
      </c>
      <c r="L71" s="3">
        <v>2844.76</v>
      </c>
      <c r="M71" s="5">
        <v>3</v>
      </c>
      <c r="N71" s="3">
        <v>45</v>
      </c>
      <c r="O71" s="6">
        <v>0.32</v>
      </c>
      <c r="P71" s="3">
        <v>13120.29</v>
      </c>
      <c r="Q71" s="3">
        <v>2889.76</v>
      </c>
      <c r="R71" s="3">
        <v>8669.2800000000007</v>
      </c>
      <c r="S71" s="3">
        <v>4451.01</v>
      </c>
      <c r="T71" s="4">
        <v>0.33924631239096098</v>
      </c>
      <c r="U71" s="4">
        <v>1.9246312390961001E-2</v>
      </c>
      <c r="V71" t="s">
        <v>1058</v>
      </c>
      <c r="W71" t="s">
        <v>1056</v>
      </c>
    </row>
    <row r="72" spans="1:23" x14ac:dyDescent="0.25">
      <c r="A72" t="s">
        <v>83</v>
      </c>
      <c r="B72" s="2">
        <v>45295</v>
      </c>
      <c r="C72" t="s">
        <v>548</v>
      </c>
      <c r="D72" t="s">
        <v>618</v>
      </c>
      <c r="E72" t="s">
        <v>536</v>
      </c>
      <c r="F72" t="s">
        <v>544</v>
      </c>
      <c r="G72" t="s">
        <v>546</v>
      </c>
      <c r="H72" t="s">
        <v>1045</v>
      </c>
      <c r="I72" s="3">
        <v>236</v>
      </c>
      <c r="J72" s="4">
        <v>0.14000000000000001</v>
      </c>
      <c r="K72" s="3">
        <v>202.96</v>
      </c>
      <c r="L72" s="3">
        <v>146.30000000000001</v>
      </c>
      <c r="M72" s="5">
        <v>3</v>
      </c>
      <c r="N72" s="3">
        <v>107</v>
      </c>
      <c r="O72" s="6">
        <v>0.39</v>
      </c>
      <c r="P72" s="3">
        <v>608.88</v>
      </c>
      <c r="Q72" s="3">
        <v>253.3</v>
      </c>
      <c r="R72" s="3">
        <v>759.90000000000009</v>
      </c>
      <c r="S72" s="3">
        <v>-151.0200000000001</v>
      </c>
      <c r="T72" s="4">
        <v>-0.24802916830902699</v>
      </c>
      <c r="U72" s="4">
        <v>-0.63802916830902701</v>
      </c>
      <c r="V72" t="s">
        <v>1057</v>
      </c>
      <c r="W72" t="s">
        <v>1055</v>
      </c>
    </row>
    <row r="73" spans="1:23" x14ac:dyDescent="0.25">
      <c r="A73" t="s">
        <v>84</v>
      </c>
      <c r="B73" s="2">
        <v>45345</v>
      </c>
      <c r="C73" t="s">
        <v>549</v>
      </c>
      <c r="D73" t="s">
        <v>619</v>
      </c>
      <c r="E73" t="s">
        <v>537</v>
      </c>
      <c r="F73" t="s">
        <v>542</v>
      </c>
      <c r="G73" t="s">
        <v>546</v>
      </c>
      <c r="H73" t="s">
        <v>1042</v>
      </c>
      <c r="I73" s="3">
        <v>800</v>
      </c>
      <c r="J73" s="4">
        <v>0.13</v>
      </c>
      <c r="K73" s="3">
        <v>696</v>
      </c>
      <c r="L73" s="3">
        <v>502.82</v>
      </c>
      <c r="M73" s="5">
        <v>2</v>
      </c>
      <c r="N73" s="3">
        <v>90</v>
      </c>
      <c r="O73" s="6">
        <v>0.44</v>
      </c>
      <c r="P73" s="3">
        <v>1392</v>
      </c>
      <c r="Q73" s="3">
        <v>592.81999999999994</v>
      </c>
      <c r="R73" s="3">
        <v>1185.6399999999999</v>
      </c>
      <c r="S73" s="3">
        <v>206.36000000000013</v>
      </c>
      <c r="T73" s="4">
        <v>0.14824712643678201</v>
      </c>
      <c r="U73" s="4">
        <v>-0.291752873563218</v>
      </c>
      <c r="V73" t="s">
        <v>1054</v>
      </c>
      <c r="W73" t="s">
        <v>1055</v>
      </c>
    </row>
    <row r="74" spans="1:23" x14ac:dyDescent="0.25">
      <c r="A74" t="s">
        <v>85</v>
      </c>
      <c r="B74" s="2">
        <v>45437</v>
      </c>
      <c r="C74" t="s">
        <v>550</v>
      </c>
      <c r="D74" t="s">
        <v>620</v>
      </c>
      <c r="E74" t="s">
        <v>535</v>
      </c>
      <c r="F74" t="s">
        <v>538</v>
      </c>
      <c r="G74" t="s">
        <v>546</v>
      </c>
      <c r="H74" t="s">
        <v>1045</v>
      </c>
      <c r="I74" s="3">
        <v>2393</v>
      </c>
      <c r="J74" s="4">
        <v>0.27</v>
      </c>
      <c r="K74" s="3">
        <v>1746.89</v>
      </c>
      <c r="L74" s="3">
        <v>1432.56</v>
      </c>
      <c r="M74" s="5">
        <v>2</v>
      </c>
      <c r="N74" s="3">
        <v>180</v>
      </c>
      <c r="O74" s="6">
        <v>0.36</v>
      </c>
      <c r="P74" s="3">
        <v>3493.78</v>
      </c>
      <c r="Q74" s="3">
        <v>1612.56</v>
      </c>
      <c r="R74" s="3">
        <v>3225.12</v>
      </c>
      <c r="S74" s="3">
        <v>268.66000000000031</v>
      </c>
      <c r="T74" s="4">
        <v>7.6896656343559203E-2</v>
      </c>
      <c r="U74" s="4">
        <v>-0.28310334365644102</v>
      </c>
      <c r="V74" t="s">
        <v>1054</v>
      </c>
      <c r="W74" t="s">
        <v>1056</v>
      </c>
    </row>
    <row r="75" spans="1:23" x14ac:dyDescent="0.25">
      <c r="A75" t="s">
        <v>86</v>
      </c>
      <c r="B75" s="2">
        <v>45335</v>
      </c>
      <c r="C75" t="s">
        <v>547</v>
      </c>
      <c r="D75" t="s">
        <v>621</v>
      </c>
      <c r="E75" t="s">
        <v>536</v>
      </c>
      <c r="F75" t="s">
        <v>544</v>
      </c>
      <c r="G75" t="s">
        <v>546</v>
      </c>
      <c r="H75" t="s">
        <v>1044</v>
      </c>
      <c r="I75" s="3">
        <v>3599</v>
      </c>
      <c r="J75" s="4">
        <v>0.05</v>
      </c>
      <c r="K75" s="3">
        <v>3419.05</v>
      </c>
      <c r="L75" s="3">
        <v>1730.86</v>
      </c>
      <c r="M75" s="5">
        <v>3</v>
      </c>
      <c r="N75" s="3">
        <v>110</v>
      </c>
      <c r="O75" s="6">
        <v>0.44</v>
      </c>
      <c r="P75" s="3">
        <v>10257.150000000001</v>
      </c>
      <c r="Q75" s="3">
        <v>1840.86</v>
      </c>
      <c r="R75" s="3">
        <v>5522.58</v>
      </c>
      <c r="S75" s="3">
        <v>4734.5700000000015</v>
      </c>
      <c r="T75" s="4">
        <v>0.46158728301721202</v>
      </c>
      <c r="U75" s="4">
        <v>2.1587283017212001E-2</v>
      </c>
      <c r="V75" t="s">
        <v>1058</v>
      </c>
      <c r="W75" t="s">
        <v>1059</v>
      </c>
    </row>
    <row r="76" spans="1:23" x14ac:dyDescent="0.25">
      <c r="A76" t="s">
        <v>87</v>
      </c>
      <c r="B76" s="2">
        <v>45453</v>
      </c>
      <c r="C76" t="s">
        <v>548</v>
      </c>
      <c r="D76" t="s">
        <v>622</v>
      </c>
      <c r="E76" t="s">
        <v>537</v>
      </c>
      <c r="F76" t="s">
        <v>542</v>
      </c>
      <c r="G76" t="s">
        <v>546</v>
      </c>
      <c r="H76" t="s">
        <v>1042</v>
      </c>
      <c r="I76" s="3">
        <v>1391</v>
      </c>
      <c r="J76" s="4">
        <v>0.34</v>
      </c>
      <c r="K76" s="3">
        <v>918.06</v>
      </c>
      <c r="L76" s="3">
        <v>942.43</v>
      </c>
      <c r="M76" s="5">
        <v>1</v>
      </c>
      <c r="N76" s="3">
        <v>158</v>
      </c>
      <c r="O76" s="6">
        <v>0.39</v>
      </c>
      <c r="P76" s="3">
        <v>918.06</v>
      </c>
      <c r="Q76" s="3">
        <v>1100.4299999999998</v>
      </c>
      <c r="R76" s="3">
        <v>1100.4299999999998</v>
      </c>
      <c r="S76" s="3">
        <v>-182.36999999999989</v>
      </c>
      <c r="T76" s="4">
        <v>-0.19864714724527799</v>
      </c>
      <c r="U76" s="4">
        <v>-0.588647147245278</v>
      </c>
      <c r="V76" t="s">
        <v>1057</v>
      </c>
      <c r="W76" t="s">
        <v>1056</v>
      </c>
    </row>
    <row r="77" spans="1:23" x14ac:dyDescent="0.25">
      <c r="A77" t="s">
        <v>88</v>
      </c>
      <c r="B77" s="2">
        <v>45305</v>
      </c>
      <c r="C77" t="s">
        <v>550</v>
      </c>
      <c r="D77" t="s">
        <v>623</v>
      </c>
      <c r="E77" t="s">
        <v>537</v>
      </c>
      <c r="F77" t="s">
        <v>542</v>
      </c>
      <c r="G77" t="s">
        <v>546</v>
      </c>
      <c r="H77" t="s">
        <v>1044</v>
      </c>
      <c r="I77" s="3">
        <v>3692</v>
      </c>
      <c r="J77" s="4">
        <v>0.35</v>
      </c>
      <c r="K77" s="3">
        <v>2399.8000000000002</v>
      </c>
      <c r="L77" s="3">
        <v>2707.04</v>
      </c>
      <c r="M77" s="5">
        <v>2</v>
      </c>
      <c r="N77" s="3">
        <v>56</v>
      </c>
      <c r="O77" s="6">
        <v>0.38</v>
      </c>
      <c r="P77" s="3">
        <v>4799.6000000000004</v>
      </c>
      <c r="Q77" s="3">
        <v>2763.04</v>
      </c>
      <c r="R77" s="3">
        <v>5526.08</v>
      </c>
      <c r="S77" s="3">
        <v>-726.47999999999956</v>
      </c>
      <c r="T77" s="4">
        <v>-0.15136261355112901</v>
      </c>
      <c r="U77" s="4">
        <v>-0.53136261355112901</v>
      </c>
      <c r="V77" t="s">
        <v>1057</v>
      </c>
      <c r="W77" t="s">
        <v>1056</v>
      </c>
    </row>
    <row r="78" spans="1:23" x14ac:dyDescent="0.25">
      <c r="A78" t="s">
        <v>89</v>
      </c>
      <c r="B78" s="2">
        <v>45386</v>
      </c>
      <c r="C78" t="s">
        <v>547</v>
      </c>
      <c r="D78" t="s">
        <v>624</v>
      </c>
      <c r="E78" t="s">
        <v>536</v>
      </c>
      <c r="F78" t="s">
        <v>544</v>
      </c>
      <c r="G78" t="s">
        <v>546</v>
      </c>
      <c r="H78" t="s">
        <v>1044</v>
      </c>
      <c r="I78" s="3">
        <v>3903</v>
      </c>
      <c r="J78" s="4">
        <v>0.09</v>
      </c>
      <c r="K78" s="3">
        <v>3551.73</v>
      </c>
      <c r="L78" s="3">
        <v>2612.31</v>
      </c>
      <c r="M78" s="5">
        <v>2</v>
      </c>
      <c r="N78" s="3">
        <v>124</v>
      </c>
      <c r="O78" s="6">
        <v>0.35</v>
      </c>
      <c r="P78" s="3">
        <v>7103.46</v>
      </c>
      <c r="Q78" s="3">
        <v>2736.31</v>
      </c>
      <c r="R78" s="3">
        <v>5472.62</v>
      </c>
      <c r="S78" s="3">
        <v>1630.8400000000001</v>
      </c>
      <c r="T78" s="4">
        <v>0.22958389291978801</v>
      </c>
      <c r="U78" s="4">
        <v>-0.120416107080212</v>
      </c>
      <c r="V78" t="s">
        <v>1054</v>
      </c>
      <c r="W78" t="s">
        <v>1059</v>
      </c>
    </row>
    <row r="79" spans="1:23" x14ac:dyDescent="0.25">
      <c r="A79" t="s">
        <v>90</v>
      </c>
      <c r="B79" s="2">
        <v>45339</v>
      </c>
      <c r="C79" t="s">
        <v>550</v>
      </c>
      <c r="D79" t="s">
        <v>625</v>
      </c>
      <c r="E79" t="s">
        <v>537</v>
      </c>
      <c r="F79" t="s">
        <v>541</v>
      </c>
      <c r="G79" t="s">
        <v>546</v>
      </c>
      <c r="H79" t="s">
        <v>1044</v>
      </c>
      <c r="I79" s="3">
        <v>4547</v>
      </c>
      <c r="J79" s="4">
        <v>0.21</v>
      </c>
      <c r="K79" s="3">
        <v>3592.13</v>
      </c>
      <c r="L79" s="3">
        <v>2925.38</v>
      </c>
      <c r="M79" s="5">
        <v>3</v>
      </c>
      <c r="N79" s="3">
        <v>23</v>
      </c>
      <c r="O79" s="6">
        <v>0.34</v>
      </c>
      <c r="P79" s="3">
        <v>10776.39</v>
      </c>
      <c r="Q79" s="3">
        <v>2948.38</v>
      </c>
      <c r="R79" s="3">
        <v>8845.14</v>
      </c>
      <c r="S79" s="3">
        <v>1931.25</v>
      </c>
      <c r="T79" s="4">
        <v>0.179211220083906</v>
      </c>
      <c r="U79" s="4">
        <v>-0.160788779916094</v>
      </c>
      <c r="V79" t="s">
        <v>1054</v>
      </c>
      <c r="W79" t="s">
        <v>1056</v>
      </c>
    </row>
    <row r="80" spans="1:23" x14ac:dyDescent="0.25">
      <c r="A80" t="s">
        <v>91</v>
      </c>
      <c r="B80" s="2">
        <v>45306</v>
      </c>
      <c r="C80" t="s">
        <v>548</v>
      </c>
      <c r="D80" t="s">
        <v>626</v>
      </c>
      <c r="E80" t="s">
        <v>535</v>
      </c>
      <c r="F80" t="s">
        <v>538</v>
      </c>
      <c r="G80" t="s">
        <v>545</v>
      </c>
      <c r="H80" t="s">
        <v>1042</v>
      </c>
      <c r="I80" s="3">
        <v>7179</v>
      </c>
      <c r="J80" s="4">
        <v>0.27</v>
      </c>
      <c r="K80" s="3">
        <v>5240.67</v>
      </c>
      <c r="L80" s="3">
        <v>3371.31</v>
      </c>
      <c r="M80" s="5">
        <v>1</v>
      </c>
      <c r="N80" s="3">
        <v>24</v>
      </c>
      <c r="O80" s="6">
        <v>0.37</v>
      </c>
      <c r="P80" s="3">
        <v>5240.67</v>
      </c>
      <c r="Q80" s="3">
        <v>3395.31</v>
      </c>
      <c r="R80" s="3">
        <v>3395.31</v>
      </c>
      <c r="S80" s="3">
        <v>1845.3600000000001</v>
      </c>
      <c r="T80" s="4">
        <v>0.35212291558140502</v>
      </c>
      <c r="U80" s="4">
        <v>-1.7877084418595E-2</v>
      </c>
      <c r="V80" t="s">
        <v>1054</v>
      </c>
      <c r="W80" t="s">
        <v>1056</v>
      </c>
    </row>
    <row r="81" spans="1:23" x14ac:dyDescent="0.25">
      <c r="A81" t="s">
        <v>92</v>
      </c>
      <c r="B81" s="2">
        <v>45331</v>
      </c>
      <c r="C81" t="s">
        <v>549</v>
      </c>
      <c r="D81" t="s">
        <v>627</v>
      </c>
      <c r="E81" t="s">
        <v>537</v>
      </c>
      <c r="F81" t="s">
        <v>542</v>
      </c>
      <c r="G81" t="s">
        <v>546</v>
      </c>
      <c r="H81" t="s">
        <v>1042</v>
      </c>
      <c r="I81" s="3">
        <v>7087</v>
      </c>
      <c r="J81" s="4">
        <v>0.18</v>
      </c>
      <c r="K81" s="3">
        <v>5811.34</v>
      </c>
      <c r="L81" s="3">
        <v>4171.29</v>
      </c>
      <c r="M81" s="5">
        <v>2</v>
      </c>
      <c r="N81" s="3">
        <v>43</v>
      </c>
      <c r="O81" s="6">
        <v>0.28000000000000003</v>
      </c>
      <c r="P81" s="3">
        <v>11622.68</v>
      </c>
      <c r="Q81" s="3">
        <v>4214.29</v>
      </c>
      <c r="R81" s="3">
        <v>8428.58</v>
      </c>
      <c r="S81" s="3">
        <v>3194.1000000000004</v>
      </c>
      <c r="T81" s="4">
        <v>0.27481613534916199</v>
      </c>
      <c r="U81" s="4">
        <v>-5.18386465083803E-3</v>
      </c>
      <c r="V81" t="s">
        <v>1054</v>
      </c>
      <c r="W81" t="s">
        <v>1055</v>
      </c>
    </row>
    <row r="82" spans="1:23" x14ac:dyDescent="0.25">
      <c r="A82" t="s">
        <v>93</v>
      </c>
      <c r="B82" s="2">
        <v>45373</v>
      </c>
      <c r="C82" t="s">
        <v>549</v>
      </c>
      <c r="D82" t="s">
        <v>628</v>
      </c>
      <c r="E82" t="s">
        <v>535</v>
      </c>
      <c r="F82" t="s">
        <v>538</v>
      </c>
      <c r="G82" t="s">
        <v>545</v>
      </c>
      <c r="H82" t="s">
        <v>1044</v>
      </c>
      <c r="I82" s="3">
        <v>7256</v>
      </c>
      <c r="J82" s="4">
        <v>0.05</v>
      </c>
      <c r="K82" s="3">
        <v>6893.2</v>
      </c>
      <c r="L82" s="3">
        <v>3379.88</v>
      </c>
      <c r="M82" s="5">
        <v>1</v>
      </c>
      <c r="N82" s="3">
        <v>71</v>
      </c>
      <c r="O82" s="6">
        <v>0.36</v>
      </c>
      <c r="P82" s="3">
        <v>6893.2</v>
      </c>
      <c r="Q82" s="3">
        <v>3450.88</v>
      </c>
      <c r="R82" s="3">
        <v>3450.88</v>
      </c>
      <c r="S82" s="3">
        <v>3442.3199999999997</v>
      </c>
      <c r="T82" s="4">
        <v>0.49937909824174598</v>
      </c>
      <c r="U82" s="4">
        <v>0.13937909824174599</v>
      </c>
      <c r="V82" t="s">
        <v>1058</v>
      </c>
      <c r="W82" t="s">
        <v>1059</v>
      </c>
    </row>
    <row r="83" spans="1:23" x14ac:dyDescent="0.25">
      <c r="A83" t="s">
        <v>94</v>
      </c>
      <c r="B83" s="2">
        <v>45402</v>
      </c>
      <c r="C83" t="s">
        <v>550</v>
      </c>
      <c r="D83" t="s">
        <v>629</v>
      </c>
      <c r="E83" t="s">
        <v>536</v>
      </c>
      <c r="F83" t="s">
        <v>539</v>
      </c>
      <c r="G83" t="s">
        <v>546</v>
      </c>
      <c r="H83" t="s">
        <v>1044</v>
      </c>
      <c r="I83" s="3">
        <v>3480</v>
      </c>
      <c r="J83" s="4">
        <v>0.21</v>
      </c>
      <c r="K83" s="3">
        <v>2749.2</v>
      </c>
      <c r="L83" s="3">
        <v>2330.4899999999998</v>
      </c>
      <c r="M83" s="5">
        <v>3</v>
      </c>
      <c r="N83" s="3">
        <v>186</v>
      </c>
      <c r="O83" s="6">
        <v>0.36</v>
      </c>
      <c r="P83" s="3">
        <v>8247.5999999999985</v>
      </c>
      <c r="Q83" s="3">
        <v>2516.4899999999998</v>
      </c>
      <c r="R83" s="3">
        <v>7549.4699999999993</v>
      </c>
      <c r="S83" s="3">
        <v>698.1299999999992</v>
      </c>
      <c r="T83" s="4">
        <v>8.4646442601484004E-2</v>
      </c>
      <c r="U83" s="4">
        <v>-0.27535355739851602</v>
      </c>
      <c r="V83" t="s">
        <v>1054</v>
      </c>
      <c r="W83" t="s">
        <v>1056</v>
      </c>
    </row>
    <row r="84" spans="1:23" x14ac:dyDescent="0.25">
      <c r="A84" t="s">
        <v>95</v>
      </c>
      <c r="B84" s="2">
        <v>45344</v>
      </c>
      <c r="C84" t="s">
        <v>549</v>
      </c>
      <c r="D84" t="s">
        <v>630</v>
      </c>
      <c r="E84" t="s">
        <v>537</v>
      </c>
      <c r="F84" t="s">
        <v>543</v>
      </c>
      <c r="G84" t="s">
        <v>545</v>
      </c>
      <c r="H84" t="s">
        <v>1045</v>
      </c>
      <c r="I84" s="3">
        <v>7882</v>
      </c>
      <c r="J84" s="4">
        <v>0.13</v>
      </c>
      <c r="K84" s="3">
        <v>6857.34</v>
      </c>
      <c r="L84" s="3">
        <v>5699.49</v>
      </c>
      <c r="M84" s="5">
        <v>3</v>
      </c>
      <c r="N84" s="3">
        <v>82</v>
      </c>
      <c r="O84" s="6">
        <v>0.35</v>
      </c>
      <c r="P84" s="3">
        <v>20572.02</v>
      </c>
      <c r="Q84" s="3">
        <v>5781.49</v>
      </c>
      <c r="R84" s="3">
        <v>17344.47</v>
      </c>
      <c r="S84" s="3">
        <v>3227.5499999999993</v>
      </c>
      <c r="T84" s="4">
        <v>0.15689028107108599</v>
      </c>
      <c r="U84" s="4">
        <v>-0.19310971892891399</v>
      </c>
      <c r="V84" t="s">
        <v>1054</v>
      </c>
      <c r="W84" t="s">
        <v>1055</v>
      </c>
    </row>
    <row r="85" spans="1:23" x14ac:dyDescent="0.25">
      <c r="A85" t="s">
        <v>96</v>
      </c>
      <c r="B85" s="2">
        <v>45315</v>
      </c>
      <c r="C85" t="s">
        <v>547</v>
      </c>
      <c r="D85" t="s">
        <v>631</v>
      </c>
      <c r="E85" t="s">
        <v>536</v>
      </c>
      <c r="F85" t="s">
        <v>544</v>
      </c>
      <c r="G85" t="s">
        <v>545</v>
      </c>
      <c r="H85" t="s">
        <v>1044</v>
      </c>
      <c r="I85" s="3">
        <v>7597</v>
      </c>
      <c r="J85" s="4">
        <v>0.18</v>
      </c>
      <c r="K85" s="3">
        <v>6229.54</v>
      </c>
      <c r="L85" s="3">
        <v>5422.25</v>
      </c>
      <c r="M85" s="5">
        <v>3</v>
      </c>
      <c r="N85" s="3">
        <v>55</v>
      </c>
      <c r="O85" s="6">
        <v>0.43</v>
      </c>
      <c r="P85" s="3">
        <v>18688.62</v>
      </c>
      <c r="Q85" s="3">
        <v>5477.25</v>
      </c>
      <c r="R85" s="3">
        <v>16431.75</v>
      </c>
      <c r="S85" s="3">
        <v>2256.869999999999</v>
      </c>
      <c r="T85" s="4">
        <v>0.120761725584875</v>
      </c>
      <c r="U85" s="4">
        <v>-0.30923827441512503</v>
      </c>
      <c r="V85" t="s">
        <v>1054</v>
      </c>
      <c r="W85" t="s">
        <v>1055</v>
      </c>
    </row>
    <row r="86" spans="1:23" x14ac:dyDescent="0.25">
      <c r="A86" t="s">
        <v>97</v>
      </c>
      <c r="B86" s="2">
        <v>45445</v>
      </c>
      <c r="C86" t="s">
        <v>549</v>
      </c>
      <c r="D86" t="s">
        <v>632</v>
      </c>
      <c r="E86" t="s">
        <v>535</v>
      </c>
      <c r="F86" t="s">
        <v>540</v>
      </c>
      <c r="G86" t="s">
        <v>546</v>
      </c>
      <c r="H86" t="s">
        <v>1042</v>
      </c>
      <c r="I86" s="3">
        <v>7877</v>
      </c>
      <c r="J86" s="4">
        <v>0.3</v>
      </c>
      <c r="K86" s="3">
        <v>5513.9</v>
      </c>
      <c r="L86" s="3">
        <v>4089.51</v>
      </c>
      <c r="M86" s="5">
        <v>2</v>
      </c>
      <c r="N86" s="3">
        <v>119</v>
      </c>
      <c r="O86" s="6">
        <v>0.28999999999999998</v>
      </c>
      <c r="P86" s="3">
        <v>11027.8</v>
      </c>
      <c r="Q86" s="3">
        <v>4208.51</v>
      </c>
      <c r="R86" s="3">
        <v>8417.02</v>
      </c>
      <c r="S86" s="3">
        <v>2610.7799999999988</v>
      </c>
      <c r="T86" s="4">
        <v>0.23674531638223401</v>
      </c>
      <c r="U86" s="4">
        <v>-5.3254683617766002E-2</v>
      </c>
      <c r="V86" t="s">
        <v>1054</v>
      </c>
      <c r="W86" t="s">
        <v>1056</v>
      </c>
    </row>
    <row r="87" spans="1:23" x14ac:dyDescent="0.25">
      <c r="A87" t="s">
        <v>98</v>
      </c>
      <c r="B87" s="2">
        <v>45415</v>
      </c>
      <c r="C87" t="s">
        <v>547</v>
      </c>
      <c r="D87" t="s">
        <v>633</v>
      </c>
      <c r="E87" t="s">
        <v>537</v>
      </c>
      <c r="F87" t="s">
        <v>542</v>
      </c>
      <c r="G87" t="s">
        <v>545</v>
      </c>
      <c r="H87" t="s">
        <v>1042</v>
      </c>
      <c r="I87" s="3">
        <v>3895</v>
      </c>
      <c r="J87" s="4">
        <v>0.28999999999999998</v>
      </c>
      <c r="K87" s="3">
        <v>2765.45</v>
      </c>
      <c r="L87" s="3">
        <v>2488.65</v>
      </c>
      <c r="M87" s="5">
        <v>1</v>
      </c>
      <c r="N87" s="3">
        <v>186</v>
      </c>
      <c r="O87" s="6">
        <v>0.44</v>
      </c>
      <c r="P87" s="3">
        <v>2765.45</v>
      </c>
      <c r="Q87" s="3">
        <v>2674.65</v>
      </c>
      <c r="R87" s="3">
        <v>2674.65</v>
      </c>
      <c r="S87" s="3">
        <v>90.799999999999727</v>
      </c>
      <c r="T87" s="4">
        <v>3.2833716031748797E-2</v>
      </c>
      <c r="U87" s="4">
        <v>-0.407166283968251</v>
      </c>
      <c r="V87" t="s">
        <v>1054</v>
      </c>
      <c r="W87" t="s">
        <v>1056</v>
      </c>
    </row>
    <row r="88" spans="1:23" x14ac:dyDescent="0.25">
      <c r="A88" t="s">
        <v>99</v>
      </c>
      <c r="B88" s="2">
        <v>45332</v>
      </c>
      <c r="C88" t="s">
        <v>548</v>
      </c>
      <c r="D88" t="s">
        <v>634</v>
      </c>
      <c r="E88" t="s">
        <v>535</v>
      </c>
      <c r="F88" t="s">
        <v>540</v>
      </c>
      <c r="G88" t="s">
        <v>546</v>
      </c>
      <c r="H88" t="s">
        <v>1043</v>
      </c>
      <c r="I88" s="3">
        <v>899</v>
      </c>
      <c r="J88" s="4">
        <v>0.26</v>
      </c>
      <c r="K88" s="3">
        <v>665.26</v>
      </c>
      <c r="L88" s="3">
        <v>446.06</v>
      </c>
      <c r="M88" s="5">
        <v>3</v>
      </c>
      <c r="N88" s="3">
        <v>169</v>
      </c>
      <c r="O88" s="6">
        <v>0.32</v>
      </c>
      <c r="P88" s="3">
        <v>1995.78</v>
      </c>
      <c r="Q88" s="3">
        <v>615.05999999999995</v>
      </c>
      <c r="R88" s="3">
        <v>1845.1799999999998</v>
      </c>
      <c r="S88" s="3">
        <v>150.60000000000014</v>
      </c>
      <c r="T88" s="4">
        <v>7.5459218951988802E-2</v>
      </c>
      <c r="U88" s="4">
        <v>-0.244540781048011</v>
      </c>
      <c r="V88" t="s">
        <v>1054</v>
      </c>
      <c r="W88" t="s">
        <v>1056</v>
      </c>
    </row>
    <row r="89" spans="1:23" x14ac:dyDescent="0.25">
      <c r="A89" t="s">
        <v>100</v>
      </c>
      <c r="B89" s="2">
        <v>45448</v>
      </c>
      <c r="C89" t="s">
        <v>547</v>
      </c>
      <c r="D89" t="s">
        <v>635</v>
      </c>
      <c r="E89" t="s">
        <v>535</v>
      </c>
      <c r="F89" t="s">
        <v>540</v>
      </c>
      <c r="G89" t="s">
        <v>546</v>
      </c>
      <c r="H89" t="s">
        <v>1043</v>
      </c>
      <c r="I89" s="3">
        <v>1430</v>
      </c>
      <c r="J89" s="4">
        <v>0.08</v>
      </c>
      <c r="K89" s="3">
        <v>1315.6</v>
      </c>
      <c r="L89" s="3">
        <v>1019.93</v>
      </c>
      <c r="M89" s="5">
        <v>3</v>
      </c>
      <c r="N89" s="3">
        <v>76</v>
      </c>
      <c r="O89" s="6">
        <v>0.3</v>
      </c>
      <c r="P89" s="3">
        <v>3946.7999999999997</v>
      </c>
      <c r="Q89" s="3">
        <v>1095.9299999999998</v>
      </c>
      <c r="R89" s="3">
        <v>3287.7899999999995</v>
      </c>
      <c r="S89" s="3">
        <v>659.01000000000022</v>
      </c>
      <c r="T89" s="4">
        <v>0.166973244147157</v>
      </c>
      <c r="U89" s="4">
        <v>-0.13302675585284299</v>
      </c>
      <c r="V89" t="s">
        <v>1054</v>
      </c>
      <c r="W89" t="s">
        <v>1059</v>
      </c>
    </row>
    <row r="90" spans="1:23" x14ac:dyDescent="0.25">
      <c r="A90" t="s">
        <v>101</v>
      </c>
      <c r="B90" s="2">
        <v>45306</v>
      </c>
      <c r="C90" t="s">
        <v>550</v>
      </c>
      <c r="D90" t="s">
        <v>636</v>
      </c>
      <c r="E90" t="s">
        <v>536</v>
      </c>
      <c r="F90" t="s">
        <v>539</v>
      </c>
      <c r="G90" t="s">
        <v>545</v>
      </c>
      <c r="H90" t="s">
        <v>1045</v>
      </c>
      <c r="I90" s="3">
        <v>5632</v>
      </c>
      <c r="J90" s="4">
        <v>0.25</v>
      </c>
      <c r="K90" s="3">
        <v>4224</v>
      </c>
      <c r="L90" s="3">
        <v>3465.13</v>
      </c>
      <c r="M90" s="5">
        <v>2</v>
      </c>
      <c r="N90" s="3">
        <v>196</v>
      </c>
      <c r="O90" s="6">
        <v>0.35</v>
      </c>
      <c r="P90" s="3">
        <v>8448</v>
      </c>
      <c r="Q90" s="3">
        <v>3661.13</v>
      </c>
      <c r="R90" s="3">
        <v>7322.26</v>
      </c>
      <c r="S90" s="3">
        <v>1125.7399999999998</v>
      </c>
      <c r="T90" s="4">
        <v>0.13325520833333299</v>
      </c>
      <c r="U90" s="4">
        <v>-0.21674479166666699</v>
      </c>
      <c r="V90" t="s">
        <v>1054</v>
      </c>
      <c r="W90" t="s">
        <v>1056</v>
      </c>
    </row>
    <row r="91" spans="1:23" x14ac:dyDescent="0.25">
      <c r="A91" t="s">
        <v>102</v>
      </c>
      <c r="B91" s="2">
        <v>45336</v>
      </c>
      <c r="C91" t="s">
        <v>549</v>
      </c>
      <c r="D91" t="s">
        <v>637</v>
      </c>
      <c r="E91" t="s">
        <v>536</v>
      </c>
      <c r="F91" t="s">
        <v>539</v>
      </c>
      <c r="G91" t="s">
        <v>546</v>
      </c>
      <c r="H91" t="s">
        <v>1043</v>
      </c>
      <c r="I91" s="3">
        <v>86</v>
      </c>
      <c r="J91" s="4">
        <v>0.12</v>
      </c>
      <c r="K91" s="3">
        <v>75.680000000000007</v>
      </c>
      <c r="L91" s="3">
        <v>56.33</v>
      </c>
      <c r="M91" s="5">
        <v>2</v>
      </c>
      <c r="N91" s="3">
        <v>90</v>
      </c>
      <c r="O91" s="6">
        <v>0.36</v>
      </c>
      <c r="P91" s="3">
        <v>151.36000000000001</v>
      </c>
      <c r="Q91" s="3">
        <v>146.32999999999998</v>
      </c>
      <c r="R91" s="3">
        <v>292.65999999999997</v>
      </c>
      <c r="S91" s="3">
        <v>-141.29999999999995</v>
      </c>
      <c r="T91" s="4">
        <v>-0.93353594080338198</v>
      </c>
      <c r="U91" s="4">
        <v>-1.29353594080338</v>
      </c>
      <c r="V91" t="s">
        <v>1057</v>
      </c>
      <c r="W91" t="s">
        <v>1055</v>
      </c>
    </row>
    <row r="92" spans="1:23" x14ac:dyDescent="0.25">
      <c r="A92" t="s">
        <v>103</v>
      </c>
      <c r="B92" s="2">
        <v>45356</v>
      </c>
      <c r="C92" t="s">
        <v>548</v>
      </c>
      <c r="D92" t="s">
        <v>638</v>
      </c>
      <c r="E92" t="s">
        <v>537</v>
      </c>
      <c r="F92" t="s">
        <v>542</v>
      </c>
      <c r="G92" t="s">
        <v>545</v>
      </c>
      <c r="H92" t="s">
        <v>1042</v>
      </c>
      <c r="I92" s="3">
        <v>3161</v>
      </c>
      <c r="J92" s="4">
        <v>0.25</v>
      </c>
      <c r="K92" s="3">
        <v>2370.75</v>
      </c>
      <c r="L92" s="3">
        <v>1958.93</v>
      </c>
      <c r="M92" s="5">
        <v>2</v>
      </c>
      <c r="N92" s="3">
        <v>42</v>
      </c>
      <c r="O92" s="6">
        <v>0.37</v>
      </c>
      <c r="P92" s="3">
        <v>4741.5</v>
      </c>
      <c r="Q92" s="3">
        <v>2000.93</v>
      </c>
      <c r="R92" s="3">
        <v>4001.86</v>
      </c>
      <c r="S92" s="3">
        <v>739.63999999999987</v>
      </c>
      <c r="T92" s="4">
        <v>0.15599282927343699</v>
      </c>
      <c r="U92" s="4">
        <v>-0.214007170726563</v>
      </c>
      <c r="V92" t="s">
        <v>1054</v>
      </c>
      <c r="W92" t="s">
        <v>1056</v>
      </c>
    </row>
    <row r="93" spans="1:23" x14ac:dyDescent="0.25">
      <c r="A93" t="s">
        <v>104</v>
      </c>
      <c r="B93" s="2">
        <v>45380</v>
      </c>
      <c r="C93" t="s">
        <v>548</v>
      </c>
      <c r="D93" t="s">
        <v>639</v>
      </c>
      <c r="E93" t="s">
        <v>535</v>
      </c>
      <c r="F93" t="s">
        <v>540</v>
      </c>
      <c r="G93" t="s">
        <v>546</v>
      </c>
      <c r="H93" t="s">
        <v>1045</v>
      </c>
      <c r="I93" s="3">
        <v>412</v>
      </c>
      <c r="J93" s="4">
        <v>0.12</v>
      </c>
      <c r="K93" s="3">
        <v>362.56</v>
      </c>
      <c r="L93" s="3">
        <v>300.36</v>
      </c>
      <c r="M93" s="5">
        <v>3</v>
      </c>
      <c r="N93" s="3">
        <v>109</v>
      </c>
      <c r="O93" s="6">
        <v>0.4</v>
      </c>
      <c r="P93" s="3">
        <v>1087.68</v>
      </c>
      <c r="Q93" s="3">
        <v>409.36</v>
      </c>
      <c r="R93" s="3">
        <v>1228.08</v>
      </c>
      <c r="S93" s="3">
        <v>-140.39999999999986</v>
      </c>
      <c r="T93" s="4">
        <v>-0.12908208296557799</v>
      </c>
      <c r="U93" s="4">
        <v>-0.52908208296557802</v>
      </c>
      <c r="V93" t="s">
        <v>1057</v>
      </c>
      <c r="W93" t="s">
        <v>1055</v>
      </c>
    </row>
    <row r="94" spans="1:23" x14ac:dyDescent="0.25">
      <c r="A94" t="s">
        <v>105</v>
      </c>
      <c r="B94" s="2">
        <v>45362</v>
      </c>
      <c r="C94" t="s">
        <v>548</v>
      </c>
      <c r="D94" t="s">
        <v>640</v>
      </c>
      <c r="E94" t="s">
        <v>536</v>
      </c>
      <c r="F94" t="s">
        <v>539</v>
      </c>
      <c r="G94" t="s">
        <v>545</v>
      </c>
      <c r="H94" t="s">
        <v>1045</v>
      </c>
      <c r="I94" s="3">
        <v>5200</v>
      </c>
      <c r="J94" s="4">
        <v>0.3</v>
      </c>
      <c r="K94" s="3">
        <v>3640</v>
      </c>
      <c r="L94" s="3">
        <v>2541.04</v>
      </c>
      <c r="M94" s="5">
        <v>1</v>
      </c>
      <c r="N94" s="3">
        <v>116</v>
      </c>
      <c r="O94" s="6">
        <v>0.41</v>
      </c>
      <c r="P94" s="3">
        <v>3640</v>
      </c>
      <c r="Q94" s="3">
        <v>2657.04</v>
      </c>
      <c r="R94" s="3">
        <v>2657.04</v>
      </c>
      <c r="S94" s="3">
        <v>982.96</v>
      </c>
      <c r="T94" s="4">
        <v>0.27004395604395598</v>
      </c>
      <c r="U94" s="4">
        <v>-0.139956043956044</v>
      </c>
      <c r="V94" t="s">
        <v>1054</v>
      </c>
      <c r="W94" t="s">
        <v>1056</v>
      </c>
    </row>
    <row r="95" spans="1:23" x14ac:dyDescent="0.25">
      <c r="A95" t="s">
        <v>106</v>
      </c>
      <c r="B95" s="2">
        <v>45300</v>
      </c>
      <c r="C95" t="s">
        <v>547</v>
      </c>
      <c r="D95" t="s">
        <v>641</v>
      </c>
      <c r="E95" t="s">
        <v>537</v>
      </c>
      <c r="F95" t="s">
        <v>543</v>
      </c>
      <c r="G95" t="s">
        <v>546</v>
      </c>
      <c r="H95" t="s">
        <v>1044</v>
      </c>
      <c r="I95" s="3">
        <v>2035</v>
      </c>
      <c r="J95" s="4">
        <v>0.14000000000000001</v>
      </c>
      <c r="K95" s="3">
        <v>1750.1</v>
      </c>
      <c r="L95" s="3">
        <v>1292.3800000000001</v>
      </c>
      <c r="M95" s="5">
        <v>1</v>
      </c>
      <c r="N95" s="3">
        <v>122</v>
      </c>
      <c r="O95" s="6">
        <v>0.39</v>
      </c>
      <c r="P95" s="3">
        <v>1750.1</v>
      </c>
      <c r="Q95" s="3">
        <v>1414.38</v>
      </c>
      <c r="R95" s="3">
        <v>1414.38</v>
      </c>
      <c r="S95" s="3">
        <v>335.7199999999998</v>
      </c>
      <c r="T95" s="4">
        <v>0.191829038340666</v>
      </c>
      <c r="U95" s="4">
        <v>-0.19817096165933401</v>
      </c>
      <c r="V95" t="s">
        <v>1054</v>
      </c>
      <c r="W95" t="s">
        <v>1055</v>
      </c>
    </row>
    <row r="96" spans="1:23" x14ac:dyDescent="0.25">
      <c r="A96" t="s">
        <v>107</v>
      </c>
      <c r="B96" s="2">
        <v>45379</v>
      </c>
      <c r="C96" t="s">
        <v>548</v>
      </c>
      <c r="D96" t="s">
        <v>642</v>
      </c>
      <c r="E96" t="s">
        <v>537</v>
      </c>
      <c r="F96" t="s">
        <v>542</v>
      </c>
      <c r="G96" t="s">
        <v>546</v>
      </c>
      <c r="H96" t="s">
        <v>1044</v>
      </c>
      <c r="I96" s="3">
        <v>6607</v>
      </c>
      <c r="J96" s="4">
        <v>0.06</v>
      </c>
      <c r="K96" s="3">
        <v>6210.58</v>
      </c>
      <c r="L96" s="3">
        <v>3829.89</v>
      </c>
      <c r="M96" s="5">
        <v>3</v>
      </c>
      <c r="N96" s="3">
        <v>72</v>
      </c>
      <c r="O96" s="6">
        <v>0.44</v>
      </c>
      <c r="P96" s="3">
        <v>18631.739999999998</v>
      </c>
      <c r="Q96" s="3">
        <v>3901.89</v>
      </c>
      <c r="R96" s="3">
        <v>11705.67</v>
      </c>
      <c r="S96" s="3">
        <v>6926.0699999999979</v>
      </c>
      <c r="T96" s="4">
        <v>0.37173500703638002</v>
      </c>
      <c r="U96" s="4">
        <v>-6.826499296362E-2</v>
      </c>
      <c r="V96" t="s">
        <v>1054</v>
      </c>
      <c r="W96" t="s">
        <v>1059</v>
      </c>
    </row>
    <row r="97" spans="1:23" x14ac:dyDescent="0.25">
      <c r="A97" t="s">
        <v>108</v>
      </c>
      <c r="B97" s="2">
        <v>45420</v>
      </c>
      <c r="C97" t="s">
        <v>549</v>
      </c>
      <c r="D97" t="s">
        <v>643</v>
      </c>
      <c r="E97" t="s">
        <v>537</v>
      </c>
      <c r="F97" t="s">
        <v>541</v>
      </c>
      <c r="G97" t="s">
        <v>545</v>
      </c>
      <c r="H97" t="s">
        <v>1043</v>
      </c>
      <c r="I97" s="3">
        <v>6594</v>
      </c>
      <c r="J97" s="4">
        <v>0.22</v>
      </c>
      <c r="K97" s="3">
        <v>5143.32</v>
      </c>
      <c r="L97" s="3">
        <v>3651.53</v>
      </c>
      <c r="M97" s="5">
        <v>3</v>
      </c>
      <c r="N97" s="3">
        <v>129</v>
      </c>
      <c r="O97" s="6">
        <v>0.42</v>
      </c>
      <c r="P97" s="3">
        <v>15429.96</v>
      </c>
      <c r="Q97" s="3">
        <v>3780.53</v>
      </c>
      <c r="R97" s="3">
        <v>11341.59</v>
      </c>
      <c r="S97" s="3">
        <v>4088.369999999999</v>
      </c>
      <c r="T97" s="4">
        <v>0.26496309776564497</v>
      </c>
      <c r="U97" s="4">
        <v>-0.15503690223435501</v>
      </c>
      <c r="V97" t="s">
        <v>1054</v>
      </c>
      <c r="W97" t="s">
        <v>1056</v>
      </c>
    </row>
    <row r="98" spans="1:23" x14ac:dyDescent="0.25">
      <c r="A98" t="s">
        <v>109</v>
      </c>
      <c r="B98" s="2">
        <v>45427</v>
      </c>
      <c r="C98" t="s">
        <v>549</v>
      </c>
      <c r="D98" t="s">
        <v>644</v>
      </c>
      <c r="E98" t="s">
        <v>536</v>
      </c>
      <c r="F98" t="s">
        <v>539</v>
      </c>
      <c r="G98" t="s">
        <v>545</v>
      </c>
      <c r="H98" t="s">
        <v>1044</v>
      </c>
      <c r="I98" s="3">
        <v>5093</v>
      </c>
      <c r="J98" s="4">
        <v>0.28000000000000003</v>
      </c>
      <c r="K98" s="3">
        <v>3666.96</v>
      </c>
      <c r="L98" s="3">
        <v>2329.42</v>
      </c>
      <c r="M98" s="5">
        <v>1</v>
      </c>
      <c r="N98" s="3">
        <v>148</v>
      </c>
      <c r="O98" s="6">
        <v>0.34</v>
      </c>
      <c r="P98" s="3">
        <v>3666.96</v>
      </c>
      <c r="Q98" s="3">
        <v>2477.42</v>
      </c>
      <c r="R98" s="3">
        <v>2477.42</v>
      </c>
      <c r="S98" s="3">
        <v>1189.54</v>
      </c>
      <c r="T98" s="4">
        <v>0.32439404847612202</v>
      </c>
      <c r="U98" s="4">
        <v>-1.5605951523878E-2</v>
      </c>
      <c r="V98" t="s">
        <v>1054</v>
      </c>
      <c r="W98" t="s">
        <v>1056</v>
      </c>
    </row>
    <row r="99" spans="1:23" x14ac:dyDescent="0.25">
      <c r="A99" t="s">
        <v>110</v>
      </c>
      <c r="B99" s="2">
        <v>45354</v>
      </c>
      <c r="C99" t="s">
        <v>550</v>
      </c>
      <c r="D99" t="s">
        <v>645</v>
      </c>
      <c r="E99" t="s">
        <v>536</v>
      </c>
      <c r="F99" t="s">
        <v>539</v>
      </c>
      <c r="G99" t="s">
        <v>546</v>
      </c>
      <c r="H99" t="s">
        <v>1043</v>
      </c>
      <c r="I99" s="3">
        <v>1503</v>
      </c>
      <c r="J99" s="4">
        <v>0.19</v>
      </c>
      <c r="K99" s="3">
        <v>1217.43</v>
      </c>
      <c r="L99" s="3">
        <v>1102.1400000000001</v>
      </c>
      <c r="M99" s="5">
        <v>1</v>
      </c>
      <c r="N99" s="3">
        <v>108</v>
      </c>
      <c r="O99" s="6">
        <v>0.43</v>
      </c>
      <c r="P99" s="3">
        <v>1217.43</v>
      </c>
      <c r="Q99" s="3">
        <v>1210.1400000000001</v>
      </c>
      <c r="R99" s="3">
        <v>1210.1400000000001</v>
      </c>
      <c r="S99" s="3">
        <v>7.2899999999999636</v>
      </c>
      <c r="T99" s="4">
        <v>5.9880239520957801E-3</v>
      </c>
      <c r="U99" s="4">
        <v>-0.42401197604790403</v>
      </c>
      <c r="V99" t="s">
        <v>1054</v>
      </c>
      <c r="W99" t="s">
        <v>1055</v>
      </c>
    </row>
    <row r="100" spans="1:23" x14ac:dyDescent="0.25">
      <c r="A100" t="s">
        <v>111</v>
      </c>
      <c r="B100" s="2">
        <v>45430</v>
      </c>
      <c r="C100" t="s">
        <v>547</v>
      </c>
      <c r="D100" t="s">
        <v>646</v>
      </c>
      <c r="E100" t="s">
        <v>536</v>
      </c>
      <c r="F100" t="s">
        <v>539</v>
      </c>
      <c r="G100" t="s">
        <v>546</v>
      </c>
      <c r="H100" t="s">
        <v>1042</v>
      </c>
      <c r="I100" s="3">
        <v>3251</v>
      </c>
      <c r="J100" s="4">
        <v>0.28000000000000003</v>
      </c>
      <c r="K100" s="3">
        <v>2340.7199999999998</v>
      </c>
      <c r="L100" s="3">
        <v>1687.32</v>
      </c>
      <c r="M100" s="5">
        <v>3</v>
      </c>
      <c r="N100" s="3">
        <v>36</v>
      </c>
      <c r="O100" s="6">
        <v>0.44</v>
      </c>
      <c r="P100" s="3">
        <v>7022.16</v>
      </c>
      <c r="Q100" s="3">
        <v>1723.32</v>
      </c>
      <c r="R100" s="3">
        <v>5169.96</v>
      </c>
      <c r="S100" s="3">
        <v>1852.1999999999998</v>
      </c>
      <c r="T100" s="4">
        <v>0.26376499538603498</v>
      </c>
      <c r="U100" s="4">
        <v>-0.17623500461396499</v>
      </c>
      <c r="V100" t="s">
        <v>1054</v>
      </c>
      <c r="W100" t="s">
        <v>1056</v>
      </c>
    </row>
    <row r="101" spans="1:23" x14ac:dyDescent="0.25">
      <c r="A101" t="s">
        <v>112</v>
      </c>
      <c r="B101" s="2">
        <v>45372</v>
      </c>
      <c r="C101" t="s">
        <v>548</v>
      </c>
      <c r="D101" t="s">
        <v>647</v>
      </c>
      <c r="E101" t="s">
        <v>535</v>
      </c>
      <c r="F101" t="s">
        <v>540</v>
      </c>
      <c r="G101" t="s">
        <v>546</v>
      </c>
      <c r="H101" t="s">
        <v>1044</v>
      </c>
      <c r="I101" s="3">
        <v>4229</v>
      </c>
      <c r="J101" s="4">
        <v>0.17</v>
      </c>
      <c r="K101" s="3">
        <v>3510.07</v>
      </c>
      <c r="L101" s="3">
        <v>2250.9499999999998</v>
      </c>
      <c r="M101" s="5">
        <v>3</v>
      </c>
      <c r="N101" s="3">
        <v>140</v>
      </c>
      <c r="O101" s="6">
        <v>0.35</v>
      </c>
      <c r="P101" s="3">
        <v>10530.210000000001</v>
      </c>
      <c r="Q101" s="3">
        <v>2390.9499999999998</v>
      </c>
      <c r="R101" s="3">
        <v>7172.8499999999995</v>
      </c>
      <c r="S101" s="3">
        <v>3357.3600000000015</v>
      </c>
      <c r="T101" s="4">
        <v>0.31883124837966198</v>
      </c>
      <c r="U101" s="4">
        <v>-3.1168751620338001E-2</v>
      </c>
      <c r="V101" t="s">
        <v>1054</v>
      </c>
      <c r="W101" t="s">
        <v>1055</v>
      </c>
    </row>
    <row r="102" spans="1:23" x14ac:dyDescent="0.25">
      <c r="A102" t="s">
        <v>113</v>
      </c>
      <c r="B102" s="2">
        <v>45427</v>
      </c>
      <c r="C102" t="s">
        <v>550</v>
      </c>
      <c r="D102" t="s">
        <v>648</v>
      </c>
      <c r="E102" t="s">
        <v>537</v>
      </c>
      <c r="F102" t="s">
        <v>541</v>
      </c>
      <c r="G102" t="s">
        <v>546</v>
      </c>
      <c r="H102" t="s">
        <v>1042</v>
      </c>
      <c r="I102" s="3">
        <v>3106</v>
      </c>
      <c r="J102" s="4">
        <v>0.25</v>
      </c>
      <c r="K102" s="3">
        <v>2329.5</v>
      </c>
      <c r="L102" s="3">
        <v>1741.09</v>
      </c>
      <c r="M102" s="5">
        <v>3</v>
      </c>
      <c r="N102" s="3">
        <v>24</v>
      </c>
      <c r="O102" s="6">
        <v>0.44</v>
      </c>
      <c r="P102" s="3">
        <v>6988.5</v>
      </c>
      <c r="Q102" s="3">
        <v>1765.09</v>
      </c>
      <c r="R102" s="3">
        <v>5295.2699999999995</v>
      </c>
      <c r="S102" s="3">
        <v>1693.2300000000005</v>
      </c>
      <c r="T102" s="4">
        <v>0.24228804464477399</v>
      </c>
      <c r="U102" s="4">
        <v>-0.19771195535522601</v>
      </c>
      <c r="V102" t="s">
        <v>1054</v>
      </c>
      <c r="W102" t="s">
        <v>1056</v>
      </c>
    </row>
    <row r="103" spans="1:23" x14ac:dyDescent="0.25">
      <c r="A103" t="s">
        <v>114</v>
      </c>
      <c r="B103" s="2">
        <v>45454</v>
      </c>
      <c r="C103" t="s">
        <v>547</v>
      </c>
      <c r="D103" t="s">
        <v>649</v>
      </c>
      <c r="E103" t="s">
        <v>535</v>
      </c>
      <c r="F103" t="s">
        <v>540</v>
      </c>
      <c r="G103" t="s">
        <v>545</v>
      </c>
      <c r="H103" t="s">
        <v>1044</v>
      </c>
      <c r="I103" s="3">
        <v>1100</v>
      </c>
      <c r="J103" s="4">
        <v>0.3</v>
      </c>
      <c r="K103" s="3">
        <v>770</v>
      </c>
      <c r="L103" s="3">
        <v>746.14</v>
      </c>
      <c r="M103" s="5">
        <v>1</v>
      </c>
      <c r="N103" s="3">
        <v>140</v>
      </c>
      <c r="O103" s="6">
        <v>0.3</v>
      </c>
      <c r="P103" s="3">
        <v>770</v>
      </c>
      <c r="Q103" s="3">
        <v>886.14</v>
      </c>
      <c r="R103" s="3">
        <v>886.14</v>
      </c>
      <c r="S103" s="3">
        <v>-116.13999999999999</v>
      </c>
      <c r="T103" s="4">
        <v>-0.15083116883116901</v>
      </c>
      <c r="U103" s="4">
        <v>-0.45083116883116903</v>
      </c>
      <c r="V103" t="s">
        <v>1054</v>
      </c>
      <c r="W103" t="s">
        <v>1056</v>
      </c>
    </row>
    <row r="104" spans="1:23" x14ac:dyDescent="0.25">
      <c r="A104" t="s">
        <v>115</v>
      </c>
      <c r="B104" s="2">
        <v>45454</v>
      </c>
      <c r="C104" t="s">
        <v>549</v>
      </c>
      <c r="D104" t="s">
        <v>650</v>
      </c>
      <c r="E104" t="s">
        <v>537</v>
      </c>
      <c r="F104" t="s">
        <v>541</v>
      </c>
      <c r="G104" t="s">
        <v>545</v>
      </c>
      <c r="H104" t="s">
        <v>1045</v>
      </c>
      <c r="I104" s="3">
        <v>6927</v>
      </c>
      <c r="J104" s="4">
        <v>0.09</v>
      </c>
      <c r="K104" s="3">
        <v>6303.57</v>
      </c>
      <c r="L104" s="3">
        <v>3377.3</v>
      </c>
      <c r="M104" s="5">
        <v>1</v>
      </c>
      <c r="N104" s="3">
        <v>93</v>
      </c>
      <c r="O104" s="6">
        <v>0.31</v>
      </c>
      <c r="P104" s="3">
        <v>6303.57</v>
      </c>
      <c r="Q104" s="3">
        <v>3470.3</v>
      </c>
      <c r="R104" s="3">
        <v>3470.3</v>
      </c>
      <c r="S104" s="3">
        <v>2833.2699999999995</v>
      </c>
      <c r="T104" s="4">
        <v>0.449470696763897</v>
      </c>
      <c r="U104" s="4">
        <v>0.13947069676389701</v>
      </c>
      <c r="V104" t="s">
        <v>1058</v>
      </c>
      <c r="W104" t="s">
        <v>1059</v>
      </c>
    </row>
    <row r="105" spans="1:23" x14ac:dyDescent="0.25">
      <c r="A105" t="s">
        <v>116</v>
      </c>
      <c r="B105" s="2">
        <v>45324</v>
      </c>
      <c r="C105" t="s">
        <v>547</v>
      </c>
      <c r="D105" t="s">
        <v>651</v>
      </c>
      <c r="E105" t="s">
        <v>537</v>
      </c>
      <c r="F105" t="s">
        <v>543</v>
      </c>
      <c r="G105" t="s">
        <v>546</v>
      </c>
      <c r="H105" t="s">
        <v>1042</v>
      </c>
      <c r="I105" s="3">
        <v>633</v>
      </c>
      <c r="J105" s="4">
        <v>0.14000000000000001</v>
      </c>
      <c r="K105" s="3">
        <v>544.38</v>
      </c>
      <c r="L105" s="3">
        <v>371.3</v>
      </c>
      <c r="M105" s="5">
        <v>1</v>
      </c>
      <c r="N105" s="3">
        <v>81</v>
      </c>
      <c r="O105" s="6">
        <v>0.28999999999999998</v>
      </c>
      <c r="P105" s="3">
        <v>544.38</v>
      </c>
      <c r="Q105" s="3">
        <v>452.3</v>
      </c>
      <c r="R105" s="3">
        <v>452.3</v>
      </c>
      <c r="S105" s="3">
        <v>92.079999999999984</v>
      </c>
      <c r="T105" s="4">
        <v>0.16914655204085399</v>
      </c>
      <c r="U105" s="4">
        <v>-0.120853447959146</v>
      </c>
      <c r="V105" t="s">
        <v>1054</v>
      </c>
      <c r="W105" t="s">
        <v>1055</v>
      </c>
    </row>
    <row r="106" spans="1:23" x14ac:dyDescent="0.25">
      <c r="A106" t="s">
        <v>117</v>
      </c>
      <c r="B106" s="2">
        <v>45414</v>
      </c>
      <c r="C106" t="s">
        <v>548</v>
      </c>
      <c r="D106" t="s">
        <v>652</v>
      </c>
      <c r="E106" t="s">
        <v>537</v>
      </c>
      <c r="F106" t="s">
        <v>543</v>
      </c>
      <c r="G106" t="s">
        <v>545</v>
      </c>
      <c r="H106" t="s">
        <v>1042</v>
      </c>
      <c r="I106" s="3">
        <v>6204</v>
      </c>
      <c r="J106" s="4">
        <v>0.26</v>
      </c>
      <c r="K106" s="3">
        <v>4590.96</v>
      </c>
      <c r="L106" s="3">
        <v>4392.66</v>
      </c>
      <c r="M106" s="5">
        <v>1</v>
      </c>
      <c r="N106" s="3">
        <v>111</v>
      </c>
      <c r="O106" s="6">
        <v>0.28999999999999998</v>
      </c>
      <c r="P106" s="3">
        <v>4590.96</v>
      </c>
      <c r="Q106" s="3">
        <v>4503.66</v>
      </c>
      <c r="R106" s="3">
        <v>4503.66</v>
      </c>
      <c r="S106" s="3">
        <v>87.300000000000182</v>
      </c>
      <c r="T106" s="4">
        <v>1.90156307177584E-2</v>
      </c>
      <c r="U106" s="4">
        <v>-0.27098436928224201</v>
      </c>
      <c r="V106" t="s">
        <v>1054</v>
      </c>
      <c r="W106" t="s">
        <v>1056</v>
      </c>
    </row>
    <row r="107" spans="1:23" x14ac:dyDescent="0.25">
      <c r="A107" t="s">
        <v>118</v>
      </c>
      <c r="B107" s="2">
        <v>45296</v>
      </c>
      <c r="C107" t="s">
        <v>547</v>
      </c>
      <c r="D107" t="s">
        <v>653</v>
      </c>
      <c r="E107" t="s">
        <v>536</v>
      </c>
      <c r="F107" t="s">
        <v>544</v>
      </c>
      <c r="G107" t="s">
        <v>546</v>
      </c>
      <c r="H107" t="s">
        <v>1045</v>
      </c>
      <c r="I107" s="3">
        <v>3167</v>
      </c>
      <c r="J107" s="4">
        <v>0.09</v>
      </c>
      <c r="K107" s="3">
        <v>2881.97</v>
      </c>
      <c r="L107" s="3">
        <v>1899.14</v>
      </c>
      <c r="M107" s="5">
        <v>1</v>
      </c>
      <c r="N107" s="3">
        <v>95</v>
      </c>
      <c r="O107" s="6">
        <v>0.38</v>
      </c>
      <c r="P107" s="3">
        <v>2881.97</v>
      </c>
      <c r="Q107" s="3">
        <v>1994.14</v>
      </c>
      <c r="R107" s="3">
        <v>1994.14</v>
      </c>
      <c r="S107" s="3">
        <v>887.8299999999997</v>
      </c>
      <c r="T107" s="4">
        <v>0.30806358150848201</v>
      </c>
      <c r="U107" s="4">
        <v>-7.1936418491517995E-2</v>
      </c>
      <c r="V107" t="s">
        <v>1054</v>
      </c>
      <c r="W107" t="s">
        <v>1059</v>
      </c>
    </row>
    <row r="108" spans="1:23" x14ac:dyDescent="0.25">
      <c r="A108" t="s">
        <v>119</v>
      </c>
      <c r="B108" s="2">
        <v>45332</v>
      </c>
      <c r="C108" t="s">
        <v>547</v>
      </c>
      <c r="D108" t="s">
        <v>654</v>
      </c>
      <c r="E108" t="s">
        <v>535</v>
      </c>
      <c r="F108" t="s">
        <v>538</v>
      </c>
      <c r="G108" t="s">
        <v>546</v>
      </c>
      <c r="H108" t="s">
        <v>1045</v>
      </c>
      <c r="I108" s="3">
        <v>1999</v>
      </c>
      <c r="J108" s="4">
        <v>0.06</v>
      </c>
      <c r="K108" s="3">
        <v>1879.06</v>
      </c>
      <c r="L108" s="3">
        <v>946.67</v>
      </c>
      <c r="M108" s="5">
        <v>3</v>
      </c>
      <c r="N108" s="3">
        <v>159</v>
      </c>
      <c r="O108" s="6">
        <v>0.3</v>
      </c>
      <c r="P108" s="3">
        <v>5637.18</v>
      </c>
      <c r="Q108" s="3">
        <v>1105.67</v>
      </c>
      <c r="R108" s="3">
        <v>3317.01</v>
      </c>
      <c r="S108" s="3">
        <v>2320.17</v>
      </c>
      <c r="T108" s="4">
        <v>0.41158345130011798</v>
      </c>
      <c r="U108" s="4">
        <v>0.111583451300118</v>
      </c>
      <c r="V108" t="s">
        <v>1058</v>
      </c>
      <c r="W108" t="s">
        <v>1059</v>
      </c>
    </row>
    <row r="109" spans="1:23" x14ac:dyDescent="0.25">
      <c r="A109" t="s">
        <v>120</v>
      </c>
      <c r="B109" s="2">
        <v>45319</v>
      </c>
      <c r="C109" t="s">
        <v>550</v>
      </c>
      <c r="D109" t="s">
        <v>655</v>
      </c>
      <c r="E109" t="s">
        <v>537</v>
      </c>
      <c r="F109" t="s">
        <v>543</v>
      </c>
      <c r="G109" t="s">
        <v>545</v>
      </c>
      <c r="H109" t="s">
        <v>1043</v>
      </c>
      <c r="I109" s="3">
        <v>155</v>
      </c>
      <c r="J109" s="4">
        <v>0.1</v>
      </c>
      <c r="K109" s="3">
        <v>139.5</v>
      </c>
      <c r="L109" s="3">
        <v>74.61</v>
      </c>
      <c r="M109" s="5">
        <v>3</v>
      </c>
      <c r="N109" s="3">
        <v>70</v>
      </c>
      <c r="O109" s="6">
        <v>0.43</v>
      </c>
      <c r="P109" s="3">
        <v>418.5</v>
      </c>
      <c r="Q109" s="3">
        <v>144.61000000000001</v>
      </c>
      <c r="R109" s="3">
        <v>433.83000000000004</v>
      </c>
      <c r="S109" s="3">
        <v>-15.330000000000041</v>
      </c>
      <c r="T109" s="4">
        <v>-3.6630824372760003E-2</v>
      </c>
      <c r="U109" s="4">
        <v>-0.46663082437275999</v>
      </c>
      <c r="V109" t="s">
        <v>1054</v>
      </c>
      <c r="W109" t="s">
        <v>1055</v>
      </c>
    </row>
    <row r="110" spans="1:23" x14ac:dyDescent="0.25">
      <c r="A110" t="s">
        <v>121</v>
      </c>
      <c r="B110" s="2">
        <v>45426</v>
      </c>
      <c r="C110" t="s">
        <v>548</v>
      </c>
      <c r="D110" t="s">
        <v>656</v>
      </c>
      <c r="E110" t="s">
        <v>537</v>
      </c>
      <c r="F110" t="s">
        <v>542</v>
      </c>
      <c r="G110" t="s">
        <v>545</v>
      </c>
      <c r="H110" t="s">
        <v>1045</v>
      </c>
      <c r="I110" s="3">
        <v>7587</v>
      </c>
      <c r="J110" s="4">
        <v>0.33</v>
      </c>
      <c r="K110" s="3">
        <v>5083.29</v>
      </c>
      <c r="L110" s="3">
        <v>5570.41</v>
      </c>
      <c r="M110" s="5">
        <v>2</v>
      </c>
      <c r="N110" s="3">
        <v>101</v>
      </c>
      <c r="O110" s="6">
        <v>0.41</v>
      </c>
      <c r="P110" s="3">
        <v>10166.58</v>
      </c>
      <c r="Q110" s="3">
        <v>5671.41</v>
      </c>
      <c r="R110" s="3">
        <v>11342.82</v>
      </c>
      <c r="S110" s="3">
        <v>-1176.2399999999998</v>
      </c>
      <c r="T110" s="4">
        <v>-0.11569672397207301</v>
      </c>
      <c r="U110" s="4">
        <v>-0.52569672397207301</v>
      </c>
      <c r="V110" t="s">
        <v>1057</v>
      </c>
      <c r="W110" t="s">
        <v>1056</v>
      </c>
    </row>
    <row r="111" spans="1:23" x14ac:dyDescent="0.25">
      <c r="A111" t="s">
        <v>122</v>
      </c>
      <c r="B111" s="2">
        <v>45363</v>
      </c>
      <c r="C111" t="s">
        <v>548</v>
      </c>
      <c r="D111" t="s">
        <v>639</v>
      </c>
      <c r="E111" t="s">
        <v>536</v>
      </c>
      <c r="F111" t="s">
        <v>539</v>
      </c>
      <c r="G111" t="s">
        <v>545</v>
      </c>
      <c r="H111" t="s">
        <v>1042</v>
      </c>
      <c r="I111" s="3">
        <v>949</v>
      </c>
      <c r="J111" s="4">
        <v>0.23</v>
      </c>
      <c r="K111" s="3">
        <v>730.73</v>
      </c>
      <c r="L111" s="3">
        <v>650.21</v>
      </c>
      <c r="M111" s="5">
        <v>3</v>
      </c>
      <c r="N111" s="3">
        <v>136</v>
      </c>
      <c r="O111" s="6">
        <v>0.28999999999999998</v>
      </c>
      <c r="P111" s="3">
        <v>2192.19</v>
      </c>
      <c r="Q111" s="3">
        <v>786.21</v>
      </c>
      <c r="R111" s="3">
        <v>2358.63</v>
      </c>
      <c r="S111" s="3">
        <v>-166.44000000000005</v>
      </c>
      <c r="T111" s="4">
        <v>-7.5924075924076004E-2</v>
      </c>
      <c r="U111" s="4">
        <v>-0.365924075924076</v>
      </c>
      <c r="V111" t="s">
        <v>1054</v>
      </c>
      <c r="W111" t="s">
        <v>1056</v>
      </c>
    </row>
    <row r="112" spans="1:23" x14ac:dyDescent="0.25">
      <c r="A112" t="s">
        <v>123</v>
      </c>
      <c r="B112" s="2">
        <v>45303</v>
      </c>
      <c r="C112" t="s">
        <v>548</v>
      </c>
      <c r="D112" t="s">
        <v>657</v>
      </c>
      <c r="E112" t="s">
        <v>537</v>
      </c>
      <c r="F112" t="s">
        <v>543</v>
      </c>
      <c r="G112" t="s">
        <v>545</v>
      </c>
      <c r="H112" t="s">
        <v>1042</v>
      </c>
      <c r="I112" s="3">
        <v>2184</v>
      </c>
      <c r="J112" s="4">
        <v>0.25</v>
      </c>
      <c r="K112" s="3">
        <v>1638</v>
      </c>
      <c r="L112" s="3">
        <v>1296.82</v>
      </c>
      <c r="M112" s="5">
        <v>3</v>
      </c>
      <c r="N112" s="3">
        <v>131</v>
      </c>
      <c r="O112" s="6">
        <v>0.45</v>
      </c>
      <c r="P112" s="3">
        <v>4914</v>
      </c>
      <c r="Q112" s="3">
        <v>1427.82</v>
      </c>
      <c r="R112" s="3">
        <v>4283.46</v>
      </c>
      <c r="S112" s="3">
        <v>630.54</v>
      </c>
      <c r="T112" s="4">
        <v>0.12831501831501799</v>
      </c>
      <c r="U112" s="4">
        <v>-0.321684981684982</v>
      </c>
      <c r="V112" t="s">
        <v>1054</v>
      </c>
      <c r="W112" t="s">
        <v>1056</v>
      </c>
    </row>
    <row r="113" spans="1:23" x14ac:dyDescent="0.25">
      <c r="A113" t="s">
        <v>124</v>
      </c>
      <c r="B113" s="2">
        <v>45453</v>
      </c>
      <c r="C113" t="s">
        <v>547</v>
      </c>
      <c r="D113" t="s">
        <v>658</v>
      </c>
      <c r="E113" t="s">
        <v>535</v>
      </c>
      <c r="F113" t="s">
        <v>538</v>
      </c>
      <c r="G113" t="s">
        <v>545</v>
      </c>
      <c r="H113" t="s">
        <v>1044</v>
      </c>
      <c r="I113" s="3">
        <v>2385</v>
      </c>
      <c r="J113" s="4">
        <v>0.2</v>
      </c>
      <c r="K113" s="3">
        <v>1908</v>
      </c>
      <c r="L113" s="3">
        <v>1470.61</v>
      </c>
      <c r="M113" s="5">
        <v>3</v>
      </c>
      <c r="N113" s="3">
        <v>155</v>
      </c>
      <c r="O113" s="6">
        <v>0.32</v>
      </c>
      <c r="P113" s="3">
        <v>5724</v>
      </c>
      <c r="Q113" s="3">
        <v>1625.61</v>
      </c>
      <c r="R113" s="3">
        <v>4876.83</v>
      </c>
      <c r="S113" s="3">
        <v>847.17000000000007</v>
      </c>
      <c r="T113" s="4">
        <v>0.14800314465408801</v>
      </c>
      <c r="U113" s="4">
        <v>-0.171996855345912</v>
      </c>
      <c r="V113" t="s">
        <v>1054</v>
      </c>
      <c r="W113" t="s">
        <v>1056</v>
      </c>
    </row>
    <row r="114" spans="1:23" x14ac:dyDescent="0.25">
      <c r="A114" t="s">
        <v>125</v>
      </c>
      <c r="B114" s="2">
        <v>45324</v>
      </c>
      <c r="C114" t="s">
        <v>548</v>
      </c>
      <c r="D114" t="s">
        <v>659</v>
      </c>
      <c r="E114" t="s">
        <v>535</v>
      </c>
      <c r="F114" t="s">
        <v>540</v>
      </c>
      <c r="G114" t="s">
        <v>546</v>
      </c>
      <c r="H114" t="s">
        <v>1044</v>
      </c>
      <c r="I114" s="3">
        <v>4180</v>
      </c>
      <c r="J114" s="4">
        <v>0.12</v>
      </c>
      <c r="K114" s="3">
        <v>3678.4</v>
      </c>
      <c r="L114" s="3">
        <v>2405.67</v>
      </c>
      <c r="M114" s="5">
        <v>3</v>
      </c>
      <c r="N114" s="3">
        <v>106</v>
      </c>
      <c r="O114" s="6">
        <v>0.36</v>
      </c>
      <c r="P114" s="3">
        <v>11035.2</v>
      </c>
      <c r="Q114" s="3">
        <v>2511.67</v>
      </c>
      <c r="R114" s="3">
        <v>7535.01</v>
      </c>
      <c r="S114" s="3">
        <v>3500.1900000000005</v>
      </c>
      <c r="T114" s="4">
        <v>0.31718410178338402</v>
      </c>
      <c r="U114" s="4">
        <v>-4.2815898216616001E-2</v>
      </c>
      <c r="V114" t="s">
        <v>1054</v>
      </c>
      <c r="W114" t="s">
        <v>1055</v>
      </c>
    </row>
    <row r="115" spans="1:23" x14ac:dyDescent="0.25">
      <c r="A115" t="s">
        <v>126</v>
      </c>
      <c r="B115" s="2">
        <v>45339</v>
      </c>
      <c r="C115" t="s">
        <v>550</v>
      </c>
      <c r="D115" t="s">
        <v>660</v>
      </c>
      <c r="E115" t="s">
        <v>535</v>
      </c>
      <c r="F115" t="s">
        <v>540</v>
      </c>
      <c r="G115" t="s">
        <v>545</v>
      </c>
      <c r="H115" t="s">
        <v>1042</v>
      </c>
      <c r="I115" s="3">
        <v>6998</v>
      </c>
      <c r="J115" s="4">
        <v>0.15</v>
      </c>
      <c r="K115" s="3">
        <v>5948.3</v>
      </c>
      <c r="L115" s="3">
        <v>3928.06</v>
      </c>
      <c r="M115" s="5">
        <v>2</v>
      </c>
      <c r="N115" s="3">
        <v>29</v>
      </c>
      <c r="O115" s="6">
        <v>0.43</v>
      </c>
      <c r="P115" s="3">
        <v>11896.6</v>
      </c>
      <c r="Q115" s="3">
        <v>3957.06</v>
      </c>
      <c r="R115" s="3">
        <v>7914.12</v>
      </c>
      <c r="S115" s="3">
        <v>3982.4800000000005</v>
      </c>
      <c r="T115" s="4">
        <v>0.33475782996822601</v>
      </c>
      <c r="U115" s="4">
        <v>-9.5242170031774001E-2</v>
      </c>
      <c r="V115" t="s">
        <v>1054</v>
      </c>
      <c r="W115" t="s">
        <v>1055</v>
      </c>
    </row>
    <row r="116" spans="1:23" x14ac:dyDescent="0.25">
      <c r="A116" t="s">
        <v>127</v>
      </c>
      <c r="B116" s="2">
        <v>45442</v>
      </c>
      <c r="C116" t="s">
        <v>550</v>
      </c>
      <c r="D116" t="s">
        <v>661</v>
      </c>
      <c r="E116" t="s">
        <v>535</v>
      </c>
      <c r="F116" t="s">
        <v>538</v>
      </c>
      <c r="G116" t="s">
        <v>545</v>
      </c>
      <c r="H116" t="s">
        <v>1042</v>
      </c>
      <c r="I116" s="3">
        <v>3861</v>
      </c>
      <c r="J116" s="4">
        <v>0.31</v>
      </c>
      <c r="K116" s="3">
        <v>2664.09</v>
      </c>
      <c r="L116" s="3">
        <v>2780.73</v>
      </c>
      <c r="M116" s="5">
        <v>3</v>
      </c>
      <c r="N116" s="3">
        <v>15</v>
      </c>
      <c r="O116" s="6">
        <v>0.33</v>
      </c>
      <c r="P116" s="3">
        <v>7992.27</v>
      </c>
      <c r="Q116" s="3">
        <v>2795.73</v>
      </c>
      <c r="R116" s="3">
        <v>8387.19</v>
      </c>
      <c r="S116" s="3">
        <v>-394.92000000000007</v>
      </c>
      <c r="T116" s="4">
        <v>-4.9412745064919002E-2</v>
      </c>
      <c r="U116" s="4">
        <v>-0.37941274506491901</v>
      </c>
      <c r="V116" t="s">
        <v>1054</v>
      </c>
      <c r="W116" t="s">
        <v>1056</v>
      </c>
    </row>
    <row r="117" spans="1:23" x14ac:dyDescent="0.25">
      <c r="A117" t="s">
        <v>128</v>
      </c>
      <c r="B117" s="2">
        <v>45353</v>
      </c>
      <c r="C117" t="s">
        <v>547</v>
      </c>
      <c r="D117" t="s">
        <v>662</v>
      </c>
      <c r="E117" t="s">
        <v>537</v>
      </c>
      <c r="F117" t="s">
        <v>543</v>
      </c>
      <c r="G117" t="s">
        <v>546</v>
      </c>
      <c r="H117" t="s">
        <v>1045</v>
      </c>
      <c r="I117" s="3">
        <v>579</v>
      </c>
      <c r="J117" s="4">
        <v>0.24</v>
      </c>
      <c r="K117" s="3">
        <v>440.04</v>
      </c>
      <c r="L117" s="3">
        <v>387.89</v>
      </c>
      <c r="M117" s="5">
        <v>2</v>
      </c>
      <c r="N117" s="3">
        <v>108</v>
      </c>
      <c r="O117" s="6">
        <v>0.4</v>
      </c>
      <c r="P117" s="3">
        <v>880.08</v>
      </c>
      <c r="Q117" s="3">
        <v>495.89</v>
      </c>
      <c r="R117" s="3">
        <v>991.78</v>
      </c>
      <c r="S117" s="3">
        <v>-111.69999999999993</v>
      </c>
      <c r="T117" s="4">
        <v>-0.12692027997454799</v>
      </c>
      <c r="U117" s="4">
        <v>-0.52692027997454804</v>
      </c>
      <c r="V117" t="s">
        <v>1057</v>
      </c>
      <c r="W117" t="s">
        <v>1056</v>
      </c>
    </row>
    <row r="118" spans="1:23" x14ac:dyDescent="0.25">
      <c r="A118" t="s">
        <v>129</v>
      </c>
      <c r="B118" s="2">
        <v>45328</v>
      </c>
      <c r="C118" t="s">
        <v>550</v>
      </c>
      <c r="D118" t="s">
        <v>663</v>
      </c>
      <c r="E118" t="s">
        <v>537</v>
      </c>
      <c r="F118" t="s">
        <v>541</v>
      </c>
      <c r="G118" t="s">
        <v>546</v>
      </c>
      <c r="H118" t="s">
        <v>1043</v>
      </c>
      <c r="I118" s="3">
        <v>51</v>
      </c>
      <c r="J118" s="4">
        <v>0.1</v>
      </c>
      <c r="K118" s="3">
        <v>45.9</v>
      </c>
      <c r="L118" s="3">
        <v>36.020000000000003</v>
      </c>
      <c r="M118" s="5">
        <v>2</v>
      </c>
      <c r="N118" s="3">
        <v>50</v>
      </c>
      <c r="O118" s="6">
        <v>0.3</v>
      </c>
      <c r="P118" s="3">
        <v>91.8</v>
      </c>
      <c r="Q118" s="3">
        <v>86.02000000000001</v>
      </c>
      <c r="R118" s="3">
        <v>172.04000000000002</v>
      </c>
      <c r="S118" s="3">
        <v>-80.240000000000023</v>
      </c>
      <c r="T118" s="4">
        <v>-0.874074074074074</v>
      </c>
      <c r="U118" s="4">
        <v>-1.1740740740740701</v>
      </c>
      <c r="V118" t="s">
        <v>1057</v>
      </c>
      <c r="W118" t="s">
        <v>1055</v>
      </c>
    </row>
    <row r="119" spans="1:23" x14ac:dyDescent="0.25">
      <c r="A119" t="s">
        <v>130</v>
      </c>
      <c r="B119" s="2">
        <v>45390</v>
      </c>
      <c r="C119" t="s">
        <v>549</v>
      </c>
      <c r="D119" t="s">
        <v>664</v>
      </c>
      <c r="E119" t="s">
        <v>536</v>
      </c>
      <c r="F119" t="s">
        <v>544</v>
      </c>
      <c r="G119" t="s">
        <v>546</v>
      </c>
      <c r="H119" t="s">
        <v>1042</v>
      </c>
      <c r="I119" s="3">
        <v>179</v>
      </c>
      <c r="J119" s="4">
        <v>0.08</v>
      </c>
      <c r="K119" s="3">
        <v>164.68</v>
      </c>
      <c r="L119" s="3">
        <v>115.57</v>
      </c>
      <c r="M119" s="5">
        <v>1</v>
      </c>
      <c r="N119" s="3">
        <v>98</v>
      </c>
      <c r="O119" s="6">
        <v>0.35</v>
      </c>
      <c r="P119" s="3">
        <v>164.68</v>
      </c>
      <c r="Q119" s="3">
        <v>213.57</v>
      </c>
      <c r="R119" s="3">
        <v>213.57</v>
      </c>
      <c r="S119" s="3">
        <v>-48.889999999999986</v>
      </c>
      <c r="T119" s="4">
        <v>-0.29687879523925198</v>
      </c>
      <c r="U119" s="4">
        <v>-0.64687879523925196</v>
      </c>
      <c r="V119" t="s">
        <v>1057</v>
      </c>
      <c r="W119" t="s">
        <v>1059</v>
      </c>
    </row>
    <row r="120" spans="1:23" x14ac:dyDescent="0.25">
      <c r="A120" t="s">
        <v>131</v>
      </c>
      <c r="B120" s="2">
        <v>45463</v>
      </c>
      <c r="C120" t="s">
        <v>548</v>
      </c>
      <c r="D120" t="s">
        <v>665</v>
      </c>
      <c r="E120" t="s">
        <v>535</v>
      </c>
      <c r="F120" t="s">
        <v>540</v>
      </c>
      <c r="G120" t="s">
        <v>546</v>
      </c>
      <c r="H120" t="s">
        <v>1042</v>
      </c>
      <c r="I120" s="3">
        <v>4073</v>
      </c>
      <c r="J120" s="4">
        <v>0.17</v>
      </c>
      <c r="K120" s="3">
        <v>3380.59</v>
      </c>
      <c r="L120" s="3">
        <v>2122.4699999999998</v>
      </c>
      <c r="M120" s="5">
        <v>3</v>
      </c>
      <c r="N120" s="3">
        <v>40</v>
      </c>
      <c r="O120" s="6">
        <v>0.43</v>
      </c>
      <c r="P120" s="3">
        <v>10141.77</v>
      </c>
      <c r="Q120" s="3">
        <v>2162.4699999999998</v>
      </c>
      <c r="R120" s="3">
        <v>6487.41</v>
      </c>
      <c r="S120" s="3">
        <v>3654.3600000000006</v>
      </c>
      <c r="T120" s="4">
        <v>0.36032763511694699</v>
      </c>
      <c r="U120" s="4">
        <v>-6.9672364883053006E-2</v>
      </c>
      <c r="V120" t="s">
        <v>1054</v>
      </c>
      <c r="W120" t="s">
        <v>1055</v>
      </c>
    </row>
    <row r="121" spans="1:23" x14ac:dyDescent="0.25">
      <c r="A121" t="s">
        <v>132</v>
      </c>
      <c r="B121" s="2">
        <v>45395</v>
      </c>
      <c r="C121" t="s">
        <v>547</v>
      </c>
      <c r="D121" t="s">
        <v>666</v>
      </c>
      <c r="E121" t="s">
        <v>537</v>
      </c>
      <c r="F121" t="s">
        <v>543</v>
      </c>
      <c r="G121" t="s">
        <v>546</v>
      </c>
      <c r="H121" t="s">
        <v>1043</v>
      </c>
      <c r="I121" s="3">
        <v>3482</v>
      </c>
      <c r="J121" s="4">
        <v>0.18</v>
      </c>
      <c r="K121" s="3">
        <v>2855.24</v>
      </c>
      <c r="L121" s="3">
        <v>1826.71</v>
      </c>
      <c r="M121" s="5">
        <v>1</v>
      </c>
      <c r="N121" s="3">
        <v>180</v>
      </c>
      <c r="O121" s="6">
        <v>0.32</v>
      </c>
      <c r="P121" s="3">
        <v>2855.24</v>
      </c>
      <c r="Q121" s="3">
        <v>2006.71</v>
      </c>
      <c r="R121" s="3">
        <v>2006.71</v>
      </c>
      <c r="S121" s="3">
        <v>848.52999999999975</v>
      </c>
      <c r="T121" s="4">
        <v>0.29718342416049098</v>
      </c>
      <c r="U121" s="4">
        <v>-2.2816575839508999E-2</v>
      </c>
      <c r="V121" t="s">
        <v>1054</v>
      </c>
      <c r="W121" t="s">
        <v>1055</v>
      </c>
    </row>
    <row r="122" spans="1:23" x14ac:dyDescent="0.25">
      <c r="A122" t="s">
        <v>133</v>
      </c>
      <c r="B122" s="2">
        <v>45326</v>
      </c>
      <c r="C122" t="s">
        <v>547</v>
      </c>
      <c r="D122" t="s">
        <v>667</v>
      </c>
      <c r="E122" t="s">
        <v>535</v>
      </c>
      <c r="F122" t="s">
        <v>540</v>
      </c>
      <c r="G122" t="s">
        <v>546</v>
      </c>
      <c r="H122" t="s">
        <v>1042</v>
      </c>
      <c r="I122" s="3">
        <v>2262</v>
      </c>
      <c r="J122" s="4">
        <v>0.28000000000000003</v>
      </c>
      <c r="K122" s="3">
        <v>1628.64</v>
      </c>
      <c r="L122" s="3">
        <v>1496.57</v>
      </c>
      <c r="M122" s="5">
        <v>3</v>
      </c>
      <c r="N122" s="3">
        <v>65</v>
      </c>
      <c r="O122" s="6">
        <v>0.43</v>
      </c>
      <c r="P122" s="3">
        <v>4885.92</v>
      </c>
      <c r="Q122" s="3">
        <v>1561.57</v>
      </c>
      <c r="R122" s="3">
        <v>4684.71</v>
      </c>
      <c r="S122" s="3">
        <v>201.21000000000004</v>
      </c>
      <c r="T122" s="4">
        <v>4.1181599371254603E-2</v>
      </c>
      <c r="U122" s="4">
        <v>-0.38881840062874501</v>
      </c>
      <c r="V122" t="s">
        <v>1054</v>
      </c>
      <c r="W122" t="s">
        <v>1056</v>
      </c>
    </row>
    <row r="123" spans="1:23" x14ac:dyDescent="0.25">
      <c r="A123" t="s">
        <v>134</v>
      </c>
      <c r="B123" s="2">
        <v>45392</v>
      </c>
      <c r="C123" t="s">
        <v>549</v>
      </c>
      <c r="D123" t="s">
        <v>668</v>
      </c>
      <c r="E123" t="s">
        <v>536</v>
      </c>
      <c r="F123" t="s">
        <v>539</v>
      </c>
      <c r="G123" t="s">
        <v>546</v>
      </c>
      <c r="H123" t="s">
        <v>1043</v>
      </c>
      <c r="I123" s="3">
        <v>1018</v>
      </c>
      <c r="J123" s="4">
        <v>0.21</v>
      </c>
      <c r="K123" s="3">
        <v>804.22</v>
      </c>
      <c r="L123" s="3">
        <v>744.14</v>
      </c>
      <c r="M123" s="5">
        <v>1</v>
      </c>
      <c r="N123" s="3">
        <v>38</v>
      </c>
      <c r="O123" s="6">
        <v>0.3</v>
      </c>
      <c r="P123" s="3">
        <v>804.22</v>
      </c>
      <c r="Q123" s="3">
        <v>782.14</v>
      </c>
      <c r="R123" s="3">
        <v>782.14</v>
      </c>
      <c r="S123" s="3">
        <v>22.080000000000041</v>
      </c>
      <c r="T123" s="4">
        <v>2.7455173957374901E-2</v>
      </c>
      <c r="U123" s="4">
        <v>-0.27254482604262498</v>
      </c>
      <c r="V123" t="s">
        <v>1054</v>
      </c>
      <c r="W123" t="s">
        <v>1056</v>
      </c>
    </row>
    <row r="124" spans="1:23" x14ac:dyDescent="0.25">
      <c r="A124" t="s">
        <v>135</v>
      </c>
      <c r="B124" s="2">
        <v>45466</v>
      </c>
      <c r="C124" t="s">
        <v>548</v>
      </c>
      <c r="D124" t="s">
        <v>669</v>
      </c>
      <c r="E124" t="s">
        <v>535</v>
      </c>
      <c r="F124" t="s">
        <v>540</v>
      </c>
      <c r="G124" t="s">
        <v>546</v>
      </c>
      <c r="H124" t="s">
        <v>1045</v>
      </c>
      <c r="I124" s="3">
        <v>6884</v>
      </c>
      <c r="J124" s="4">
        <v>0.06</v>
      </c>
      <c r="K124" s="3">
        <v>6470.96</v>
      </c>
      <c r="L124" s="3">
        <v>3404.16</v>
      </c>
      <c r="M124" s="5">
        <v>2</v>
      </c>
      <c r="N124" s="3">
        <v>190</v>
      </c>
      <c r="O124" s="6">
        <v>0.44</v>
      </c>
      <c r="P124" s="3">
        <v>12941.92</v>
      </c>
      <c r="Q124" s="3">
        <v>3594.16</v>
      </c>
      <c r="R124" s="3">
        <v>7188.32</v>
      </c>
      <c r="S124" s="3">
        <v>5753.6</v>
      </c>
      <c r="T124" s="4">
        <v>0.44457082102192003</v>
      </c>
      <c r="U124" s="4">
        <v>4.5708210219200197E-3</v>
      </c>
      <c r="V124" t="s">
        <v>1058</v>
      </c>
      <c r="W124" t="s">
        <v>1059</v>
      </c>
    </row>
    <row r="125" spans="1:23" x14ac:dyDescent="0.25">
      <c r="A125" t="s">
        <v>136</v>
      </c>
      <c r="B125" s="2">
        <v>45422</v>
      </c>
      <c r="C125" t="s">
        <v>547</v>
      </c>
      <c r="D125" t="s">
        <v>670</v>
      </c>
      <c r="E125" t="s">
        <v>537</v>
      </c>
      <c r="F125" t="s">
        <v>543</v>
      </c>
      <c r="G125" t="s">
        <v>545</v>
      </c>
      <c r="H125" t="s">
        <v>1045</v>
      </c>
      <c r="I125" s="3">
        <v>7256</v>
      </c>
      <c r="J125" s="4">
        <v>0.19</v>
      </c>
      <c r="K125" s="3">
        <v>5877.36</v>
      </c>
      <c r="L125" s="3">
        <v>4387.55</v>
      </c>
      <c r="M125" s="5">
        <v>3</v>
      </c>
      <c r="N125" s="3">
        <v>187</v>
      </c>
      <c r="O125" s="6">
        <v>0.39</v>
      </c>
      <c r="P125" s="3">
        <v>17632.079999999998</v>
      </c>
      <c r="Q125" s="3">
        <v>4574.55</v>
      </c>
      <c r="R125" s="3">
        <v>13723.650000000001</v>
      </c>
      <c r="S125" s="3">
        <v>3908.4299999999967</v>
      </c>
      <c r="T125" s="4">
        <v>0.22166584997345701</v>
      </c>
      <c r="U125" s="4">
        <v>-0.16833415002654301</v>
      </c>
      <c r="V125" t="s">
        <v>1054</v>
      </c>
      <c r="W125" t="s">
        <v>1055</v>
      </c>
    </row>
    <row r="126" spans="1:23" x14ac:dyDescent="0.25">
      <c r="A126" t="s">
        <v>137</v>
      </c>
      <c r="B126" s="2">
        <v>45292</v>
      </c>
      <c r="C126" t="s">
        <v>550</v>
      </c>
      <c r="D126" t="s">
        <v>671</v>
      </c>
      <c r="E126" t="s">
        <v>536</v>
      </c>
      <c r="F126" t="s">
        <v>544</v>
      </c>
      <c r="G126" t="s">
        <v>546</v>
      </c>
      <c r="H126" t="s">
        <v>1042</v>
      </c>
      <c r="I126" s="3">
        <v>2019</v>
      </c>
      <c r="J126" s="4">
        <v>0.11</v>
      </c>
      <c r="K126" s="3">
        <v>1796.91</v>
      </c>
      <c r="L126" s="3">
        <v>1316.45</v>
      </c>
      <c r="M126" s="5">
        <v>1</v>
      </c>
      <c r="N126" s="3">
        <v>94</v>
      </c>
      <c r="O126" s="6">
        <v>0.4</v>
      </c>
      <c r="P126" s="3">
        <v>1796.91</v>
      </c>
      <c r="Q126" s="3">
        <v>1410.45</v>
      </c>
      <c r="R126" s="3">
        <v>1410.45</v>
      </c>
      <c r="S126" s="3">
        <v>386.46000000000004</v>
      </c>
      <c r="T126" s="4">
        <v>0.21506920213032399</v>
      </c>
      <c r="U126" s="4">
        <v>-0.18493079786967601</v>
      </c>
      <c r="V126" t="s">
        <v>1054</v>
      </c>
      <c r="W126" t="s">
        <v>1055</v>
      </c>
    </row>
    <row r="127" spans="1:23" x14ac:dyDescent="0.25">
      <c r="A127" t="s">
        <v>138</v>
      </c>
      <c r="B127" s="2">
        <v>45296</v>
      </c>
      <c r="C127" t="s">
        <v>548</v>
      </c>
      <c r="D127" t="s">
        <v>672</v>
      </c>
      <c r="E127" t="s">
        <v>537</v>
      </c>
      <c r="F127" t="s">
        <v>542</v>
      </c>
      <c r="G127" t="s">
        <v>546</v>
      </c>
      <c r="H127" t="s">
        <v>1043</v>
      </c>
      <c r="I127" s="3">
        <v>7410</v>
      </c>
      <c r="J127" s="4">
        <v>0.3</v>
      </c>
      <c r="K127" s="3">
        <v>5187</v>
      </c>
      <c r="L127" s="3">
        <v>5434.38</v>
      </c>
      <c r="M127" s="5">
        <v>2</v>
      </c>
      <c r="N127" s="3">
        <v>167</v>
      </c>
      <c r="O127" s="6">
        <v>0.32</v>
      </c>
      <c r="P127" s="3">
        <v>10374</v>
      </c>
      <c r="Q127" s="3">
        <v>5601.38</v>
      </c>
      <c r="R127" s="3">
        <v>11202.76</v>
      </c>
      <c r="S127" s="3">
        <v>-828.76000000000022</v>
      </c>
      <c r="T127" s="4">
        <v>-7.9888181993445204E-2</v>
      </c>
      <c r="U127" s="4">
        <v>-0.399888181993445</v>
      </c>
      <c r="V127" t="s">
        <v>1054</v>
      </c>
      <c r="W127" t="s">
        <v>1056</v>
      </c>
    </row>
    <row r="128" spans="1:23" x14ac:dyDescent="0.25">
      <c r="A128" t="s">
        <v>139</v>
      </c>
      <c r="B128" s="2">
        <v>45433</v>
      </c>
      <c r="C128" t="s">
        <v>547</v>
      </c>
      <c r="D128" t="s">
        <v>673</v>
      </c>
      <c r="E128" t="s">
        <v>536</v>
      </c>
      <c r="F128" t="s">
        <v>544</v>
      </c>
      <c r="G128" t="s">
        <v>546</v>
      </c>
      <c r="H128" t="s">
        <v>1042</v>
      </c>
      <c r="I128" s="3">
        <v>4490</v>
      </c>
      <c r="J128" s="4">
        <v>0.26</v>
      </c>
      <c r="K128" s="3">
        <v>3322.6</v>
      </c>
      <c r="L128" s="3">
        <v>2931.76</v>
      </c>
      <c r="M128" s="5">
        <v>3</v>
      </c>
      <c r="N128" s="3">
        <v>156</v>
      </c>
      <c r="O128" s="6">
        <v>0.39</v>
      </c>
      <c r="P128" s="3">
        <v>9967.7999999999993</v>
      </c>
      <c r="Q128" s="3">
        <v>3087.76</v>
      </c>
      <c r="R128" s="3">
        <v>9263.2800000000007</v>
      </c>
      <c r="S128" s="3">
        <v>704.51999999999862</v>
      </c>
      <c r="T128" s="4">
        <v>7.0679588274242894E-2</v>
      </c>
      <c r="U128" s="4">
        <v>-0.31932041172575698</v>
      </c>
      <c r="V128" t="s">
        <v>1054</v>
      </c>
      <c r="W128" t="s">
        <v>1056</v>
      </c>
    </row>
    <row r="129" spans="1:23" x14ac:dyDescent="0.25">
      <c r="A129" t="s">
        <v>140</v>
      </c>
      <c r="B129" s="2">
        <v>45394</v>
      </c>
      <c r="C129" t="s">
        <v>550</v>
      </c>
      <c r="D129" t="s">
        <v>674</v>
      </c>
      <c r="E129" t="s">
        <v>535</v>
      </c>
      <c r="F129" t="s">
        <v>540</v>
      </c>
      <c r="G129" t="s">
        <v>546</v>
      </c>
      <c r="H129" t="s">
        <v>1043</v>
      </c>
      <c r="I129" s="3">
        <v>5155</v>
      </c>
      <c r="J129" s="4">
        <v>0.23</v>
      </c>
      <c r="K129" s="3">
        <v>3969.35</v>
      </c>
      <c r="L129" s="3">
        <v>2811.71</v>
      </c>
      <c r="M129" s="5">
        <v>1</v>
      </c>
      <c r="N129" s="3">
        <v>170</v>
      </c>
      <c r="O129" s="6">
        <v>0.45</v>
      </c>
      <c r="P129" s="3">
        <v>3969.35</v>
      </c>
      <c r="Q129" s="3">
        <v>2981.71</v>
      </c>
      <c r="R129" s="3">
        <v>2981.71</v>
      </c>
      <c r="S129" s="3">
        <v>987.63999999999987</v>
      </c>
      <c r="T129" s="4">
        <v>0.248816556866993</v>
      </c>
      <c r="U129" s="4">
        <v>-0.20118344313300701</v>
      </c>
      <c r="V129" t="s">
        <v>1054</v>
      </c>
      <c r="W129" t="s">
        <v>1056</v>
      </c>
    </row>
    <row r="130" spans="1:23" x14ac:dyDescent="0.25">
      <c r="A130" t="s">
        <v>141</v>
      </c>
      <c r="B130" s="2">
        <v>45318</v>
      </c>
      <c r="C130" t="s">
        <v>547</v>
      </c>
      <c r="D130" t="s">
        <v>675</v>
      </c>
      <c r="E130" t="s">
        <v>535</v>
      </c>
      <c r="F130" t="s">
        <v>540</v>
      </c>
      <c r="G130" t="s">
        <v>546</v>
      </c>
      <c r="H130" t="s">
        <v>1044</v>
      </c>
      <c r="I130" s="3">
        <v>1397</v>
      </c>
      <c r="J130" s="4">
        <v>0.25</v>
      </c>
      <c r="K130" s="3">
        <v>1047.75</v>
      </c>
      <c r="L130" s="3">
        <v>949.34</v>
      </c>
      <c r="M130" s="5">
        <v>2</v>
      </c>
      <c r="N130" s="3">
        <v>141</v>
      </c>
      <c r="O130" s="6">
        <v>0.35</v>
      </c>
      <c r="P130" s="3">
        <v>2095.5</v>
      </c>
      <c r="Q130" s="3">
        <v>1090.3400000000001</v>
      </c>
      <c r="R130" s="3">
        <v>2180.6800000000003</v>
      </c>
      <c r="S130" s="3">
        <v>-85.180000000000291</v>
      </c>
      <c r="T130" s="4">
        <v>-4.0649009782868201E-2</v>
      </c>
      <c r="U130" s="4">
        <v>-0.39064900978286798</v>
      </c>
      <c r="V130" t="s">
        <v>1054</v>
      </c>
      <c r="W130" t="s">
        <v>1056</v>
      </c>
    </row>
    <row r="131" spans="1:23" x14ac:dyDescent="0.25">
      <c r="A131" t="s">
        <v>142</v>
      </c>
      <c r="B131" s="2">
        <v>45428</v>
      </c>
      <c r="C131" t="s">
        <v>547</v>
      </c>
      <c r="D131" t="s">
        <v>676</v>
      </c>
      <c r="E131" t="s">
        <v>537</v>
      </c>
      <c r="F131" t="s">
        <v>542</v>
      </c>
      <c r="G131" t="s">
        <v>546</v>
      </c>
      <c r="H131" t="s">
        <v>1045</v>
      </c>
      <c r="I131" s="3">
        <v>5500</v>
      </c>
      <c r="J131" s="4">
        <v>0.16</v>
      </c>
      <c r="K131" s="3">
        <v>4620</v>
      </c>
      <c r="L131" s="3">
        <v>2964.83</v>
      </c>
      <c r="M131" s="5">
        <v>1</v>
      </c>
      <c r="N131" s="3">
        <v>98</v>
      </c>
      <c r="O131" s="6">
        <v>0.34</v>
      </c>
      <c r="P131" s="3">
        <v>4620</v>
      </c>
      <c r="Q131" s="3">
        <v>3062.83</v>
      </c>
      <c r="R131" s="3">
        <v>3062.83</v>
      </c>
      <c r="S131" s="3">
        <v>1557.17</v>
      </c>
      <c r="T131" s="4">
        <v>0.33704978354978399</v>
      </c>
      <c r="U131" s="4">
        <v>-2.9502164502160401E-3</v>
      </c>
      <c r="V131" t="s">
        <v>1054</v>
      </c>
      <c r="W131" t="s">
        <v>1055</v>
      </c>
    </row>
    <row r="132" spans="1:23" x14ac:dyDescent="0.25">
      <c r="A132" t="s">
        <v>143</v>
      </c>
      <c r="B132" s="2">
        <v>45306</v>
      </c>
      <c r="C132" t="s">
        <v>548</v>
      </c>
      <c r="D132" t="s">
        <v>677</v>
      </c>
      <c r="E132" t="s">
        <v>537</v>
      </c>
      <c r="F132" t="s">
        <v>541</v>
      </c>
      <c r="G132" t="s">
        <v>545</v>
      </c>
      <c r="H132" t="s">
        <v>1042</v>
      </c>
      <c r="I132" s="3">
        <v>6798</v>
      </c>
      <c r="J132" s="4">
        <v>0.18</v>
      </c>
      <c r="K132" s="3">
        <v>5574.36</v>
      </c>
      <c r="L132" s="3">
        <v>3543.55</v>
      </c>
      <c r="M132" s="5">
        <v>2</v>
      </c>
      <c r="N132" s="3">
        <v>44</v>
      </c>
      <c r="O132" s="6">
        <v>0.28999999999999998</v>
      </c>
      <c r="P132" s="3">
        <v>11148.72</v>
      </c>
      <c r="Q132" s="3">
        <v>3587.55</v>
      </c>
      <c r="R132" s="3">
        <v>7175.1</v>
      </c>
      <c r="S132" s="3">
        <v>3973.619999999999</v>
      </c>
      <c r="T132" s="4">
        <v>0.35641939164316599</v>
      </c>
      <c r="U132" s="4">
        <v>6.6419391643166001E-2</v>
      </c>
      <c r="V132" t="s">
        <v>1058</v>
      </c>
      <c r="W132" t="s">
        <v>1055</v>
      </c>
    </row>
    <row r="133" spans="1:23" x14ac:dyDescent="0.25">
      <c r="A133" t="s">
        <v>144</v>
      </c>
      <c r="B133" s="2">
        <v>45381</v>
      </c>
      <c r="C133" t="s">
        <v>550</v>
      </c>
      <c r="D133" t="s">
        <v>678</v>
      </c>
      <c r="E133" t="s">
        <v>537</v>
      </c>
      <c r="F133" t="s">
        <v>543</v>
      </c>
      <c r="G133" t="s">
        <v>545</v>
      </c>
      <c r="H133" t="s">
        <v>1045</v>
      </c>
      <c r="I133" s="3">
        <v>1076</v>
      </c>
      <c r="J133" s="4">
        <v>0.21</v>
      </c>
      <c r="K133" s="3">
        <v>850.04</v>
      </c>
      <c r="L133" s="3">
        <v>791.34</v>
      </c>
      <c r="M133" s="5">
        <v>1</v>
      </c>
      <c r="N133" s="3">
        <v>165</v>
      </c>
      <c r="O133" s="6">
        <v>0.42</v>
      </c>
      <c r="P133" s="3">
        <v>850.04</v>
      </c>
      <c r="Q133" s="3">
        <v>956.34</v>
      </c>
      <c r="R133" s="3">
        <v>956.34</v>
      </c>
      <c r="S133" s="3">
        <v>-106.30000000000007</v>
      </c>
      <c r="T133" s="4">
        <v>-0.12505293868523801</v>
      </c>
      <c r="U133" s="4">
        <v>-0.54505293868523796</v>
      </c>
      <c r="V133" t="s">
        <v>1057</v>
      </c>
      <c r="W133" t="s">
        <v>1056</v>
      </c>
    </row>
    <row r="134" spans="1:23" x14ac:dyDescent="0.25">
      <c r="A134" t="s">
        <v>145</v>
      </c>
      <c r="B134" s="2">
        <v>45333</v>
      </c>
      <c r="C134" t="s">
        <v>549</v>
      </c>
      <c r="D134" t="s">
        <v>679</v>
      </c>
      <c r="E134" t="s">
        <v>535</v>
      </c>
      <c r="F134" t="s">
        <v>538</v>
      </c>
      <c r="G134" t="s">
        <v>546</v>
      </c>
      <c r="H134" t="s">
        <v>1042</v>
      </c>
      <c r="I134" s="3">
        <v>5909</v>
      </c>
      <c r="J134" s="4">
        <v>0.23</v>
      </c>
      <c r="K134" s="3">
        <v>4549.93</v>
      </c>
      <c r="L134" s="3">
        <v>4014.96</v>
      </c>
      <c r="M134" s="5">
        <v>2</v>
      </c>
      <c r="N134" s="3">
        <v>79</v>
      </c>
      <c r="O134" s="6">
        <v>0.4</v>
      </c>
      <c r="P134" s="3">
        <v>9099.86</v>
      </c>
      <c r="Q134" s="3">
        <v>4093.96</v>
      </c>
      <c r="R134" s="3">
        <v>8187.92</v>
      </c>
      <c r="S134" s="3">
        <v>911.94000000000051</v>
      </c>
      <c r="T134" s="4">
        <v>0.100214728578242</v>
      </c>
      <c r="U134" s="4">
        <v>-0.29978527142175798</v>
      </c>
      <c r="V134" t="s">
        <v>1054</v>
      </c>
      <c r="W134" t="s">
        <v>1056</v>
      </c>
    </row>
    <row r="135" spans="1:23" x14ac:dyDescent="0.25">
      <c r="A135" t="s">
        <v>146</v>
      </c>
      <c r="B135" s="2">
        <v>45415</v>
      </c>
      <c r="C135" t="s">
        <v>547</v>
      </c>
      <c r="D135" t="s">
        <v>680</v>
      </c>
      <c r="E135" t="s">
        <v>536</v>
      </c>
      <c r="F135" t="s">
        <v>539</v>
      </c>
      <c r="G135" t="s">
        <v>546</v>
      </c>
      <c r="H135" t="s">
        <v>1044</v>
      </c>
      <c r="I135" s="3">
        <v>4481</v>
      </c>
      <c r="J135" s="4">
        <v>0.24</v>
      </c>
      <c r="K135" s="3">
        <v>3405.56</v>
      </c>
      <c r="L135" s="3">
        <v>3223.67</v>
      </c>
      <c r="M135" s="5">
        <v>3</v>
      </c>
      <c r="N135" s="3">
        <v>34</v>
      </c>
      <c r="O135" s="6">
        <v>0.34</v>
      </c>
      <c r="P135" s="3">
        <v>10216.68</v>
      </c>
      <c r="Q135" s="3">
        <v>3257.67</v>
      </c>
      <c r="R135" s="3">
        <v>9773.01</v>
      </c>
      <c r="S135" s="3">
        <v>443.67000000000007</v>
      </c>
      <c r="T135" s="4">
        <v>4.3426044468457499E-2</v>
      </c>
      <c r="U135" s="4">
        <v>-0.29657395553154298</v>
      </c>
      <c r="V135" t="s">
        <v>1054</v>
      </c>
      <c r="W135" t="s">
        <v>1056</v>
      </c>
    </row>
    <row r="136" spans="1:23" x14ac:dyDescent="0.25">
      <c r="A136" t="s">
        <v>147</v>
      </c>
      <c r="B136" s="2">
        <v>45470</v>
      </c>
      <c r="C136" t="s">
        <v>550</v>
      </c>
      <c r="D136" t="s">
        <v>681</v>
      </c>
      <c r="E136" t="s">
        <v>535</v>
      </c>
      <c r="F136" t="s">
        <v>540</v>
      </c>
      <c r="G136" t="s">
        <v>546</v>
      </c>
      <c r="H136" t="s">
        <v>1043</v>
      </c>
      <c r="I136" s="3">
        <v>6062</v>
      </c>
      <c r="J136" s="4">
        <v>0.24</v>
      </c>
      <c r="K136" s="3">
        <v>4607.12</v>
      </c>
      <c r="L136" s="3">
        <v>3679.18</v>
      </c>
      <c r="M136" s="5">
        <v>1</v>
      </c>
      <c r="N136" s="3">
        <v>36</v>
      </c>
      <c r="O136" s="6">
        <v>0.42</v>
      </c>
      <c r="P136" s="3">
        <v>4607.12</v>
      </c>
      <c r="Q136" s="3">
        <v>3715.18</v>
      </c>
      <c r="R136" s="3">
        <v>3715.18</v>
      </c>
      <c r="S136" s="3">
        <v>891.94</v>
      </c>
      <c r="T136" s="4">
        <v>0.19360034034277401</v>
      </c>
      <c r="U136" s="4">
        <v>-0.226399659657226</v>
      </c>
      <c r="V136" t="s">
        <v>1054</v>
      </c>
      <c r="W136" t="s">
        <v>1056</v>
      </c>
    </row>
    <row r="137" spans="1:23" x14ac:dyDescent="0.25">
      <c r="A137" t="s">
        <v>148</v>
      </c>
      <c r="B137" s="2">
        <v>45354</v>
      </c>
      <c r="C137" t="s">
        <v>550</v>
      </c>
      <c r="D137" t="s">
        <v>682</v>
      </c>
      <c r="E137" t="s">
        <v>537</v>
      </c>
      <c r="F137" t="s">
        <v>543</v>
      </c>
      <c r="G137" t="s">
        <v>546</v>
      </c>
      <c r="H137" t="s">
        <v>1045</v>
      </c>
      <c r="I137" s="3">
        <v>6837</v>
      </c>
      <c r="J137" s="4">
        <v>0.3</v>
      </c>
      <c r="K137" s="3">
        <v>4785.8999999999996</v>
      </c>
      <c r="L137" s="3">
        <v>4148.3100000000004</v>
      </c>
      <c r="M137" s="5">
        <v>3</v>
      </c>
      <c r="N137" s="3">
        <v>16</v>
      </c>
      <c r="O137" s="6">
        <v>0.43</v>
      </c>
      <c r="P137" s="3">
        <v>14357.699999999999</v>
      </c>
      <c r="Q137" s="3">
        <v>4164.3100000000004</v>
      </c>
      <c r="R137" s="3">
        <v>12492.93</v>
      </c>
      <c r="S137" s="3">
        <v>1864.7699999999986</v>
      </c>
      <c r="T137" s="4">
        <v>0.12987943751436501</v>
      </c>
      <c r="U137" s="4">
        <v>-0.30012056248563501</v>
      </c>
      <c r="V137" t="s">
        <v>1054</v>
      </c>
      <c r="W137" t="s">
        <v>1056</v>
      </c>
    </row>
    <row r="138" spans="1:23" x14ac:dyDescent="0.25">
      <c r="A138" t="s">
        <v>149</v>
      </c>
      <c r="B138" s="2">
        <v>45387</v>
      </c>
      <c r="C138" t="s">
        <v>548</v>
      </c>
      <c r="D138" t="s">
        <v>683</v>
      </c>
      <c r="E138" t="s">
        <v>535</v>
      </c>
      <c r="F138" t="s">
        <v>540</v>
      </c>
      <c r="G138" t="s">
        <v>546</v>
      </c>
      <c r="H138" t="s">
        <v>1045</v>
      </c>
      <c r="I138" s="3">
        <v>494</v>
      </c>
      <c r="J138" s="4">
        <v>0.13</v>
      </c>
      <c r="K138" s="3">
        <v>429.78</v>
      </c>
      <c r="L138" s="3">
        <v>365.01</v>
      </c>
      <c r="M138" s="5">
        <v>3</v>
      </c>
      <c r="N138" s="3">
        <v>127</v>
      </c>
      <c r="O138" s="6">
        <v>0.42</v>
      </c>
      <c r="P138" s="3">
        <v>1289.3399999999999</v>
      </c>
      <c r="Q138" s="3">
        <v>492.01</v>
      </c>
      <c r="R138" s="3">
        <v>1476.03</v>
      </c>
      <c r="S138" s="3">
        <v>-186.69000000000005</v>
      </c>
      <c r="T138" s="4">
        <v>-0.14479501140118201</v>
      </c>
      <c r="U138" s="4">
        <v>-0.56479501140118205</v>
      </c>
      <c r="V138" t="s">
        <v>1057</v>
      </c>
      <c r="W138" t="s">
        <v>1055</v>
      </c>
    </row>
    <row r="139" spans="1:23" x14ac:dyDescent="0.25">
      <c r="A139" t="s">
        <v>150</v>
      </c>
      <c r="B139" s="2">
        <v>45343</v>
      </c>
      <c r="C139" t="s">
        <v>548</v>
      </c>
      <c r="D139" t="s">
        <v>684</v>
      </c>
      <c r="E139" t="s">
        <v>535</v>
      </c>
      <c r="F139" t="s">
        <v>538</v>
      </c>
      <c r="G139" t="s">
        <v>545</v>
      </c>
      <c r="H139" t="s">
        <v>1044</v>
      </c>
      <c r="I139" s="3">
        <v>7335</v>
      </c>
      <c r="J139" s="4">
        <v>0.2</v>
      </c>
      <c r="K139" s="3">
        <v>5868</v>
      </c>
      <c r="L139" s="3">
        <v>4606.83</v>
      </c>
      <c r="M139" s="5">
        <v>1</v>
      </c>
      <c r="N139" s="3">
        <v>35</v>
      </c>
      <c r="O139" s="6">
        <v>0.39</v>
      </c>
      <c r="P139" s="3">
        <v>5868</v>
      </c>
      <c r="Q139" s="3">
        <v>4641.83</v>
      </c>
      <c r="R139" s="3">
        <v>4641.83</v>
      </c>
      <c r="S139" s="3">
        <v>1226.17</v>
      </c>
      <c r="T139" s="4">
        <v>0.20895875937287001</v>
      </c>
      <c r="U139" s="4">
        <v>-0.18104124062713001</v>
      </c>
      <c r="V139" t="s">
        <v>1054</v>
      </c>
      <c r="W139" t="s">
        <v>1056</v>
      </c>
    </row>
    <row r="140" spans="1:23" x14ac:dyDescent="0.25">
      <c r="A140" t="s">
        <v>151</v>
      </c>
      <c r="B140" s="2">
        <v>45387</v>
      </c>
      <c r="C140" t="s">
        <v>550</v>
      </c>
      <c r="D140" t="s">
        <v>685</v>
      </c>
      <c r="E140" t="s">
        <v>535</v>
      </c>
      <c r="F140" t="s">
        <v>540</v>
      </c>
      <c r="G140" t="s">
        <v>545</v>
      </c>
      <c r="H140" t="s">
        <v>1042</v>
      </c>
      <c r="I140" s="3">
        <v>1122</v>
      </c>
      <c r="J140" s="4">
        <v>0.12</v>
      </c>
      <c r="K140" s="3">
        <v>987.36</v>
      </c>
      <c r="L140" s="3">
        <v>767.62</v>
      </c>
      <c r="M140" s="5">
        <v>3</v>
      </c>
      <c r="N140" s="3">
        <v>59</v>
      </c>
      <c r="O140" s="6">
        <v>0.42</v>
      </c>
      <c r="P140" s="3">
        <v>2962.08</v>
      </c>
      <c r="Q140" s="3">
        <v>826.62</v>
      </c>
      <c r="R140" s="3">
        <v>2479.86</v>
      </c>
      <c r="S140" s="3">
        <v>482.2199999999998</v>
      </c>
      <c r="T140" s="4">
        <v>0.162797763733593</v>
      </c>
      <c r="U140" s="4">
        <v>-0.25720223626640698</v>
      </c>
      <c r="V140" t="s">
        <v>1054</v>
      </c>
      <c r="W140" t="s">
        <v>1055</v>
      </c>
    </row>
    <row r="141" spans="1:23" x14ac:dyDescent="0.25">
      <c r="A141" t="s">
        <v>152</v>
      </c>
      <c r="B141" s="2">
        <v>45423</v>
      </c>
      <c r="C141" t="s">
        <v>550</v>
      </c>
      <c r="D141" t="s">
        <v>686</v>
      </c>
      <c r="E141" t="s">
        <v>537</v>
      </c>
      <c r="F141" t="s">
        <v>542</v>
      </c>
      <c r="G141" t="s">
        <v>545</v>
      </c>
      <c r="H141" t="s">
        <v>1043</v>
      </c>
      <c r="I141" s="3">
        <v>3090</v>
      </c>
      <c r="J141" s="4">
        <v>0.18</v>
      </c>
      <c r="K141" s="3">
        <v>2533.8000000000002</v>
      </c>
      <c r="L141" s="3">
        <v>1532.32</v>
      </c>
      <c r="M141" s="5">
        <v>3</v>
      </c>
      <c r="N141" s="3">
        <v>58</v>
      </c>
      <c r="O141" s="6">
        <v>0.43</v>
      </c>
      <c r="P141" s="3">
        <v>7601.4000000000005</v>
      </c>
      <c r="Q141" s="3">
        <v>1590.32</v>
      </c>
      <c r="R141" s="3">
        <v>4770.96</v>
      </c>
      <c r="S141" s="3">
        <v>2830.4400000000005</v>
      </c>
      <c r="T141" s="4">
        <v>0.37235772357723601</v>
      </c>
      <c r="U141" s="4">
        <v>-5.7642276422763997E-2</v>
      </c>
      <c r="V141" t="s">
        <v>1054</v>
      </c>
      <c r="W141" t="s">
        <v>1055</v>
      </c>
    </row>
    <row r="142" spans="1:23" x14ac:dyDescent="0.25">
      <c r="A142" t="s">
        <v>153</v>
      </c>
      <c r="B142" s="2">
        <v>45442</v>
      </c>
      <c r="C142" t="s">
        <v>547</v>
      </c>
      <c r="D142" t="s">
        <v>687</v>
      </c>
      <c r="E142" t="s">
        <v>536</v>
      </c>
      <c r="F142" t="s">
        <v>539</v>
      </c>
      <c r="G142" t="s">
        <v>546</v>
      </c>
      <c r="H142" t="s">
        <v>1045</v>
      </c>
      <c r="I142" s="3">
        <v>7872</v>
      </c>
      <c r="J142" s="4">
        <v>0.12</v>
      </c>
      <c r="K142" s="3">
        <v>6927.36</v>
      </c>
      <c r="L142" s="3">
        <v>4029.33</v>
      </c>
      <c r="M142" s="5">
        <v>2</v>
      </c>
      <c r="N142" s="3">
        <v>20</v>
      </c>
      <c r="O142" s="6">
        <v>0.32</v>
      </c>
      <c r="P142" s="3">
        <v>13854.72</v>
      </c>
      <c r="Q142" s="3">
        <v>4049.33</v>
      </c>
      <c r="R142" s="3">
        <v>8098.66</v>
      </c>
      <c r="S142" s="3">
        <v>5756.0599999999995</v>
      </c>
      <c r="T142" s="4">
        <v>0.41545841417221002</v>
      </c>
      <c r="U142" s="4">
        <v>9.5458414172210002E-2</v>
      </c>
      <c r="V142" t="s">
        <v>1058</v>
      </c>
      <c r="W142" t="s">
        <v>1055</v>
      </c>
    </row>
    <row r="143" spans="1:23" x14ac:dyDescent="0.25">
      <c r="A143" t="s">
        <v>154</v>
      </c>
      <c r="B143" s="2">
        <v>45434</v>
      </c>
      <c r="C143" t="s">
        <v>550</v>
      </c>
      <c r="D143" t="s">
        <v>688</v>
      </c>
      <c r="E143" t="s">
        <v>535</v>
      </c>
      <c r="F143" t="s">
        <v>540</v>
      </c>
      <c r="G143" t="s">
        <v>546</v>
      </c>
      <c r="H143" t="s">
        <v>1042</v>
      </c>
      <c r="I143" s="3">
        <v>5972</v>
      </c>
      <c r="J143" s="4">
        <v>0.23</v>
      </c>
      <c r="K143" s="3">
        <v>4598.4399999999996</v>
      </c>
      <c r="L143" s="3">
        <v>3898.24</v>
      </c>
      <c r="M143" s="5">
        <v>2</v>
      </c>
      <c r="N143" s="3">
        <v>51</v>
      </c>
      <c r="O143" s="6">
        <v>0.36</v>
      </c>
      <c r="P143" s="3">
        <v>9196.8799999999992</v>
      </c>
      <c r="Q143" s="3">
        <v>3949.24</v>
      </c>
      <c r="R143" s="3">
        <v>7898.48</v>
      </c>
      <c r="S143" s="3">
        <v>1298.3999999999996</v>
      </c>
      <c r="T143" s="4">
        <v>0.14117831264515801</v>
      </c>
      <c r="U143" s="4">
        <v>-0.218821687354842</v>
      </c>
      <c r="V143" t="s">
        <v>1054</v>
      </c>
      <c r="W143" t="s">
        <v>1056</v>
      </c>
    </row>
    <row r="144" spans="1:23" x14ac:dyDescent="0.25">
      <c r="A144" t="s">
        <v>155</v>
      </c>
      <c r="B144" s="2">
        <v>45462</v>
      </c>
      <c r="C144" t="s">
        <v>549</v>
      </c>
      <c r="D144" t="s">
        <v>689</v>
      </c>
      <c r="E144" t="s">
        <v>536</v>
      </c>
      <c r="F144" t="s">
        <v>539</v>
      </c>
      <c r="G144" t="s">
        <v>546</v>
      </c>
      <c r="H144" t="s">
        <v>1044</v>
      </c>
      <c r="I144" s="3">
        <v>5749</v>
      </c>
      <c r="J144" s="4">
        <v>0.27</v>
      </c>
      <c r="K144" s="3">
        <v>4196.7700000000004</v>
      </c>
      <c r="L144" s="3">
        <v>3584.59</v>
      </c>
      <c r="M144" s="5">
        <v>1</v>
      </c>
      <c r="N144" s="3">
        <v>176</v>
      </c>
      <c r="O144" s="6">
        <v>0.28999999999999998</v>
      </c>
      <c r="P144" s="3">
        <v>4196.7700000000004</v>
      </c>
      <c r="Q144" s="3">
        <v>3760.59</v>
      </c>
      <c r="R144" s="3">
        <v>3760.59</v>
      </c>
      <c r="S144" s="3">
        <v>436.18000000000029</v>
      </c>
      <c r="T144" s="4">
        <v>0.103932309847812</v>
      </c>
      <c r="U144" s="4">
        <v>-0.18606769015218799</v>
      </c>
      <c r="V144" t="s">
        <v>1054</v>
      </c>
      <c r="W144" t="s">
        <v>1056</v>
      </c>
    </row>
    <row r="145" spans="1:23" x14ac:dyDescent="0.25">
      <c r="A145" t="s">
        <v>156</v>
      </c>
      <c r="B145" s="2">
        <v>45320</v>
      </c>
      <c r="C145" t="s">
        <v>549</v>
      </c>
      <c r="D145" t="s">
        <v>690</v>
      </c>
      <c r="E145" t="s">
        <v>535</v>
      </c>
      <c r="F145" t="s">
        <v>540</v>
      </c>
      <c r="G145" t="s">
        <v>546</v>
      </c>
      <c r="H145" t="s">
        <v>1042</v>
      </c>
      <c r="I145" s="3">
        <v>5522</v>
      </c>
      <c r="J145" s="4">
        <v>0.12</v>
      </c>
      <c r="K145" s="3">
        <v>4859.3599999999997</v>
      </c>
      <c r="L145" s="3">
        <v>3072.99</v>
      </c>
      <c r="M145" s="5">
        <v>1</v>
      </c>
      <c r="N145" s="3">
        <v>22</v>
      </c>
      <c r="O145" s="6">
        <v>0.42</v>
      </c>
      <c r="P145" s="3">
        <v>4859.3599999999997</v>
      </c>
      <c r="Q145" s="3">
        <v>3094.99</v>
      </c>
      <c r="R145" s="3">
        <v>3094.99</v>
      </c>
      <c r="S145" s="3">
        <v>1764.37</v>
      </c>
      <c r="T145" s="4">
        <v>0.36308690856409098</v>
      </c>
      <c r="U145" s="4">
        <v>-5.6913091435909002E-2</v>
      </c>
      <c r="V145" t="s">
        <v>1054</v>
      </c>
      <c r="W145" t="s">
        <v>1055</v>
      </c>
    </row>
    <row r="146" spans="1:23" x14ac:dyDescent="0.25">
      <c r="A146" t="s">
        <v>157</v>
      </c>
      <c r="B146" s="2">
        <v>45327</v>
      </c>
      <c r="C146" t="s">
        <v>547</v>
      </c>
      <c r="D146" t="s">
        <v>691</v>
      </c>
      <c r="E146" t="s">
        <v>536</v>
      </c>
      <c r="F146" t="s">
        <v>544</v>
      </c>
      <c r="G146" t="s">
        <v>546</v>
      </c>
      <c r="H146" t="s">
        <v>1042</v>
      </c>
      <c r="I146" s="3">
        <v>1635</v>
      </c>
      <c r="J146" s="4">
        <v>0.25</v>
      </c>
      <c r="K146" s="3">
        <v>1226.25</v>
      </c>
      <c r="L146" s="3">
        <v>848.97</v>
      </c>
      <c r="M146" s="5">
        <v>3</v>
      </c>
      <c r="N146" s="3">
        <v>67</v>
      </c>
      <c r="O146" s="6">
        <v>0.31</v>
      </c>
      <c r="P146" s="3">
        <v>3678.75</v>
      </c>
      <c r="Q146" s="3">
        <v>915.97</v>
      </c>
      <c r="R146" s="3">
        <v>2747.91</v>
      </c>
      <c r="S146" s="3">
        <v>930.84000000000015</v>
      </c>
      <c r="T146" s="4">
        <v>0.25303160040774703</v>
      </c>
      <c r="U146" s="4">
        <v>-5.6968399592253E-2</v>
      </c>
      <c r="V146" t="s">
        <v>1054</v>
      </c>
      <c r="W146" t="s">
        <v>1056</v>
      </c>
    </row>
    <row r="147" spans="1:23" x14ac:dyDescent="0.25">
      <c r="A147" t="s">
        <v>158</v>
      </c>
      <c r="B147" s="2">
        <v>45304</v>
      </c>
      <c r="C147" t="s">
        <v>550</v>
      </c>
      <c r="D147" t="s">
        <v>692</v>
      </c>
      <c r="E147" t="s">
        <v>536</v>
      </c>
      <c r="F147" t="s">
        <v>544</v>
      </c>
      <c r="G147" t="s">
        <v>546</v>
      </c>
      <c r="H147" t="s">
        <v>1044</v>
      </c>
      <c r="I147" s="3">
        <v>2451</v>
      </c>
      <c r="J147" s="4">
        <v>0.18</v>
      </c>
      <c r="K147" s="3">
        <v>2009.82</v>
      </c>
      <c r="L147" s="3">
        <v>1348.22</v>
      </c>
      <c r="M147" s="5">
        <v>2</v>
      </c>
      <c r="N147" s="3">
        <v>159</v>
      </c>
      <c r="O147" s="6">
        <v>0.44</v>
      </c>
      <c r="P147" s="3">
        <v>4019.64</v>
      </c>
      <c r="Q147" s="3">
        <v>1507.22</v>
      </c>
      <c r="R147" s="3">
        <v>3014.44</v>
      </c>
      <c r="S147" s="3">
        <v>1005.1999999999998</v>
      </c>
      <c r="T147" s="4">
        <v>0.25007214576429698</v>
      </c>
      <c r="U147" s="4">
        <v>-0.18992785423570299</v>
      </c>
      <c r="V147" t="s">
        <v>1054</v>
      </c>
      <c r="W147" t="s">
        <v>1055</v>
      </c>
    </row>
    <row r="148" spans="1:23" x14ac:dyDescent="0.25">
      <c r="A148" t="s">
        <v>159</v>
      </c>
      <c r="B148" s="2">
        <v>45451</v>
      </c>
      <c r="C148" t="s">
        <v>548</v>
      </c>
      <c r="D148" t="s">
        <v>693</v>
      </c>
      <c r="E148" t="s">
        <v>535</v>
      </c>
      <c r="F148" t="s">
        <v>540</v>
      </c>
      <c r="G148" t="s">
        <v>546</v>
      </c>
      <c r="H148" t="s">
        <v>1042</v>
      </c>
      <c r="I148" s="3">
        <v>2715</v>
      </c>
      <c r="J148" s="4">
        <v>0.08</v>
      </c>
      <c r="K148" s="3">
        <v>2497.8000000000002</v>
      </c>
      <c r="L148" s="3">
        <v>1588.58</v>
      </c>
      <c r="M148" s="5">
        <v>1</v>
      </c>
      <c r="N148" s="3">
        <v>153</v>
      </c>
      <c r="O148" s="6">
        <v>0.33</v>
      </c>
      <c r="P148" s="3">
        <v>2497.8000000000002</v>
      </c>
      <c r="Q148" s="3">
        <v>1741.58</v>
      </c>
      <c r="R148" s="3">
        <v>1741.58</v>
      </c>
      <c r="S148" s="3">
        <v>756.22000000000025</v>
      </c>
      <c r="T148" s="4">
        <v>0.30275442389302598</v>
      </c>
      <c r="U148" s="4">
        <v>-2.7245576106974E-2</v>
      </c>
      <c r="V148" t="s">
        <v>1054</v>
      </c>
      <c r="W148" t="s">
        <v>1059</v>
      </c>
    </row>
    <row r="149" spans="1:23" x14ac:dyDescent="0.25">
      <c r="A149" t="s">
        <v>160</v>
      </c>
      <c r="B149" s="2">
        <v>45362</v>
      </c>
      <c r="C149" t="s">
        <v>550</v>
      </c>
      <c r="D149" t="s">
        <v>617</v>
      </c>
      <c r="E149" t="s">
        <v>536</v>
      </c>
      <c r="F149" t="s">
        <v>544</v>
      </c>
      <c r="G149" t="s">
        <v>546</v>
      </c>
      <c r="H149" t="s">
        <v>1042</v>
      </c>
      <c r="I149" s="3">
        <v>6820</v>
      </c>
      <c r="J149" s="4">
        <v>0.1</v>
      </c>
      <c r="K149" s="3">
        <v>6138</v>
      </c>
      <c r="L149" s="3">
        <v>5099.62</v>
      </c>
      <c r="M149" s="5">
        <v>1</v>
      </c>
      <c r="N149" s="3">
        <v>113</v>
      </c>
      <c r="O149" s="6">
        <v>0.42</v>
      </c>
      <c r="P149" s="3">
        <v>6138</v>
      </c>
      <c r="Q149" s="3">
        <v>5212.62</v>
      </c>
      <c r="R149" s="3">
        <v>5212.62</v>
      </c>
      <c r="S149" s="3">
        <v>925.38000000000011</v>
      </c>
      <c r="T149" s="4">
        <v>0.150762463343109</v>
      </c>
      <c r="U149" s="4">
        <v>-0.26923753665689099</v>
      </c>
      <c r="V149" t="s">
        <v>1054</v>
      </c>
      <c r="W149" t="s">
        <v>1055</v>
      </c>
    </row>
    <row r="150" spans="1:23" x14ac:dyDescent="0.25">
      <c r="A150" t="s">
        <v>161</v>
      </c>
      <c r="B150" s="2">
        <v>45377</v>
      </c>
      <c r="C150" t="s">
        <v>550</v>
      </c>
      <c r="D150" t="s">
        <v>694</v>
      </c>
      <c r="E150" t="s">
        <v>537</v>
      </c>
      <c r="F150" t="s">
        <v>543</v>
      </c>
      <c r="G150" t="s">
        <v>545</v>
      </c>
      <c r="H150" t="s">
        <v>1042</v>
      </c>
      <c r="I150" s="3">
        <v>5330</v>
      </c>
      <c r="J150" s="4">
        <v>0.23</v>
      </c>
      <c r="K150" s="3">
        <v>4104.1000000000004</v>
      </c>
      <c r="L150" s="3">
        <v>3208.93</v>
      </c>
      <c r="M150" s="5">
        <v>1</v>
      </c>
      <c r="N150" s="3">
        <v>151</v>
      </c>
      <c r="O150" s="6">
        <v>0.32</v>
      </c>
      <c r="P150" s="3">
        <v>4104.1000000000004</v>
      </c>
      <c r="Q150" s="3">
        <v>3359.93</v>
      </c>
      <c r="R150" s="3">
        <v>3359.93</v>
      </c>
      <c r="S150" s="3">
        <v>744.17000000000053</v>
      </c>
      <c r="T150" s="4">
        <v>0.181323554494286</v>
      </c>
      <c r="U150" s="4">
        <v>-0.13867644550571401</v>
      </c>
      <c r="V150" t="s">
        <v>1054</v>
      </c>
      <c r="W150" t="s">
        <v>1056</v>
      </c>
    </row>
    <row r="151" spans="1:23" x14ac:dyDescent="0.25">
      <c r="A151" t="s">
        <v>162</v>
      </c>
      <c r="B151" s="2">
        <v>45319</v>
      </c>
      <c r="C151" t="s">
        <v>547</v>
      </c>
      <c r="D151" t="s">
        <v>695</v>
      </c>
      <c r="E151" t="s">
        <v>537</v>
      </c>
      <c r="F151" t="s">
        <v>542</v>
      </c>
      <c r="G151" t="s">
        <v>546</v>
      </c>
      <c r="H151" t="s">
        <v>1045</v>
      </c>
      <c r="I151" s="3">
        <v>7162</v>
      </c>
      <c r="J151" s="4">
        <v>0.2</v>
      </c>
      <c r="K151" s="3">
        <v>5729.6</v>
      </c>
      <c r="L151" s="3">
        <v>4996.1099999999997</v>
      </c>
      <c r="M151" s="5">
        <v>3</v>
      </c>
      <c r="N151" s="3">
        <v>199</v>
      </c>
      <c r="O151" s="6">
        <v>0.44</v>
      </c>
      <c r="P151" s="3">
        <v>17188.800000000003</v>
      </c>
      <c r="Q151" s="3">
        <v>5195.1099999999997</v>
      </c>
      <c r="R151" s="3">
        <v>15585.329999999998</v>
      </c>
      <c r="S151" s="3">
        <v>1603.4700000000048</v>
      </c>
      <c r="T151" s="4">
        <v>9.3285744205529403E-2</v>
      </c>
      <c r="U151" s="4">
        <v>-0.34671425579447102</v>
      </c>
      <c r="V151" t="s">
        <v>1054</v>
      </c>
      <c r="W151" t="s">
        <v>1056</v>
      </c>
    </row>
    <row r="152" spans="1:23" x14ac:dyDescent="0.25">
      <c r="A152" t="s">
        <v>163</v>
      </c>
      <c r="B152" s="2">
        <v>45357</v>
      </c>
      <c r="C152" t="s">
        <v>548</v>
      </c>
      <c r="D152" t="s">
        <v>696</v>
      </c>
      <c r="E152" t="s">
        <v>536</v>
      </c>
      <c r="F152" t="s">
        <v>544</v>
      </c>
      <c r="G152" t="s">
        <v>545</v>
      </c>
      <c r="H152" t="s">
        <v>1044</v>
      </c>
      <c r="I152" s="3">
        <v>4487</v>
      </c>
      <c r="J152" s="4">
        <v>0.22</v>
      </c>
      <c r="K152" s="3">
        <v>3499.86</v>
      </c>
      <c r="L152" s="3">
        <v>2545.5300000000002</v>
      </c>
      <c r="M152" s="5">
        <v>3</v>
      </c>
      <c r="N152" s="3">
        <v>21</v>
      </c>
      <c r="O152" s="6">
        <v>0.35</v>
      </c>
      <c r="P152" s="3">
        <v>10499.58</v>
      </c>
      <c r="Q152" s="3">
        <v>2566.5300000000002</v>
      </c>
      <c r="R152" s="3">
        <v>7699.59</v>
      </c>
      <c r="S152" s="3">
        <v>2799.99</v>
      </c>
      <c r="T152" s="4">
        <v>0.26667638134096799</v>
      </c>
      <c r="U152" s="4">
        <v>-8.3323618659031998E-2</v>
      </c>
      <c r="V152" t="s">
        <v>1054</v>
      </c>
      <c r="W152" t="s">
        <v>1056</v>
      </c>
    </row>
    <row r="153" spans="1:23" x14ac:dyDescent="0.25">
      <c r="A153" t="s">
        <v>164</v>
      </c>
      <c r="B153" s="2">
        <v>45461</v>
      </c>
      <c r="C153" t="s">
        <v>548</v>
      </c>
      <c r="D153" t="s">
        <v>697</v>
      </c>
      <c r="E153" t="s">
        <v>537</v>
      </c>
      <c r="F153" t="s">
        <v>542</v>
      </c>
      <c r="G153" t="s">
        <v>545</v>
      </c>
      <c r="H153" t="s">
        <v>1043</v>
      </c>
      <c r="I153" s="3">
        <v>5839</v>
      </c>
      <c r="J153" s="4">
        <v>0.27</v>
      </c>
      <c r="K153" s="3">
        <v>4262.47</v>
      </c>
      <c r="L153" s="3">
        <v>2875.03</v>
      </c>
      <c r="M153" s="5">
        <v>2</v>
      </c>
      <c r="N153" s="3">
        <v>16</v>
      </c>
      <c r="O153" s="6">
        <v>0.28999999999999998</v>
      </c>
      <c r="P153" s="3">
        <v>8524.94</v>
      </c>
      <c r="Q153" s="3">
        <v>2891.03</v>
      </c>
      <c r="R153" s="3">
        <v>5782.06</v>
      </c>
      <c r="S153" s="3">
        <v>2742.88</v>
      </c>
      <c r="T153" s="4">
        <v>0.32174771904553001</v>
      </c>
      <c r="U153" s="4">
        <v>3.1747719045529997E-2</v>
      </c>
      <c r="V153" t="s">
        <v>1058</v>
      </c>
      <c r="W153" t="s">
        <v>1056</v>
      </c>
    </row>
    <row r="154" spans="1:23" x14ac:dyDescent="0.25">
      <c r="A154" t="s">
        <v>165</v>
      </c>
      <c r="B154" s="2">
        <v>45336</v>
      </c>
      <c r="C154" t="s">
        <v>548</v>
      </c>
      <c r="D154" t="s">
        <v>698</v>
      </c>
      <c r="E154" t="s">
        <v>536</v>
      </c>
      <c r="F154" t="s">
        <v>544</v>
      </c>
      <c r="G154" t="s">
        <v>545</v>
      </c>
      <c r="H154" t="s">
        <v>1043</v>
      </c>
      <c r="I154" s="3">
        <v>7423</v>
      </c>
      <c r="J154" s="4">
        <v>0.34</v>
      </c>
      <c r="K154" s="3">
        <v>4899.18</v>
      </c>
      <c r="L154" s="3">
        <v>4767.7299999999996</v>
      </c>
      <c r="M154" s="5">
        <v>2</v>
      </c>
      <c r="N154" s="3">
        <v>34</v>
      </c>
      <c r="O154" s="6">
        <v>0.3</v>
      </c>
      <c r="P154" s="3">
        <v>9798.36</v>
      </c>
      <c r="Q154" s="3">
        <v>4801.7299999999996</v>
      </c>
      <c r="R154" s="3">
        <v>9603.4599999999991</v>
      </c>
      <c r="S154" s="3">
        <v>194.90000000000146</v>
      </c>
      <c r="T154" s="4">
        <v>1.9891083814026201E-2</v>
      </c>
      <c r="U154" s="4">
        <v>-0.280108916185974</v>
      </c>
      <c r="V154" t="s">
        <v>1054</v>
      </c>
      <c r="W154" t="s">
        <v>1056</v>
      </c>
    </row>
    <row r="155" spans="1:23" x14ac:dyDescent="0.25">
      <c r="A155" t="s">
        <v>166</v>
      </c>
      <c r="B155" s="2">
        <v>45353</v>
      </c>
      <c r="C155" t="s">
        <v>548</v>
      </c>
      <c r="D155" t="s">
        <v>699</v>
      </c>
      <c r="E155" t="s">
        <v>535</v>
      </c>
      <c r="F155" t="s">
        <v>538</v>
      </c>
      <c r="G155" t="s">
        <v>546</v>
      </c>
      <c r="H155" t="s">
        <v>1043</v>
      </c>
      <c r="I155" s="3">
        <v>6529</v>
      </c>
      <c r="J155" s="4">
        <v>0.28000000000000003</v>
      </c>
      <c r="K155" s="3">
        <v>4700.88</v>
      </c>
      <c r="L155" s="3">
        <v>3280.51</v>
      </c>
      <c r="M155" s="5">
        <v>3</v>
      </c>
      <c r="N155" s="3">
        <v>140</v>
      </c>
      <c r="O155" s="6">
        <v>0.35</v>
      </c>
      <c r="P155" s="3">
        <v>14102.64</v>
      </c>
      <c r="Q155" s="3">
        <v>3420.51</v>
      </c>
      <c r="R155" s="3">
        <v>10261.530000000001</v>
      </c>
      <c r="S155" s="3">
        <v>3841.1099999999988</v>
      </c>
      <c r="T155" s="4">
        <v>0.27236815234594403</v>
      </c>
      <c r="U155" s="4">
        <v>-7.7631847654055994E-2</v>
      </c>
      <c r="V155" t="s">
        <v>1054</v>
      </c>
      <c r="W155" t="s">
        <v>1056</v>
      </c>
    </row>
    <row r="156" spans="1:23" x14ac:dyDescent="0.25">
      <c r="A156" t="s">
        <v>167</v>
      </c>
      <c r="B156" s="2">
        <v>45425</v>
      </c>
      <c r="C156" t="s">
        <v>550</v>
      </c>
      <c r="D156" t="s">
        <v>700</v>
      </c>
      <c r="E156" t="s">
        <v>535</v>
      </c>
      <c r="F156" t="s">
        <v>540</v>
      </c>
      <c r="G156" t="s">
        <v>546</v>
      </c>
      <c r="H156" t="s">
        <v>1043</v>
      </c>
      <c r="I156" s="3">
        <v>1013</v>
      </c>
      <c r="J156" s="4">
        <v>0.09</v>
      </c>
      <c r="K156" s="3">
        <v>921.83</v>
      </c>
      <c r="L156" s="3">
        <v>748.54</v>
      </c>
      <c r="M156" s="5">
        <v>1</v>
      </c>
      <c r="N156" s="3">
        <v>197</v>
      </c>
      <c r="O156" s="6">
        <v>0.44</v>
      </c>
      <c r="P156" s="3">
        <v>921.83</v>
      </c>
      <c r="Q156" s="3">
        <v>945.54</v>
      </c>
      <c r="R156" s="3">
        <v>945.54</v>
      </c>
      <c r="S156" s="3">
        <v>-23.709999999999923</v>
      </c>
      <c r="T156" s="4">
        <v>-2.5720577546836099E-2</v>
      </c>
      <c r="U156" s="4">
        <v>-0.46572057754683599</v>
      </c>
      <c r="V156" t="s">
        <v>1054</v>
      </c>
      <c r="W156" t="s">
        <v>1059</v>
      </c>
    </row>
    <row r="157" spans="1:23" x14ac:dyDescent="0.25">
      <c r="A157" t="s">
        <v>168</v>
      </c>
      <c r="B157" s="2">
        <v>45319</v>
      </c>
      <c r="C157" t="s">
        <v>549</v>
      </c>
      <c r="D157" t="s">
        <v>690</v>
      </c>
      <c r="E157" t="s">
        <v>537</v>
      </c>
      <c r="F157" t="s">
        <v>542</v>
      </c>
      <c r="G157" t="s">
        <v>545</v>
      </c>
      <c r="H157" t="s">
        <v>1042</v>
      </c>
      <c r="I157" s="3">
        <v>1934</v>
      </c>
      <c r="J157" s="4">
        <v>0.06</v>
      </c>
      <c r="K157" s="3">
        <v>1817.96</v>
      </c>
      <c r="L157" s="3">
        <v>1219.9000000000001</v>
      </c>
      <c r="M157" s="5">
        <v>3</v>
      </c>
      <c r="N157" s="3">
        <v>160</v>
      </c>
      <c r="O157" s="6">
        <v>0.35</v>
      </c>
      <c r="P157" s="3">
        <v>5453.88</v>
      </c>
      <c r="Q157" s="3">
        <v>1379.9</v>
      </c>
      <c r="R157" s="3">
        <v>4139.7000000000007</v>
      </c>
      <c r="S157" s="3">
        <v>1314.1799999999994</v>
      </c>
      <c r="T157" s="4">
        <v>0.24096239741248399</v>
      </c>
      <c r="U157" s="4">
        <v>-0.10903760258751601</v>
      </c>
      <c r="V157" t="s">
        <v>1054</v>
      </c>
      <c r="W157" t="s">
        <v>1059</v>
      </c>
    </row>
    <row r="158" spans="1:23" x14ac:dyDescent="0.25">
      <c r="A158" t="s">
        <v>169</v>
      </c>
      <c r="B158" s="2">
        <v>45319</v>
      </c>
      <c r="C158" t="s">
        <v>550</v>
      </c>
      <c r="D158" t="s">
        <v>701</v>
      </c>
      <c r="E158" t="s">
        <v>536</v>
      </c>
      <c r="F158" t="s">
        <v>544</v>
      </c>
      <c r="G158" t="s">
        <v>546</v>
      </c>
      <c r="H158" t="s">
        <v>1043</v>
      </c>
      <c r="I158" s="3">
        <v>3900</v>
      </c>
      <c r="J158" s="4">
        <v>0.28000000000000003</v>
      </c>
      <c r="K158" s="3">
        <v>2808</v>
      </c>
      <c r="L158" s="3">
        <v>2479.81</v>
      </c>
      <c r="M158" s="5">
        <v>1</v>
      </c>
      <c r="N158" s="3">
        <v>92</v>
      </c>
      <c r="O158" s="6">
        <v>0.3</v>
      </c>
      <c r="P158" s="3">
        <v>2808</v>
      </c>
      <c r="Q158" s="3">
        <v>2571.81</v>
      </c>
      <c r="R158" s="3">
        <v>2571.81</v>
      </c>
      <c r="S158" s="3">
        <v>236.19000000000005</v>
      </c>
      <c r="T158" s="4">
        <v>8.4113247863247906E-2</v>
      </c>
      <c r="U158" s="4">
        <v>-0.21588675213675201</v>
      </c>
      <c r="V158" t="s">
        <v>1054</v>
      </c>
      <c r="W158" t="s">
        <v>1056</v>
      </c>
    </row>
    <row r="159" spans="1:23" x14ac:dyDescent="0.25">
      <c r="A159" t="s">
        <v>170</v>
      </c>
      <c r="B159" s="2">
        <v>45399</v>
      </c>
      <c r="C159" t="s">
        <v>548</v>
      </c>
      <c r="D159" t="s">
        <v>702</v>
      </c>
      <c r="E159" t="s">
        <v>537</v>
      </c>
      <c r="F159" t="s">
        <v>543</v>
      </c>
      <c r="G159" t="s">
        <v>546</v>
      </c>
      <c r="H159" t="s">
        <v>1042</v>
      </c>
      <c r="I159" s="3">
        <v>6957</v>
      </c>
      <c r="J159" s="4">
        <v>0.24</v>
      </c>
      <c r="K159" s="3">
        <v>5287.32</v>
      </c>
      <c r="L159" s="3">
        <v>4452.18</v>
      </c>
      <c r="M159" s="5">
        <v>1</v>
      </c>
      <c r="N159" s="3">
        <v>49</v>
      </c>
      <c r="O159" s="6">
        <v>0.32</v>
      </c>
      <c r="P159" s="3">
        <v>5287.32</v>
      </c>
      <c r="Q159" s="3">
        <v>4501.18</v>
      </c>
      <c r="R159" s="3">
        <v>4501.18</v>
      </c>
      <c r="S159" s="3">
        <v>786.13999999999942</v>
      </c>
      <c r="T159" s="4">
        <v>0.14868402139458201</v>
      </c>
      <c r="U159" s="4">
        <v>-0.171315978605418</v>
      </c>
      <c r="V159" t="s">
        <v>1054</v>
      </c>
      <c r="W159" t="s">
        <v>1056</v>
      </c>
    </row>
    <row r="160" spans="1:23" x14ac:dyDescent="0.25">
      <c r="A160" t="s">
        <v>171</v>
      </c>
      <c r="B160" s="2">
        <v>45335</v>
      </c>
      <c r="C160" t="s">
        <v>549</v>
      </c>
      <c r="D160" t="s">
        <v>703</v>
      </c>
      <c r="E160" t="s">
        <v>535</v>
      </c>
      <c r="F160" t="s">
        <v>538</v>
      </c>
      <c r="G160" t="s">
        <v>546</v>
      </c>
      <c r="H160" t="s">
        <v>1044</v>
      </c>
      <c r="I160" s="3">
        <v>7907</v>
      </c>
      <c r="J160" s="4">
        <v>0.09</v>
      </c>
      <c r="K160" s="3">
        <v>7195.37</v>
      </c>
      <c r="L160" s="3">
        <v>5661.26</v>
      </c>
      <c r="M160" s="5">
        <v>1</v>
      </c>
      <c r="N160" s="3">
        <v>71</v>
      </c>
      <c r="O160" s="6">
        <v>0.34</v>
      </c>
      <c r="P160" s="3">
        <v>7195.37</v>
      </c>
      <c r="Q160" s="3">
        <v>5732.26</v>
      </c>
      <c r="R160" s="3">
        <v>5732.26</v>
      </c>
      <c r="S160" s="3">
        <v>1463.1099999999997</v>
      </c>
      <c r="T160" s="4">
        <v>0.20334048144848699</v>
      </c>
      <c r="U160" s="4">
        <v>-0.13665951855151301</v>
      </c>
      <c r="V160" t="s">
        <v>1054</v>
      </c>
      <c r="W160" t="s">
        <v>1059</v>
      </c>
    </row>
    <row r="161" spans="1:23" x14ac:dyDescent="0.25">
      <c r="A161" t="s">
        <v>172</v>
      </c>
      <c r="B161" s="2">
        <v>45375</v>
      </c>
      <c r="C161" t="s">
        <v>548</v>
      </c>
      <c r="D161" t="s">
        <v>704</v>
      </c>
      <c r="E161" t="s">
        <v>537</v>
      </c>
      <c r="F161" t="s">
        <v>543</v>
      </c>
      <c r="G161" t="s">
        <v>545</v>
      </c>
      <c r="H161" t="s">
        <v>1043</v>
      </c>
      <c r="I161" s="3">
        <v>3766</v>
      </c>
      <c r="J161" s="4">
        <v>0.05</v>
      </c>
      <c r="K161" s="3">
        <v>3577.7</v>
      </c>
      <c r="L161" s="3">
        <v>2164.87</v>
      </c>
      <c r="M161" s="5">
        <v>2</v>
      </c>
      <c r="N161" s="3">
        <v>158</v>
      </c>
      <c r="O161" s="6">
        <v>0.41</v>
      </c>
      <c r="P161" s="3">
        <v>7155.4</v>
      </c>
      <c r="Q161" s="3">
        <v>2322.87</v>
      </c>
      <c r="R161" s="3">
        <v>4645.74</v>
      </c>
      <c r="S161" s="3">
        <v>2509.66</v>
      </c>
      <c r="T161" s="4">
        <v>0.350736506694245</v>
      </c>
      <c r="U161" s="4">
        <v>-5.9263493305754998E-2</v>
      </c>
      <c r="V161" t="s">
        <v>1054</v>
      </c>
      <c r="W161" t="s">
        <v>1059</v>
      </c>
    </row>
    <row r="162" spans="1:23" x14ac:dyDescent="0.25">
      <c r="A162" t="s">
        <v>173</v>
      </c>
      <c r="B162" s="2">
        <v>45321</v>
      </c>
      <c r="C162" t="s">
        <v>550</v>
      </c>
      <c r="D162" t="s">
        <v>705</v>
      </c>
      <c r="E162" t="s">
        <v>537</v>
      </c>
      <c r="F162" t="s">
        <v>541</v>
      </c>
      <c r="G162" t="s">
        <v>546</v>
      </c>
      <c r="H162" t="s">
        <v>1045</v>
      </c>
      <c r="I162" s="3">
        <v>6258</v>
      </c>
      <c r="J162" s="4">
        <v>0.15</v>
      </c>
      <c r="K162" s="3">
        <v>5319.3</v>
      </c>
      <c r="L162" s="3">
        <v>4382.42</v>
      </c>
      <c r="M162" s="5">
        <v>2</v>
      </c>
      <c r="N162" s="3">
        <v>190</v>
      </c>
      <c r="O162" s="6">
        <v>0.28999999999999998</v>
      </c>
      <c r="P162" s="3">
        <v>10638.6</v>
      </c>
      <c r="Q162" s="3">
        <v>4572.42</v>
      </c>
      <c r="R162" s="3">
        <v>9144.84</v>
      </c>
      <c r="S162" s="3">
        <v>1493.7600000000002</v>
      </c>
      <c r="T162" s="4">
        <v>0.140409452371553</v>
      </c>
      <c r="U162" s="4">
        <v>-0.14959054762844701</v>
      </c>
      <c r="V162" t="s">
        <v>1054</v>
      </c>
      <c r="W162" t="s">
        <v>1055</v>
      </c>
    </row>
    <row r="163" spans="1:23" x14ac:dyDescent="0.25">
      <c r="A163" t="s">
        <v>174</v>
      </c>
      <c r="B163" s="2">
        <v>45366</v>
      </c>
      <c r="C163" t="s">
        <v>547</v>
      </c>
      <c r="D163" t="s">
        <v>706</v>
      </c>
      <c r="E163" t="s">
        <v>535</v>
      </c>
      <c r="F163" t="s">
        <v>540</v>
      </c>
      <c r="G163" t="s">
        <v>546</v>
      </c>
      <c r="H163" t="s">
        <v>1044</v>
      </c>
      <c r="I163" s="3">
        <v>6086</v>
      </c>
      <c r="J163" s="4">
        <v>0.3</v>
      </c>
      <c r="K163" s="3">
        <v>4260.2</v>
      </c>
      <c r="L163" s="3">
        <v>2917.78</v>
      </c>
      <c r="M163" s="5">
        <v>2</v>
      </c>
      <c r="N163" s="3">
        <v>35</v>
      </c>
      <c r="O163" s="6">
        <v>0.31</v>
      </c>
      <c r="P163" s="3">
        <v>8520.4</v>
      </c>
      <c r="Q163" s="3">
        <v>2952.78</v>
      </c>
      <c r="R163" s="3">
        <v>5905.56</v>
      </c>
      <c r="S163" s="3">
        <v>2614.8399999999992</v>
      </c>
      <c r="T163" s="4">
        <v>0.30689169522557602</v>
      </c>
      <c r="U163" s="4">
        <v>-3.1083047744239799E-3</v>
      </c>
      <c r="V163" t="s">
        <v>1054</v>
      </c>
      <c r="W163" t="s">
        <v>1056</v>
      </c>
    </row>
    <row r="164" spans="1:23" x14ac:dyDescent="0.25">
      <c r="A164" t="s">
        <v>175</v>
      </c>
      <c r="B164" s="2">
        <v>45419</v>
      </c>
      <c r="C164" t="s">
        <v>547</v>
      </c>
      <c r="D164" t="s">
        <v>707</v>
      </c>
      <c r="E164" t="s">
        <v>537</v>
      </c>
      <c r="F164" t="s">
        <v>541</v>
      </c>
      <c r="G164" t="s">
        <v>545</v>
      </c>
      <c r="H164" t="s">
        <v>1045</v>
      </c>
      <c r="I164" s="3">
        <v>3543</v>
      </c>
      <c r="J164" s="4">
        <v>0.17</v>
      </c>
      <c r="K164" s="3">
        <v>2940.69</v>
      </c>
      <c r="L164" s="3">
        <v>2610.7199999999998</v>
      </c>
      <c r="M164" s="5">
        <v>1</v>
      </c>
      <c r="N164" s="3">
        <v>122</v>
      </c>
      <c r="O164" s="6">
        <v>0.3</v>
      </c>
      <c r="P164" s="3">
        <v>2940.69</v>
      </c>
      <c r="Q164" s="3">
        <v>2732.72</v>
      </c>
      <c r="R164" s="3">
        <v>2732.72</v>
      </c>
      <c r="S164" s="3">
        <v>207.97000000000025</v>
      </c>
      <c r="T164" s="4">
        <v>7.0721497335659397E-2</v>
      </c>
      <c r="U164" s="4">
        <v>-0.22927850266434099</v>
      </c>
      <c r="V164" t="s">
        <v>1054</v>
      </c>
      <c r="W164" t="s">
        <v>1055</v>
      </c>
    </row>
    <row r="165" spans="1:23" x14ac:dyDescent="0.25">
      <c r="A165" t="s">
        <v>176</v>
      </c>
      <c r="B165" s="2">
        <v>45383</v>
      </c>
      <c r="C165" t="s">
        <v>547</v>
      </c>
      <c r="D165" t="s">
        <v>708</v>
      </c>
      <c r="E165" t="s">
        <v>535</v>
      </c>
      <c r="F165" t="s">
        <v>540</v>
      </c>
      <c r="G165" t="s">
        <v>545</v>
      </c>
      <c r="H165" t="s">
        <v>1042</v>
      </c>
      <c r="I165" s="3">
        <v>6222</v>
      </c>
      <c r="J165" s="4">
        <v>0.13</v>
      </c>
      <c r="K165" s="3">
        <v>5413.14</v>
      </c>
      <c r="L165" s="3">
        <v>4536.43</v>
      </c>
      <c r="M165" s="5">
        <v>1</v>
      </c>
      <c r="N165" s="3">
        <v>197</v>
      </c>
      <c r="O165" s="6">
        <v>0.42</v>
      </c>
      <c r="P165" s="3">
        <v>5413.14</v>
      </c>
      <c r="Q165" s="3">
        <v>4733.43</v>
      </c>
      <c r="R165" s="3">
        <v>4733.43</v>
      </c>
      <c r="S165" s="3">
        <v>679.71</v>
      </c>
      <c r="T165" s="4">
        <v>0.12556667664239199</v>
      </c>
      <c r="U165" s="4">
        <v>-0.29443332335760802</v>
      </c>
      <c r="V165" t="s">
        <v>1054</v>
      </c>
      <c r="W165" t="s">
        <v>1055</v>
      </c>
    </row>
    <row r="166" spans="1:23" x14ac:dyDescent="0.25">
      <c r="A166" t="s">
        <v>177</v>
      </c>
      <c r="B166" s="2">
        <v>45420</v>
      </c>
      <c r="C166" t="s">
        <v>550</v>
      </c>
      <c r="D166" t="s">
        <v>709</v>
      </c>
      <c r="E166" t="s">
        <v>537</v>
      </c>
      <c r="F166" t="s">
        <v>541</v>
      </c>
      <c r="G166" t="s">
        <v>545</v>
      </c>
      <c r="H166" t="s">
        <v>1044</v>
      </c>
      <c r="I166" s="3">
        <v>7149</v>
      </c>
      <c r="J166" s="4">
        <v>0.19</v>
      </c>
      <c r="K166" s="3">
        <v>5790.69</v>
      </c>
      <c r="L166" s="3">
        <v>5109.66</v>
      </c>
      <c r="M166" s="5">
        <v>1</v>
      </c>
      <c r="N166" s="3">
        <v>78</v>
      </c>
      <c r="O166" s="6">
        <v>0.36</v>
      </c>
      <c r="P166" s="3">
        <v>5790.69</v>
      </c>
      <c r="Q166" s="3">
        <v>5187.66</v>
      </c>
      <c r="R166" s="3">
        <v>5187.66</v>
      </c>
      <c r="S166" s="3">
        <v>603.02999999999975</v>
      </c>
      <c r="T166" s="4">
        <v>0.10413784885739</v>
      </c>
      <c r="U166" s="4">
        <v>-0.25586215114261002</v>
      </c>
      <c r="V166" t="s">
        <v>1054</v>
      </c>
      <c r="W166" t="s">
        <v>1055</v>
      </c>
    </row>
    <row r="167" spans="1:23" x14ac:dyDescent="0.25">
      <c r="A167" t="s">
        <v>178</v>
      </c>
      <c r="B167" s="2">
        <v>45412</v>
      </c>
      <c r="C167" t="s">
        <v>547</v>
      </c>
      <c r="D167" t="s">
        <v>710</v>
      </c>
      <c r="E167" t="s">
        <v>535</v>
      </c>
      <c r="F167" t="s">
        <v>538</v>
      </c>
      <c r="G167" t="s">
        <v>545</v>
      </c>
      <c r="H167" t="s">
        <v>1045</v>
      </c>
      <c r="I167" s="3">
        <v>7838</v>
      </c>
      <c r="J167" s="4">
        <v>0.28999999999999998</v>
      </c>
      <c r="K167" s="3">
        <v>5564.98</v>
      </c>
      <c r="L167" s="3">
        <v>3774.86</v>
      </c>
      <c r="M167" s="5">
        <v>1</v>
      </c>
      <c r="N167" s="3">
        <v>26</v>
      </c>
      <c r="O167" s="6">
        <v>0.37</v>
      </c>
      <c r="P167" s="3">
        <v>5564.98</v>
      </c>
      <c r="Q167" s="3">
        <v>3800.86</v>
      </c>
      <c r="R167" s="3">
        <v>3800.86</v>
      </c>
      <c r="S167" s="3">
        <v>1764.1199999999994</v>
      </c>
      <c r="T167" s="4">
        <v>0.31700383469482402</v>
      </c>
      <c r="U167" s="4">
        <v>-5.2996165305176E-2</v>
      </c>
      <c r="V167" t="s">
        <v>1054</v>
      </c>
      <c r="W167" t="s">
        <v>1056</v>
      </c>
    </row>
    <row r="168" spans="1:23" x14ac:dyDescent="0.25">
      <c r="A168" t="s">
        <v>179</v>
      </c>
      <c r="B168" s="2">
        <v>45318</v>
      </c>
      <c r="C168" t="s">
        <v>550</v>
      </c>
      <c r="D168" t="s">
        <v>711</v>
      </c>
      <c r="E168" t="s">
        <v>537</v>
      </c>
      <c r="F168" t="s">
        <v>541</v>
      </c>
      <c r="G168" t="s">
        <v>545</v>
      </c>
      <c r="H168" t="s">
        <v>1042</v>
      </c>
      <c r="I168" s="3">
        <v>4544</v>
      </c>
      <c r="J168" s="4">
        <v>0.33</v>
      </c>
      <c r="K168" s="3">
        <v>3044.48</v>
      </c>
      <c r="L168" s="3">
        <v>3113.33</v>
      </c>
      <c r="M168" s="5">
        <v>3</v>
      </c>
      <c r="N168" s="3">
        <v>60</v>
      </c>
      <c r="O168" s="6">
        <v>0.35</v>
      </c>
      <c r="P168" s="3">
        <v>9133.44</v>
      </c>
      <c r="Q168" s="3">
        <v>3173.33</v>
      </c>
      <c r="R168" s="3">
        <v>9519.99</v>
      </c>
      <c r="S168" s="3">
        <v>-386.54999999999927</v>
      </c>
      <c r="T168" s="4">
        <v>-4.2322498423376001E-2</v>
      </c>
      <c r="U168" s="4">
        <v>-0.39232249842337602</v>
      </c>
      <c r="V168" t="s">
        <v>1054</v>
      </c>
      <c r="W168" t="s">
        <v>1056</v>
      </c>
    </row>
    <row r="169" spans="1:23" x14ac:dyDescent="0.25">
      <c r="A169" t="s">
        <v>180</v>
      </c>
      <c r="B169" s="2">
        <v>45412</v>
      </c>
      <c r="C169" t="s">
        <v>549</v>
      </c>
      <c r="D169" t="s">
        <v>712</v>
      </c>
      <c r="E169" t="s">
        <v>537</v>
      </c>
      <c r="F169" t="s">
        <v>543</v>
      </c>
      <c r="G169" t="s">
        <v>546</v>
      </c>
      <c r="H169" t="s">
        <v>1043</v>
      </c>
      <c r="I169" s="3">
        <v>1623</v>
      </c>
      <c r="J169" s="4">
        <v>7.0000000000000007E-2</v>
      </c>
      <c r="K169" s="3">
        <v>1509.39</v>
      </c>
      <c r="L169" s="3">
        <v>980.94</v>
      </c>
      <c r="M169" s="5">
        <v>3</v>
      </c>
      <c r="N169" s="3">
        <v>90</v>
      </c>
      <c r="O169" s="6">
        <v>0.41</v>
      </c>
      <c r="P169" s="3">
        <v>4528.17</v>
      </c>
      <c r="Q169" s="3">
        <v>1070.94</v>
      </c>
      <c r="R169" s="3">
        <v>3212.82</v>
      </c>
      <c r="S169" s="3">
        <v>1315.35</v>
      </c>
      <c r="T169" s="4">
        <v>0.29048158527617102</v>
      </c>
      <c r="U169" s="4">
        <v>-0.119518414723829</v>
      </c>
      <c r="V169" t="s">
        <v>1054</v>
      </c>
      <c r="W169" t="s">
        <v>1059</v>
      </c>
    </row>
    <row r="170" spans="1:23" x14ac:dyDescent="0.25">
      <c r="A170" t="s">
        <v>181</v>
      </c>
      <c r="B170" s="2">
        <v>45407</v>
      </c>
      <c r="C170" t="s">
        <v>550</v>
      </c>
      <c r="D170" t="s">
        <v>713</v>
      </c>
      <c r="E170" t="s">
        <v>535</v>
      </c>
      <c r="F170" t="s">
        <v>540</v>
      </c>
      <c r="G170" t="s">
        <v>545</v>
      </c>
      <c r="H170" t="s">
        <v>1044</v>
      </c>
      <c r="I170" s="3">
        <v>3682</v>
      </c>
      <c r="J170" s="4">
        <v>0.13</v>
      </c>
      <c r="K170" s="3">
        <v>3203.34</v>
      </c>
      <c r="L170" s="3">
        <v>1944.88</v>
      </c>
      <c r="M170" s="5">
        <v>1</v>
      </c>
      <c r="N170" s="3">
        <v>114</v>
      </c>
      <c r="O170" s="6">
        <v>0.44</v>
      </c>
      <c r="P170" s="3">
        <v>3203.34</v>
      </c>
      <c r="Q170" s="3">
        <v>2058.88</v>
      </c>
      <c r="R170" s="3">
        <v>2058.88</v>
      </c>
      <c r="S170" s="3">
        <v>1144.46</v>
      </c>
      <c r="T170" s="4">
        <v>0.35727084855182401</v>
      </c>
      <c r="U170" s="4">
        <v>-8.2729151448175997E-2</v>
      </c>
      <c r="V170" t="s">
        <v>1054</v>
      </c>
      <c r="W170" t="s">
        <v>1055</v>
      </c>
    </row>
    <row r="171" spans="1:23" x14ac:dyDescent="0.25">
      <c r="A171" t="s">
        <v>182</v>
      </c>
      <c r="B171" s="2">
        <v>45294</v>
      </c>
      <c r="C171" t="s">
        <v>550</v>
      </c>
      <c r="D171" t="s">
        <v>714</v>
      </c>
      <c r="E171" t="s">
        <v>537</v>
      </c>
      <c r="F171" t="s">
        <v>541</v>
      </c>
      <c r="G171" t="s">
        <v>546</v>
      </c>
      <c r="H171" t="s">
        <v>1042</v>
      </c>
      <c r="I171" s="3">
        <v>701</v>
      </c>
      <c r="J171" s="4">
        <v>0.19</v>
      </c>
      <c r="K171" s="3">
        <v>567.80999999999995</v>
      </c>
      <c r="L171" s="3">
        <v>339.42</v>
      </c>
      <c r="M171" s="5">
        <v>1</v>
      </c>
      <c r="N171" s="3">
        <v>22</v>
      </c>
      <c r="O171" s="6">
        <v>0.44</v>
      </c>
      <c r="P171" s="3">
        <v>567.80999999999995</v>
      </c>
      <c r="Q171" s="3">
        <v>361.42</v>
      </c>
      <c r="R171" s="3">
        <v>361.42</v>
      </c>
      <c r="S171" s="3">
        <v>206.38999999999993</v>
      </c>
      <c r="T171" s="4">
        <v>0.36348426410242901</v>
      </c>
      <c r="U171" s="4">
        <v>-7.6515735897571005E-2</v>
      </c>
      <c r="V171" t="s">
        <v>1054</v>
      </c>
      <c r="W171" t="s">
        <v>1055</v>
      </c>
    </row>
    <row r="172" spans="1:23" x14ac:dyDescent="0.25">
      <c r="A172" t="s">
        <v>183</v>
      </c>
      <c r="B172" s="2">
        <v>45394</v>
      </c>
      <c r="C172" t="s">
        <v>550</v>
      </c>
      <c r="D172" t="s">
        <v>715</v>
      </c>
      <c r="E172" t="s">
        <v>537</v>
      </c>
      <c r="F172" t="s">
        <v>541</v>
      </c>
      <c r="G172" t="s">
        <v>546</v>
      </c>
      <c r="H172" t="s">
        <v>1042</v>
      </c>
      <c r="I172" s="3">
        <v>7619</v>
      </c>
      <c r="J172" s="4">
        <v>0.12</v>
      </c>
      <c r="K172" s="3">
        <v>6704.72</v>
      </c>
      <c r="L172" s="3">
        <v>4279.21</v>
      </c>
      <c r="M172" s="5">
        <v>2</v>
      </c>
      <c r="N172" s="3">
        <v>68</v>
      </c>
      <c r="O172" s="6">
        <v>0.35</v>
      </c>
      <c r="P172" s="3">
        <v>13409.44</v>
      </c>
      <c r="Q172" s="3">
        <v>4347.21</v>
      </c>
      <c r="R172" s="3">
        <v>8694.42</v>
      </c>
      <c r="S172" s="3">
        <v>4715.0200000000004</v>
      </c>
      <c r="T172" s="4">
        <v>0.35161945614432799</v>
      </c>
      <c r="U172" s="4">
        <v>1.6194561443280101E-3</v>
      </c>
      <c r="V172" t="s">
        <v>1058</v>
      </c>
      <c r="W172" t="s">
        <v>1055</v>
      </c>
    </row>
    <row r="173" spans="1:23" x14ac:dyDescent="0.25">
      <c r="A173" t="s">
        <v>184</v>
      </c>
      <c r="B173" s="2">
        <v>45446</v>
      </c>
      <c r="C173" t="s">
        <v>549</v>
      </c>
      <c r="D173" t="s">
        <v>716</v>
      </c>
      <c r="E173" t="s">
        <v>537</v>
      </c>
      <c r="F173" t="s">
        <v>543</v>
      </c>
      <c r="G173" t="s">
        <v>546</v>
      </c>
      <c r="H173" t="s">
        <v>1042</v>
      </c>
      <c r="I173" s="3">
        <v>7652</v>
      </c>
      <c r="J173" s="4">
        <v>0.32</v>
      </c>
      <c r="K173" s="3">
        <v>5203.3599999999997</v>
      </c>
      <c r="L173" s="3">
        <v>4925.92</v>
      </c>
      <c r="M173" s="5">
        <v>2</v>
      </c>
      <c r="N173" s="3">
        <v>131</v>
      </c>
      <c r="O173" s="6">
        <v>0.43</v>
      </c>
      <c r="P173" s="3">
        <v>10406.719999999999</v>
      </c>
      <c r="Q173" s="3">
        <v>5056.92</v>
      </c>
      <c r="R173" s="3">
        <v>10113.84</v>
      </c>
      <c r="S173" s="3">
        <v>292.8799999999992</v>
      </c>
      <c r="T173" s="4">
        <v>2.8143353525414298E-2</v>
      </c>
      <c r="U173" s="4">
        <v>-0.40185664647458602</v>
      </c>
      <c r="V173" t="s">
        <v>1054</v>
      </c>
      <c r="W173" t="s">
        <v>1056</v>
      </c>
    </row>
    <row r="174" spans="1:23" x14ac:dyDescent="0.25">
      <c r="A174" t="s">
        <v>185</v>
      </c>
      <c r="B174" s="2">
        <v>45428</v>
      </c>
      <c r="C174" t="s">
        <v>550</v>
      </c>
      <c r="D174" t="s">
        <v>717</v>
      </c>
      <c r="E174" t="s">
        <v>535</v>
      </c>
      <c r="F174" t="s">
        <v>540</v>
      </c>
      <c r="G174" t="s">
        <v>545</v>
      </c>
      <c r="H174" t="s">
        <v>1043</v>
      </c>
      <c r="I174" s="3">
        <v>2758</v>
      </c>
      <c r="J174" s="4">
        <v>0.34</v>
      </c>
      <c r="K174" s="3">
        <v>1820.28</v>
      </c>
      <c r="L174" s="3">
        <v>1860.15</v>
      </c>
      <c r="M174" s="5">
        <v>3</v>
      </c>
      <c r="N174" s="3">
        <v>144</v>
      </c>
      <c r="O174" s="6">
        <v>0.39</v>
      </c>
      <c r="P174" s="3">
        <v>5460.84</v>
      </c>
      <c r="Q174" s="3">
        <v>2004.15</v>
      </c>
      <c r="R174" s="3">
        <v>6012.4500000000007</v>
      </c>
      <c r="S174" s="3">
        <v>-551.61000000000058</v>
      </c>
      <c r="T174" s="4">
        <v>-0.10101193223020601</v>
      </c>
      <c r="U174" s="4">
        <v>-0.49101193223020601</v>
      </c>
      <c r="V174" t="s">
        <v>1054</v>
      </c>
      <c r="W174" t="s">
        <v>1056</v>
      </c>
    </row>
    <row r="175" spans="1:23" x14ac:dyDescent="0.25">
      <c r="A175" t="s">
        <v>186</v>
      </c>
      <c r="B175" s="2">
        <v>45353</v>
      </c>
      <c r="C175" t="s">
        <v>548</v>
      </c>
      <c r="D175" t="s">
        <v>718</v>
      </c>
      <c r="E175" t="s">
        <v>537</v>
      </c>
      <c r="F175" t="s">
        <v>543</v>
      </c>
      <c r="G175" t="s">
        <v>546</v>
      </c>
      <c r="H175" t="s">
        <v>1042</v>
      </c>
      <c r="I175" s="3">
        <v>3918</v>
      </c>
      <c r="J175" s="4">
        <v>0.27</v>
      </c>
      <c r="K175" s="3">
        <v>2860.14</v>
      </c>
      <c r="L175" s="3">
        <v>1889.98</v>
      </c>
      <c r="M175" s="5">
        <v>3</v>
      </c>
      <c r="N175" s="3">
        <v>189</v>
      </c>
      <c r="O175" s="6">
        <v>0.44</v>
      </c>
      <c r="P175" s="3">
        <v>8580.42</v>
      </c>
      <c r="Q175" s="3">
        <v>2078.98</v>
      </c>
      <c r="R175" s="3">
        <v>6236.9400000000005</v>
      </c>
      <c r="S175" s="3">
        <v>2343.4799999999996</v>
      </c>
      <c r="T175" s="4">
        <v>0.27311949764696802</v>
      </c>
      <c r="U175" s="4">
        <v>-0.16688050235303201</v>
      </c>
      <c r="V175" t="s">
        <v>1054</v>
      </c>
      <c r="W175" t="s">
        <v>1056</v>
      </c>
    </row>
    <row r="176" spans="1:23" x14ac:dyDescent="0.25">
      <c r="A176" t="s">
        <v>187</v>
      </c>
      <c r="B176" s="2">
        <v>45456</v>
      </c>
      <c r="C176" t="s">
        <v>549</v>
      </c>
      <c r="D176" t="s">
        <v>719</v>
      </c>
      <c r="E176" t="s">
        <v>536</v>
      </c>
      <c r="F176" t="s">
        <v>539</v>
      </c>
      <c r="G176" t="s">
        <v>546</v>
      </c>
      <c r="H176" t="s">
        <v>1043</v>
      </c>
      <c r="I176" s="3">
        <v>3804</v>
      </c>
      <c r="J176" s="4">
        <v>0.28000000000000003</v>
      </c>
      <c r="K176" s="3">
        <v>2738.88</v>
      </c>
      <c r="L176" s="3">
        <v>2560.1999999999998</v>
      </c>
      <c r="M176" s="5">
        <v>3</v>
      </c>
      <c r="N176" s="3">
        <v>12</v>
      </c>
      <c r="O176" s="6">
        <v>0.3</v>
      </c>
      <c r="P176" s="3">
        <v>8216.64</v>
      </c>
      <c r="Q176" s="3">
        <v>2572.1999999999998</v>
      </c>
      <c r="R176" s="3">
        <v>7716.5999999999995</v>
      </c>
      <c r="S176" s="3">
        <v>500.03999999999996</v>
      </c>
      <c r="T176" s="4">
        <v>6.0856992639327E-2</v>
      </c>
      <c r="U176" s="4">
        <v>-0.23914300736067301</v>
      </c>
      <c r="V176" t="s">
        <v>1054</v>
      </c>
      <c r="W176" t="s">
        <v>1056</v>
      </c>
    </row>
    <row r="177" spans="1:23" x14ac:dyDescent="0.25">
      <c r="A177" t="s">
        <v>188</v>
      </c>
      <c r="B177" s="2">
        <v>45342</v>
      </c>
      <c r="C177" t="s">
        <v>548</v>
      </c>
      <c r="D177" t="s">
        <v>720</v>
      </c>
      <c r="E177" t="s">
        <v>535</v>
      </c>
      <c r="F177" t="s">
        <v>538</v>
      </c>
      <c r="G177" t="s">
        <v>546</v>
      </c>
      <c r="H177" t="s">
        <v>1045</v>
      </c>
      <c r="I177" s="3">
        <v>7345</v>
      </c>
      <c r="J177" s="4">
        <v>0.18</v>
      </c>
      <c r="K177" s="3">
        <v>6022.9</v>
      </c>
      <c r="L177" s="3">
        <v>3659.68</v>
      </c>
      <c r="M177" s="5">
        <v>1</v>
      </c>
      <c r="N177" s="3">
        <v>195</v>
      </c>
      <c r="O177" s="6">
        <v>0.41</v>
      </c>
      <c r="P177" s="3">
        <v>6022.9</v>
      </c>
      <c r="Q177" s="3">
        <v>3854.68</v>
      </c>
      <c r="R177" s="3">
        <v>3854.68</v>
      </c>
      <c r="S177" s="3">
        <v>2168.2199999999998</v>
      </c>
      <c r="T177" s="4">
        <v>0.35999601520862001</v>
      </c>
      <c r="U177" s="4">
        <v>-5.0003984791379998E-2</v>
      </c>
      <c r="V177" t="s">
        <v>1054</v>
      </c>
      <c r="W177" t="s">
        <v>1055</v>
      </c>
    </row>
    <row r="178" spans="1:23" x14ac:dyDescent="0.25">
      <c r="A178" t="s">
        <v>189</v>
      </c>
      <c r="B178" s="2">
        <v>45463</v>
      </c>
      <c r="C178" t="s">
        <v>549</v>
      </c>
      <c r="D178" t="s">
        <v>721</v>
      </c>
      <c r="E178" t="s">
        <v>535</v>
      </c>
      <c r="F178" t="s">
        <v>538</v>
      </c>
      <c r="G178" t="s">
        <v>546</v>
      </c>
      <c r="H178" t="s">
        <v>1042</v>
      </c>
      <c r="I178" s="3">
        <v>5019</v>
      </c>
      <c r="J178" s="4">
        <v>0.25</v>
      </c>
      <c r="K178" s="3">
        <v>3764.25</v>
      </c>
      <c r="L178" s="3">
        <v>2726.72</v>
      </c>
      <c r="M178" s="5">
        <v>2</v>
      </c>
      <c r="N178" s="3">
        <v>158</v>
      </c>
      <c r="O178" s="6">
        <v>0.38</v>
      </c>
      <c r="P178" s="3">
        <v>7528.5</v>
      </c>
      <c r="Q178" s="3">
        <v>2884.72</v>
      </c>
      <c r="R178" s="3">
        <v>5769.44</v>
      </c>
      <c r="S178" s="3">
        <v>1759.0600000000004</v>
      </c>
      <c r="T178" s="4">
        <v>0.23365345022248801</v>
      </c>
      <c r="U178" s="4">
        <v>-0.14634654977751199</v>
      </c>
      <c r="V178" t="s">
        <v>1054</v>
      </c>
      <c r="W178" t="s">
        <v>1056</v>
      </c>
    </row>
    <row r="179" spans="1:23" x14ac:dyDescent="0.25">
      <c r="A179" t="s">
        <v>190</v>
      </c>
      <c r="B179" s="2">
        <v>45443</v>
      </c>
      <c r="C179" t="s">
        <v>547</v>
      </c>
      <c r="D179" t="s">
        <v>722</v>
      </c>
      <c r="E179" t="s">
        <v>535</v>
      </c>
      <c r="F179" t="s">
        <v>538</v>
      </c>
      <c r="G179" t="s">
        <v>546</v>
      </c>
      <c r="H179" t="s">
        <v>1042</v>
      </c>
      <c r="I179" s="3">
        <v>6791</v>
      </c>
      <c r="J179" s="4">
        <v>0.3</v>
      </c>
      <c r="K179" s="3">
        <v>4753.7</v>
      </c>
      <c r="L179" s="3">
        <v>4767.21</v>
      </c>
      <c r="M179" s="5">
        <v>1</v>
      </c>
      <c r="N179" s="3">
        <v>21</v>
      </c>
      <c r="O179" s="6">
        <v>0.28000000000000003</v>
      </c>
      <c r="P179" s="3">
        <v>4753.7</v>
      </c>
      <c r="Q179" s="3">
        <v>4788.21</v>
      </c>
      <c r="R179" s="3">
        <v>4788.21</v>
      </c>
      <c r="S179" s="3">
        <v>-34.510000000000218</v>
      </c>
      <c r="T179" s="4">
        <v>-7.2596083051097498E-3</v>
      </c>
      <c r="U179" s="4">
        <v>-0.28725960830510999</v>
      </c>
      <c r="V179" t="s">
        <v>1054</v>
      </c>
      <c r="W179" t="s">
        <v>1056</v>
      </c>
    </row>
    <row r="180" spans="1:23" x14ac:dyDescent="0.25">
      <c r="A180" t="s">
        <v>191</v>
      </c>
      <c r="B180" s="2">
        <v>45350</v>
      </c>
      <c r="C180" t="s">
        <v>547</v>
      </c>
      <c r="D180" t="s">
        <v>723</v>
      </c>
      <c r="E180" t="s">
        <v>537</v>
      </c>
      <c r="F180" t="s">
        <v>542</v>
      </c>
      <c r="G180" t="s">
        <v>545</v>
      </c>
      <c r="H180" t="s">
        <v>1042</v>
      </c>
      <c r="I180" s="3">
        <v>1828</v>
      </c>
      <c r="J180" s="4">
        <v>0.3</v>
      </c>
      <c r="K180" s="3">
        <v>1279.5999999999999</v>
      </c>
      <c r="L180" s="3">
        <v>1080.52</v>
      </c>
      <c r="M180" s="5">
        <v>2</v>
      </c>
      <c r="N180" s="3">
        <v>110</v>
      </c>
      <c r="O180" s="6">
        <v>0.34</v>
      </c>
      <c r="P180" s="3">
        <v>2559.1999999999998</v>
      </c>
      <c r="Q180" s="3">
        <v>1190.52</v>
      </c>
      <c r="R180" s="3">
        <v>2381.04</v>
      </c>
      <c r="S180" s="3">
        <v>178.15999999999985</v>
      </c>
      <c r="T180" s="4">
        <v>6.9615504845264103E-2</v>
      </c>
      <c r="U180" s="4">
        <v>-0.270384495154736</v>
      </c>
      <c r="V180" t="s">
        <v>1054</v>
      </c>
      <c r="W180" t="s">
        <v>1056</v>
      </c>
    </row>
    <row r="181" spans="1:23" x14ac:dyDescent="0.25">
      <c r="A181" t="s">
        <v>192</v>
      </c>
      <c r="B181" s="2">
        <v>45409</v>
      </c>
      <c r="C181" t="s">
        <v>548</v>
      </c>
      <c r="D181" t="s">
        <v>724</v>
      </c>
      <c r="E181" t="s">
        <v>537</v>
      </c>
      <c r="F181" t="s">
        <v>543</v>
      </c>
      <c r="G181" t="s">
        <v>546</v>
      </c>
      <c r="H181" t="s">
        <v>1043</v>
      </c>
      <c r="I181" s="3">
        <v>5638</v>
      </c>
      <c r="J181" s="4">
        <v>0.05</v>
      </c>
      <c r="K181" s="3">
        <v>5356.1</v>
      </c>
      <c r="L181" s="3">
        <v>2838.8</v>
      </c>
      <c r="M181" s="5">
        <v>2</v>
      </c>
      <c r="N181" s="3">
        <v>47</v>
      </c>
      <c r="O181" s="6">
        <v>0.34</v>
      </c>
      <c r="P181" s="3">
        <v>10712.2</v>
      </c>
      <c r="Q181" s="3">
        <v>2885.8</v>
      </c>
      <c r="R181" s="3">
        <v>5771.6</v>
      </c>
      <c r="S181" s="3">
        <v>4940.6000000000004</v>
      </c>
      <c r="T181" s="4">
        <v>0.461212449356808</v>
      </c>
      <c r="U181" s="4">
        <v>0.121212449356808</v>
      </c>
      <c r="V181" t="s">
        <v>1058</v>
      </c>
      <c r="W181" t="s">
        <v>1059</v>
      </c>
    </row>
    <row r="182" spans="1:23" x14ac:dyDescent="0.25">
      <c r="A182" t="s">
        <v>193</v>
      </c>
      <c r="B182" s="2">
        <v>45451</v>
      </c>
      <c r="C182" t="s">
        <v>547</v>
      </c>
      <c r="D182" t="s">
        <v>725</v>
      </c>
      <c r="E182" t="s">
        <v>535</v>
      </c>
      <c r="F182" t="s">
        <v>538</v>
      </c>
      <c r="G182" t="s">
        <v>546</v>
      </c>
      <c r="H182" t="s">
        <v>1042</v>
      </c>
      <c r="I182" s="3">
        <v>3342</v>
      </c>
      <c r="J182" s="4">
        <v>0.24</v>
      </c>
      <c r="K182" s="3">
        <v>2539.92</v>
      </c>
      <c r="L182" s="3">
        <v>1568.92</v>
      </c>
      <c r="M182" s="5">
        <v>2</v>
      </c>
      <c r="N182" s="3">
        <v>89</v>
      </c>
      <c r="O182" s="6">
        <v>0.38</v>
      </c>
      <c r="P182" s="3">
        <v>5079.84</v>
      </c>
      <c r="Q182" s="3">
        <v>1657.92</v>
      </c>
      <c r="R182" s="3">
        <v>3315.84</v>
      </c>
      <c r="S182" s="3">
        <v>1764</v>
      </c>
      <c r="T182" s="4">
        <v>0.34725503165454003</v>
      </c>
      <c r="U182" s="4">
        <v>-3.274496834546E-2</v>
      </c>
      <c r="V182" t="s">
        <v>1054</v>
      </c>
      <c r="W182" t="s">
        <v>1056</v>
      </c>
    </row>
    <row r="183" spans="1:23" x14ac:dyDescent="0.25">
      <c r="A183" t="s">
        <v>194</v>
      </c>
      <c r="B183" s="2">
        <v>45387</v>
      </c>
      <c r="C183" t="s">
        <v>550</v>
      </c>
      <c r="D183" t="s">
        <v>726</v>
      </c>
      <c r="E183" t="s">
        <v>537</v>
      </c>
      <c r="F183" t="s">
        <v>543</v>
      </c>
      <c r="G183" t="s">
        <v>545</v>
      </c>
      <c r="H183" t="s">
        <v>1044</v>
      </c>
      <c r="I183" s="3">
        <v>3309</v>
      </c>
      <c r="J183" s="4">
        <v>0.3</v>
      </c>
      <c r="K183" s="3">
        <v>2316.3000000000002</v>
      </c>
      <c r="L183" s="3">
        <v>1983.67</v>
      </c>
      <c r="M183" s="5">
        <v>3</v>
      </c>
      <c r="N183" s="3">
        <v>119</v>
      </c>
      <c r="O183" s="6">
        <v>0.28999999999999998</v>
      </c>
      <c r="P183" s="3">
        <v>6948.9000000000005</v>
      </c>
      <c r="Q183" s="3">
        <v>2102.67</v>
      </c>
      <c r="R183" s="3">
        <v>6308.01</v>
      </c>
      <c r="S183" s="3">
        <v>640.89000000000033</v>
      </c>
      <c r="T183" s="4">
        <v>9.2228985882657696E-2</v>
      </c>
      <c r="U183" s="4">
        <v>-0.19777101411734199</v>
      </c>
      <c r="V183" t="s">
        <v>1054</v>
      </c>
      <c r="W183" t="s">
        <v>1056</v>
      </c>
    </row>
    <row r="184" spans="1:23" x14ac:dyDescent="0.25">
      <c r="A184" t="s">
        <v>195</v>
      </c>
      <c r="B184" s="2">
        <v>45471</v>
      </c>
      <c r="C184" t="s">
        <v>550</v>
      </c>
      <c r="D184" t="s">
        <v>727</v>
      </c>
      <c r="E184" t="s">
        <v>537</v>
      </c>
      <c r="F184" t="s">
        <v>543</v>
      </c>
      <c r="G184" t="s">
        <v>546</v>
      </c>
      <c r="H184" t="s">
        <v>1042</v>
      </c>
      <c r="I184" s="3">
        <v>7921</v>
      </c>
      <c r="J184" s="4">
        <v>0.21</v>
      </c>
      <c r="K184" s="3">
        <v>6257.59</v>
      </c>
      <c r="L184" s="3">
        <v>4451.91</v>
      </c>
      <c r="M184" s="5">
        <v>3</v>
      </c>
      <c r="N184" s="3">
        <v>103</v>
      </c>
      <c r="O184" s="6">
        <v>0.41</v>
      </c>
      <c r="P184" s="3">
        <v>18772.77</v>
      </c>
      <c r="Q184" s="3">
        <v>4554.91</v>
      </c>
      <c r="R184" s="3">
        <v>13664.73</v>
      </c>
      <c r="S184" s="3">
        <v>5108.0400000000009</v>
      </c>
      <c r="T184" s="4">
        <v>0.27209836374706597</v>
      </c>
      <c r="U184" s="4">
        <v>-0.137901636252934</v>
      </c>
      <c r="V184" t="s">
        <v>1054</v>
      </c>
      <c r="W184" t="s">
        <v>1056</v>
      </c>
    </row>
    <row r="185" spans="1:23" x14ac:dyDescent="0.25">
      <c r="A185" t="s">
        <v>196</v>
      </c>
      <c r="B185" s="2">
        <v>45404</v>
      </c>
      <c r="C185" t="s">
        <v>549</v>
      </c>
      <c r="D185" t="s">
        <v>668</v>
      </c>
      <c r="E185" t="s">
        <v>537</v>
      </c>
      <c r="F185" t="s">
        <v>541</v>
      </c>
      <c r="G185" t="s">
        <v>546</v>
      </c>
      <c r="H185" t="s">
        <v>1042</v>
      </c>
      <c r="I185" s="3">
        <v>2860</v>
      </c>
      <c r="J185" s="4">
        <v>0.28000000000000003</v>
      </c>
      <c r="K185" s="3">
        <v>2059.1999999999998</v>
      </c>
      <c r="L185" s="3">
        <v>1916.44</v>
      </c>
      <c r="M185" s="5">
        <v>1</v>
      </c>
      <c r="N185" s="3">
        <v>127</v>
      </c>
      <c r="O185" s="6">
        <v>0.31</v>
      </c>
      <c r="P185" s="3">
        <v>2059.1999999999998</v>
      </c>
      <c r="Q185" s="3">
        <v>2043.44</v>
      </c>
      <c r="R185" s="3">
        <v>2043.44</v>
      </c>
      <c r="S185" s="3">
        <v>15.759999999999764</v>
      </c>
      <c r="T185" s="4">
        <v>7.6534576534575396E-3</v>
      </c>
      <c r="U185" s="4">
        <v>-0.30234654234654201</v>
      </c>
      <c r="V185" t="s">
        <v>1054</v>
      </c>
      <c r="W185" t="s">
        <v>1056</v>
      </c>
    </row>
    <row r="186" spans="1:23" x14ac:dyDescent="0.25">
      <c r="A186" t="s">
        <v>197</v>
      </c>
      <c r="B186" s="2">
        <v>45353</v>
      </c>
      <c r="C186" t="s">
        <v>548</v>
      </c>
      <c r="D186" t="s">
        <v>728</v>
      </c>
      <c r="E186" t="s">
        <v>536</v>
      </c>
      <c r="F186" t="s">
        <v>539</v>
      </c>
      <c r="G186" t="s">
        <v>546</v>
      </c>
      <c r="H186" t="s">
        <v>1043</v>
      </c>
      <c r="I186" s="3">
        <v>2221</v>
      </c>
      <c r="J186" s="4">
        <v>0.17</v>
      </c>
      <c r="K186" s="3">
        <v>1843.43</v>
      </c>
      <c r="L186" s="3">
        <v>1380.49</v>
      </c>
      <c r="M186" s="5">
        <v>1</v>
      </c>
      <c r="N186" s="3">
        <v>153</v>
      </c>
      <c r="O186" s="6">
        <v>0.31</v>
      </c>
      <c r="P186" s="3">
        <v>1843.43</v>
      </c>
      <c r="Q186" s="3">
        <v>1533.49</v>
      </c>
      <c r="R186" s="3">
        <v>1533.49</v>
      </c>
      <c r="S186" s="3">
        <v>309.94000000000005</v>
      </c>
      <c r="T186" s="4">
        <v>0.168132231763615</v>
      </c>
      <c r="U186" s="4">
        <v>-0.141867768236385</v>
      </c>
      <c r="V186" t="s">
        <v>1054</v>
      </c>
      <c r="W186" t="s">
        <v>1055</v>
      </c>
    </row>
    <row r="187" spans="1:23" x14ac:dyDescent="0.25">
      <c r="A187" t="s">
        <v>198</v>
      </c>
      <c r="B187" s="2">
        <v>45343</v>
      </c>
      <c r="C187" t="s">
        <v>548</v>
      </c>
      <c r="D187" t="s">
        <v>729</v>
      </c>
      <c r="E187" t="s">
        <v>537</v>
      </c>
      <c r="F187" t="s">
        <v>543</v>
      </c>
      <c r="G187" t="s">
        <v>546</v>
      </c>
      <c r="H187" t="s">
        <v>1045</v>
      </c>
      <c r="I187" s="3">
        <v>1935</v>
      </c>
      <c r="J187" s="4">
        <v>0.3</v>
      </c>
      <c r="K187" s="3">
        <v>1354.5</v>
      </c>
      <c r="L187" s="3">
        <v>1029.27</v>
      </c>
      <c r="M187" s="5">
        <v>3</v>
      </c>
      <c r="N187" s="3">
        <v>90</v>
      </c>
      <c r="O187" s="6">
        <v>0.33</v>
      </c>
      <c r="P187" s="3">
        <v>4063.5</v>
      </c>
      <c r="Q187" s="3">
        <v>1119.27</v>
      </c>
      <c r="R187" s="3">
        <v>3357.81</v>
      </c>
      <c r="S187" s="3">
        <v>705.69</v>
      </c>
      <c r="T187" s="4">
        <v>0.17366555924695501</v>
      </c>
      <c r="U187" s="4">
        <v>-0.15633444075304501</v>
      </c>
      <c r="V187" t="s">
        <v>1054</v>
      </c>
      <c r="W187" t="s">
        <v>1056</v>
      </c>
    </row>
    <row r="188" spans="1:23" x14ac:dyDescent="0.25">
      <c r="A188" t="s">
        <v>199</v>
      </c>
      <c r="B188" s="2">
        <v>45303</v>
      </c>
      <c r="C188" t="s">
        <v>548</v>
      </c>
      <c r="D188" t="s">
        <v>730</v>
      </c>
      <c r="E188" t="s">
        <v>536</v>
      </c>
      <c r="F188" t="s">
        <v>544</v>
      </c>
      <c r="G188" t="s">
        <v>546</v>
      </c>
      <c r="H188" t="s">
        <v>1044</v>
      </c>
      <c r="I188" s="3">
        <v>4726</v>
      </c>
      <c r="J188" s="4">
        <v>0.3</v>
      </c>
      <c r="K188" s="3">
        <v>3308.2</v>
      </c>
      <c r="L188" s="3">
        <v>2390.5500000000002</v>
      </c>
      <c r="M188" s="5">
        <v>1</v>
      </c>
      <c r="N188" s="3">
        <v>58</v>
      </c>
      <c r="O188" s="6">
        <v>0.36</v>
      </c>
      <c r="P188" s="3">
        <v>3308.2</v>
      </c>
      <c r="Q188" s="3">
        <v>2448.5500000000002</v>
      </c>
      <c r="R188" s="3">
        <v>2448.5500000000002</v>
      </c>
      <c r="S188" s="3">
        <v>859.64999999999964</v>
      </c>
      <c r="T188" s="4">
        <v>0.25985430143280303</v>
      </c>
      <c r="U188" s="4">
        <v>-0.100145698567197</v>
      </c>
      <c r="V188" t="s">
        <v>1054</v>
      </c>
      <c r="W188" t="s">
        <v>1056</v>
      </c>
    </row>
    <row r="189" spans="1:23" x14ac:dyDescent="0.25">
      <c r="A189" t="s">
        <v>200</v>
      </c>
      <c r="B189" s="2">
        <v>45330</v>
      </c>
      <c r="C189" t="s">
        <v>549</v>
      </c>
      <c r="D189" t="s">
        <v>731</v>
      </c>
      <c r="E189" t="s">
        <v>537</v>
      </c>
      <c r="F189" t="s">
        <v>543</v>
      </c>
      <c r="G189" t="s">
        <v>546</v>
      </c>
      <c r="H189" t="s">
        <v>1044</v>
      </c>
      <c r="I189" s="3">
        <v>5155</v>
      </c>
      <c r="J189" s="4">
        <v>0.32</v>
      </c>
      <c r="K189" s="3">
        <v>3505.4</v>
      </c>
      <c r="L189" s="3">
        <v>3526.35</v>
      </c>
      <c r="M189" s="5">
        <v>2</v>
      </c>
      <c r="N189" s="3">
        <v>109</v>
      </c>
      <c r="O189" s="6">
        <v>0.28999999999999998</v>
      </c>
      <c r="P189" s="3">
        <v>7010.8</v>
      </c>
      <c r="Q189" s="3">
        <v>3635.35</v>
      </c>
      <c r="R189" s="3">
        <v>7270.7</v>
      </c>
      <c r="S189" s="3">
        <v>-259.89999999999964</v>
      </c>
      <c r="T189" s="4">
        <v>-3.7071375591943803E-2</v>
      </c>
      <c r="U189" s="4">
        <v>-0.32707137559194399</v>
      </c>
      <c r="V189" t="s">
        <v>1054</v>
      </c>
      <c r="W189" t="s">
        <v>1056</v>
      </c>
    </row>
    <row r="190" spans="1:23" x14ac:dyDescent="0.25">
      <c r="A190" t="s">
        <v>201</v>
      </c>
      <c r="B190" s="2">
        <v>45421</v>
      </c>
      <c r="C190" t="s">
        <v>549</v>
      </c>
      <c r="D190" t="s">
        <v>664</v>
      </c>
      <c r="E190" t="s">
        <v>535</v>
      </c>
      <c r="F190" t="s">
        <v>540</v>
      </c>
      <c r="G190" t="s">
        <v>545</v>
      </c>
      <c r="H190" t="s">
        <v>1042</v>
      </c>
      <c r="I190" s="3">
        <v>6918</v>
      </c>
      <c r="J190" s="4">
        <v>7.0000000000000007E-2</v>
      </c>
      <c r="K190" s="3">
        <v>6433.74</v>
      </c>
      <c r="L190" s="3">
        <v>3231.51</v>
      </c>
      <c r="M190" s="5">
        <v>2</v>
      </c>
      <c r="N190" s="3">
        <v>167</v>
      </c>
      <c r="O190" s="6">
        <v>0.32</v>
      </c>
      <c r="P190" s="3">
        <v>12867.48</v>
      </c>
      <c r="Q190" s="3">
        <v>3398.51</v>
      </c>
      <c r="R190" s="3">
        <v>6797.02</v>
      </c>
      <c r="S190" s="3">
        <v>6070.4599999999991</v>
      </c>
      <c r="T190" s="4">
        <v>0.47176758774833899</v>
      </c>
      <c r="U190" s="4">
        <v>0.15176758774833901</v>
      </c>
      <c r="V190" t="s">
        <v>1058</v>
      </c>
      <c r="W190" t="s">
        <v>1059</v>
      </c>
    </row>
    <row r="191" spans="1:23" x14ac:dyDescent="0.25">
      <c r="A191" t="s">
        <v>202</v>
      </c>
      <c r="B191" s="2">
        <v>45422</v>
      </c>
      <c r="C191" t="s">
        <v>550</v>
      </c>
      <c r="D191" t="s">
        <v>732</v>
      </c>
      <c r="E191" t="s">
        <v>536</v>
      </c>
      <c r="F191" t="s">
        <v>544</v>
      </c>
      <c r="G191" t="s">
        <v>546</v>
      </c>
      <c r="H191" t="s">
        <v>1042</v>
      </c>
      <c r="I191" s="3">
        <v>3521</v>
      </c>
      <c r="J191" s="4">
        <v>0.28000000000000003</v>
      </c>
      <c r="K191" s="3">
        <v>2535.12</v>
      </c>
      <c r="L191" s="3">
        <v>2059.5100000000002</v>
      </c>
      <c r="M191" s="5">
        <v>1</v>
      </c>
      <c r="N191" s="3">
        <v>79</v>
      </c>
      <c r="O191" s="6">
        <v>0.36</v>
      </c>
      <c r="P191" s="3">
        <v>2535.12</v>
      </c>
      <c r="Q191" s="3">
        <v>2138.5100000000002</v>
      </c>
      <c r="R191" s="3">
        <v>2138.5100000000002</v>
      </c>
      <c r="S191" s="3">
        <v>396.60999999999967</v>
      </c>
      <c r="T191" s="4">
        <v>0.156446243175865</v>
      </c>
      <c r="U191" s="4">
        <v>-0.20355375682413501</v>
      </c>
      <c r="V191" t="s">
        <v>1054</v>
      </c>
      <c r="W191" t="s">
        <v>1056</v>
      </c>
    </row>
    <row r="192" spans="1:23" x14ac:dyDescent="0.25">
      <c r="A192" t="s">
        <v>203</v>
      </c>
      <c r="B192" s="2">
        <v>45404</v>
      </c>
      <c r="C192" t="s">
        <v>550</v>
      </c>
      <c r="D192" t="s">
        <v>705</v>
      </c>
      <c r="E192" t="s">
        <v>536</v>
      </c>
      <c r="F192" t="s">
        <v>544</v>
      </c>
      <c r="G192" t="s">
        <v>545</v>
      </c>
      <c r="H192" t="s">
        <v>1045</v>
      </c>
      <c r="I192" s="3">
        <v>7750</v>
      </c>
      <c r="J192" s="4">
        <v>0.21</v>
      </c>
      <c r="K192" s="3">
        <v>6122.5</v>
      </c>
      <c r="L192" s="3">
        <v>4443.3</v>
      </c>
      <c r="M192" s="5">
        <v>2</v>
      </c>
      <c r="N192" s="3">
        <v>16</v>
      </c>
      <c r="O192" s="6">
        <v>0.43</v>
      </c>
      <c r="P192" s="3">
        <v>12245</v>
      </c>
      <c r="Q192" s="3">
        <v>4459.3</v>
      </c>
      <c r="R192" s="3">
        <v>8918.6</v>
      </c>
      <c r="S192" s="3">
        <v>3326.3999999999996</v>
      </c>
      <c r="T192" s="4">
        <v>0.27165373621886502</v>
      </c>
      <c r="U192" s="4">
        <v>-0.158346263781135</v>
      </c>
      <c r="V192" t="s">
        <v>1054</v>
      </c>
      <c r="W192" t="s">
        <v>1056</v>
      </c>
    </row>
    <row r="193" spans="1:23" x14ac:dyDescent="0.25">
      <c r="A193" t="s">
        <v>204</v>
      </c>
      <c r="B193" s="2">
        <v>45392</v>
      </c>
      <c r="C193" t="s">
        <v>549</v>
      </c>
      <c r="D193" t="s">
        <v>733</v>
      </c>
      <c r="E193" t="s">
        <v>536</v>
      </c>
      <c r="F193" t="s">
        <v>544</v>
      </c>
      <c r="G193" t="s">
        <v>546</v>
      </c>
      <c r="H193" t="s">
        <v>1044</v>
      </c>
      <c r="I193" s="3">
        <v>1499</v>
      </c>
      <c r="J193" s="4">
        <v>0.3</v>
      </c>
      <c r="K193" s="3">
        <v>1049.3</v>
      </c>
      <c r="L193" s="3">
        <v>1028.78</v>
      </c>
      <c r="M193" s="5">
        <v>1</v>
      </c>
      <c r="N193" s="3">
        <v>151</v>
      </c>
      <c r="O193" s="6">
        <v>0.36</v>
      </c>
      <c r="P193" s="3">
        <v>1049.3</v>
      </c>
      <c r="Q193" s="3">
        <v>1179.78</v>
      </c>
      <c r="R193" s="3">
        <v>1179.78</v>
      </c>
      <c r="S193" s="3">
        <v>-130.48000000000002</v>
      </c>
      <c r="T193" s="4">
        <v>-0.124349566377585</v>
      </c>
      <c r="U193" s="4">
        <v>-0.48434956637758497</v>
      </c>
      <c r="V193" t="s">
        <v>1054</v>
      </c>
      <c r="W193" t="s">
        <v>1056</v>
      </c>
    </row>
    <row r="194" spans="1:23" x14ac:dyDescent="0.25">
      <c r="A194" t="s">
        <v>205</v>
      </c>
      <c r="B194" s="2">
        <v>45404</v>
      </c>
      <c r="C194" t="s">
        <v>548</v>
      </c>
      <c r="D194" t="s">
        <v>734</v>
      </c>
      <c r="E194" t="s">
        <v>537</v>
      </c>
      <c r="F194" t="s">
        <v>542</v>
      </c>
      <c r="G194" t="s">
        <v>545</v>
      </c>
      <c r="H194" t="s">
        <v>1045</v>
      </c>
      <c r="I194" s="3">
        <v>7177</v>
      </c>
      <c r="J194" s="4">
        <v>0.15</v>
      </c>
      <c r="K194" s="3">
        <v>6100.45</v>
      </c>
      <c r="L194" s="3">
        <v>3894.31</v>
      </c>
      <c r="M194" s="5">
        <v>1</v>
      </c>
      <c r="N194" s="3">
        <v>94</v>
      </c>
      <c r="O194" s="6">
        <v>0.31</v>
      </c>
      <c r="P194" s="3">
        <v>6100.45</v>
      </c>
      <c r="Q194" s="3">
        <v>3988.31</v>
      </c>
      <c r="R194" s="3">
        <v>3988.31</v>
      </c>
      <c r="S194" s="3">
        <v>2112.14</v>
      </c>
      <c r="T194" s="4">
        <v>0.34622691768640002</v>
      </c>
      <c r="U194" s="4">
        <v>3.6226917686399997E-2</v>
      </c>
      <c r="V194" t="s">
        <v>1058</v>
      </c>
      <c r="W194" t="s">
        <v>1055</v>
      </c>
    </row>
    <row r="195" spans="1:23" x14ac:dyDescent="0.25">
      <c r="A195" t="s">
        <v>206</v>
      </c>
      <c r="B195" s="2">
        <v>45372</v>
      </c>
      <c r="C195" t="s">
        <v>549</v>
      </c>
      <c r="D195" t="s">
        <v>735</v>
      </c>
      <c r="E195" t="s">
        <v>537</v>
      </c>
      <c r="F195" t="s">
        <v>542</v>
      </c>
      <c r="G195" t="s">
        <v>546</v>
      </c>
      <c r="H195" t="s">
        <v>1045</v>
      </c>
      <c r="I195" s="3">
        <v>6520</v>
      </c>
      <c r="J195" s="4">
        <v>0.26</v>
      </c>
      <c r="K195" s="3">
        <v>4824.8</v>
      </c>
      <c r="L195" s="3">
        <v>4000.23</v>
      </c>
      <c r="M195" s="5">
        <v>1</v>
      </c>
      <c r="N195" s="3">
        <v>161</v>
      </c>
      <c r="O195" s="6">
        <v>0.32</v>
      </c>
      <c r="P195" s="3">
        <v>4824.8</v>
      </c>
      <c r="Q195" s="3">
        <v>4161.2299999999996</v>
      </c>
      <c r="R195" s="3">
        <v>4161.2299999999996</v>
      </c>
      <c r="S195" s="3">
        <v>663.57000000000062</v>
      </c>
      <c r="T195" s="4">
        <v>0.13753316199635199</v>
      </c>
      <c r="U195" s="4">
        <v>-0.18246683800364799</v>
      </c>
      <c r="V195" t="s">
        <v>1054</v>
      </c>
      <c r="W195" t="s">
        <v>1056</v>
      </c>
    </row>
    <row r="196" spans="1:23" x14ac:dyDescent="0.25">
      <c r="A196" t="s">
        <v>207</v>
      </c>
      <c r="B196" s="2">
        <v>45404</v>
      </c>
      <c r="C196" t="s">
        <v>547</v>
      </c>
      <c r="D196" t="s">
        <v>736</v>
      </c>
      <c r="E196" t="s">
        <v>537</v>
      </c>
      <c r="F196" t="s">
        <v>541</v>
      </c>
      <c r="G196" t="s">
        <v>545</v>
      </c>
      <c r="H196" t="s">
        <v>1045</v>
      </c>
      <c r="I196" s="3">
        <v>4674</v>
      </c>
      <c r="J196" s="4">
        <v>0.23</v>
      </c>
      <c r="K196" s="3">
        <v>3598.98</v>
      </c>
      <c r="L196" s="3">
        <v>2420.4</v>
      </c>
      <c r="M196" s="5">
        <v>1</v>
      </c>
      <c r="N196" s="3">
        <v>107</v>
      </c>
      <c r="O196" s="6">
        <v>0.35</v>
      </c>
      <c r="P196" s="3">
        <v>3598.98</v>
      </c>
      <c r="Q196" s="3">
        <v>2527.4</v>
      </c>
      <c r="R196" s="3">
        <v>2527.4</v>
      </c>
      <c r="S196" s="3">
        <v>1071.58</v>
      </c>
      <c r="T196" s="4">
        <v>0.29774547232827098</v>
      </c>
      <c r="U196" s="4">
        <v>-5.2254527671729001E-2</v>
      </c>
      <c r="V196" t="s">
        <v>1054</v>
      </c>
      <c r="W196" t="s">
        <v>1056</v>
      </c>
    </row>
    <row r="197" spans="1:23" x14ac:dyDescent="0.25">
      <c r="A197" t="s">
        <v>208</v>
      </c>
      <c r="B197" s="2">
        <v>45293</v>
      </c>
      <c r="C197" t="s">
        <v>549</v>
      </c>
      <c r="D197" t="s">
        <v>737</v>
      </c>
      <c r="E197" t="s">
        <v>537</v>
      </c>
      <c r="F197" t="s">
        <v>543</v>
      </c>
      <c r="G197" t="s">
        <v>546</v>
      </c>
      <c r="H197" t="s">
        <v>1043</v>
      </c>
      <c r="I197" s="3">
        <v>147</v>
      </c>
      <c r="J197" s="4">
        <v>0.31</v>
      </c>
      <c r="K197" s="3">
        <v>101.43</v>
      </c>
      <c r="L197" s="3">
        <v>86.44</v>
      </c>
      <c r="M197" s="5">
        <v>2</v>
      </c>
      <c r="N197" s="3">
        <v>176</v>
      </c>
      <c r="O197" s="6">
        <v>0.33</v>
      </c>
      <c r="P197" s="3">
        <v>202.86</v>
      </c>
      <c r="Q197" s="3">
        <v>262.44</v>
      </c>
      <c r="R197" s="3">
        <v>524.88</v>
      </c>
      <c r="S197" s="3">
        <v>-322.02</v>
      </c>
      <c r="T197" s="4">
        <v>-1.5874001774622899</v>
      </c>
      <c r="U197" s="4">
        <v>-1.91740017746229</v>
      </c>
      <c r="V197" t="s">
        <v>1057</v>
      </c>
      <c r="W197" t="s">
        <v>1056</v>
      </c>
    </row>
    <row r="198" spans="1:23" x14ac:dyDescent="0.25">
      <c r="A198" t="s">
        <v>209</v>
      </c>
      <c r="B198" s="2">
        <v>45421</v>
      </c>
      <c r="C198" t="s">
        <v>548</v>
      </c>
      <c r="D198" t="s">
        <v>738</v>
      </c>
      <c r="E198" t="s">
        <v>536</v>
      </c>
      <c r="F198" t="s">
        <v>544</v>
      </c>
      <c r="G198" t="s">
        <v>546</v>
      </c>
      <c r="H198" t="s">
        <v>1044</v>
      </c>
      <c r="I198" s="3">
        <v>2658</v>
      </c>
      <c r="J198" s="4">
        <v>0.11</v>
      </c>
      <c r="K198" s="3">
        <v>2365.62</v>
      </c>
      <c r="L198" s="3">
        <v>1402.32</v>
      </c>
      <c r="M198" s="5">
        <v>2</v>
      </c>
      <c r="N198" s="3">
        <v>29</v>
      </c>
      <c r="O198" s="6">
        <v>0.34</v>
      </c>
      <c r="P198" s="3">
        <v>4731.24</v>
      </c>
      <c r="Q198" s="3">
        <v>1431.32</v>
      </c>
      <c r="R198" s="3">
        <v>2862.64</v>
      </c>
      <c r="S198" s="3">
        <v>1868.6</v>
      </c>
      <c r="T198" s="4">
        <v>0.39494931561281998</v>
      </c>
      <c r="U198" s="4">
        <v>5.4949315612820002E-2</v>
      </c>
      <c r="V198" t="s">
        <v>1058</v>
      </c>
      <c r="W198" t="s">
        <v>1055</v>
      </c>
    </row>
    <row r="199" spans="1:23" x14ac:dyDescent="0.25">
      <c r="A199" t="s">
        <v>210</v>
      </c>
      <c r="B199" s="2">
        <v>45345</v>
      </c>
      <c r="C199" t="s">
        <v>549</v>
      </c>
      <c r="D199" t="s">
        <v>739</v>
      </c>
      <c r="E199" t="s">
        <v>537</v>
      </c>
      <c r="F199" t="s">
        <v>541</v>
      </c>
      <c r="G199" t="s">
        <v>546</v>
      </c>
      <c r="H199" t="s">
        <v>1044</v>
      </c>
      <c r="I199" s="3">
        <v>1799</v>
      </c>
      <c r="J199" s="4">
        <v>0.1</v>
      </c>
      <c r="K199" s="3">
        <v>1619.1</v>
      </c>
      <c r="L199" s="3">
        <v>947.44</v>
      </c>
      <c r="M199" s="5">
        <v>1</v>
      </c>
      <c r="N199" s="3">
        <v>134</v>
      </c>
      <c r="O199" s="6">
        <v>0.38</v>
      </c>
      <c r="P199" s="3">
        <v>1619.1</v>
      </c>
      <c r="Q199" s="3">
        <v>1081.44</v>
      </c>
      <c r="R199" s="3">
        <v>1081.44</v>
      </c>
      <c r="S199" s="3">
        <v>537.65999999999985</v>
      </c>
      <c r="T199" s="4">
        <v>0.33207337409672</v>
      </c>
      <c r="U199" s="4">
        <v>-4.792662590328E-2</v>
      </c>
      <c r="V199" t="s">
        <v>1054</v>
      </c>
      <c r="W199" t="s">
        <v>1055</v>
      </c>
    </row>
    <row r="200" spans="1:23" x14ac:dyDescent="0.25">
      <c r="A200" t="s">
        <v>211</v>
      </c>
      <c r="B200" s="2">
        <v>45378</v>
      </c>
      <c r="C200" t="s">
        <v>548</v>
      </c>
      <c r="D200" t="s">
        <v>740</v>
      </c>
      <c r="E200" t="s">
        <v>537</v>
      </c>
      <c r="F200" t="s">
        <v>542</v>
      </c>
      <c r="G200" t="s">
        <v>546</v>
      </c>
      <c r="H200" t="s">
        <v>1042</v>
      </c>
      <c r="I200" s="3">
        <v>5423</v>
      </c>
      <c r="J200" s="4">
        <v>0.15</v>
      </c>
      <c r="K200" s="3">
        <v>4609.55</v>
      </c>
      <c r="L200" s="3">
        <v>2899.84</v>
      </c>
      <c r="M200" s="5">
        <v>3</v>
      </c>
      <c r="N200" s="3">
        <v>51</v>
      </c>
      <c r="O200" s="6">
        <v>0.3</v>
      </c>
      <c r="P200" s="3">
        <v>13828.650000000001</v>
      </c>
      <c r="Q200" s="3">
        <v>2950.84</v>
      </c>
      <c r="R200" s="3">
        <v>8852.52</v>
      </c>
      <c r="S200" s="3">
        <v>4976.130000000001</v>
      </c>
      <c r="T200" s="4">
        <v>0.35984206701304899</v>
      </c>
      <c r="U200" s="4">
        <v>5.9842067013048998E-2</v>
      </c>
      <c r="V200" t="s">
        <v>1058</v>
      </c>
      <c r="W200" t="s">
        <v>1055</v>
      </c>
    </row>
    <row r="201" spans="1:23" x14ac:dyDescent="0.25">
      <c r="A201" t="s">
        <v>212</v>
      </c>
      <c r="B201" s="2">
        <v>45420</v>
      </c>
      <c r="C201" t="s">
        <v>548</v>
      </c>
      <c r="D201" t="s">
        <v>741</v>
      </c>
      <c r="E201" t="s">
        <v>536</v>
      </c>
      <c r="F201" t="s">
        <v>539</v>
      </c>
      <c r="G201" t="s">
        <v>546</v>
      </c>
      <c r="H201" t="s">
        <v>1044</v>
      </c>
      <c r="I201" s="3">
        <v>6902</v>
      </c>
      <c r="J201" s="4">
        <v>0.34</v>
      </c>
      <c r="K201" s="3">
        <v>4555.32</v>
      </c>
      <c r="L201" s="3">
        <v>3527.82</v>
      </c>
      <c r="M201" s="5">
        <v>1</v>
      </c>
      <c r="N201" s="3">
        <v>83</v>
      </c>
      <c r="O201" s="6">
        <v>0.38</v>
      </c>
      <c r="P201" s="3">
        <v>4555.32</v>
      </c>
      <c r="Q201" s="3">
        <v>3610.82</v>
      </c>
      <c r="R201" s="3">
        <v>3610.82</v>
      </c>
      <c r="S201" s="3">
        <v>944.49999999999955</v>
      </c>
      <c r="T201" s="4">
        <v>0.207339989287251</v>
      </c>
      <c r="U201" s="4">
        <v>-0.172660010712749</v>
      </c>
      <c r="V201" t="s">
        <v>1054</v>
      </c>
      <c r="W201" t="s">
        <v>1056</v>
      </c>
    </row>
    <row r="202" spans="1:23" x14ac:dyDescent="0.25">
      <c r="A202" t="s">
        <v>213</v>
      </c>
      <c r="B202" s="2">
        <v>45438</v>
      </c>
      <c r="C202" t="s">
        <v>548</v>
      </c>
      <c r="D202" t="s">
        <v>742</v>
      </c>
      <c r="E202" t="s">
        <v>536</v>
      </c>
      <c r="F202" t="s">
        <v>539</v>
      </c>
      <c r="G202" t="s">
        <v>546</v>
      </c>
      <c r="H202" t="s">
        <v>1043</v>
      </c>
      <c r="I202" s="3">
        <v>5273</v>
      </c>
      <c r="J202" s="4">
        <v>0.21</v>
      </c>
      <c r="K202" s="3">
        <v>4165.67</v>
      </c>
      <c r="L202" s="3">
        <v>3080.91</v>
      </c>
      <c r="M202" s="5">
        <v>2</v>
      </c>
      <c r="N202" s="3">
        <v>21</v>
      </c>
      <c r="O202" s="6">
        <v>0.33</v>
      </c>
      <c r="P202" s="3">
        <v>8331.34</v>
      </c>
      <c r="Q202" s="3">
        <v>3101.91</v>
      </c>
      <c r="R202" s="3">
        <v>6203.82</v>
      </c>
      <c r="S202" s="3">
        <v>2127.5200000000004</v>
      </c>
      <c r="T202" s="4">
        <v>0.25536348294512001</v>
      </c>
      <c r="U202" s="4">
        <v>-7.4636517054880003E-2</v>
      </c>
      <c r="V202" t="s">
        <v>1054</v>
      </c>
      <c r="W202" t="s">
        <v>1056</v>
      </c>
    </row>
    <row r="203" spans="1:23" x14ac:dyDescent="0.25">
      <c r="A203" t="s">
        <v>214</v>
      </c>
      <c r="B203" s="2">
        <v>45417</v>
      </c>
      <c r="C203" t="s">
        <v>548</v>
      </c>
      <c r="D203" t="s">
        <v>743</v>
      </c>
      <c r="E203" t="s">
        <v>535</v>
      </c>
      <c r="F203" t="s">
        <v>540</v>
      </c>
      <c r="G203" t="s">
        <v>546</v>
      </c>
      <c r="H203" t="s">
        <v>1042</v>
      </c>
      <c r="I203" s="3">
        <v>6679</v>
      </c>
      <c r="J203" s="4">
        <v>0.09</v>
      </c>
      <c r="K203" s="3">
        <v>6077.89</v>
      </c>
      <c r="L203" s="3">
        <v>3410.33</v>
      </c>
      <c r="M203" s="5">
        <v>1</v>
      </c>
      <c r="N203" s="3">
        <v>17</v>
      </c>
      <c r="O203" s="6">
        <v>0.4</v>
      </c>
      <c r="P203" s="3">
        <v>6077.89</v>
      </c>
      <c r="Q203" s="3">
        <v>3427.33</v>
      </c>
      <c r="R203" s="3">
        <v>3427.33</v>
      </c>
      <c r="S203" s="3">
        <v>2650.5600000000004</v>
      </c>
      <c r="T203" s="4">
        <v>0.43609871188850102</v>
      </c>
      <c r="U203" s="4">
        <v>3.6098711888501001E-2</v>
      </c>
      <c r="V203" t="s">
        <v>1058</v>
      </c>
      <c r="W203" t="s">
        <v>1059</v>
      </c>
    </row>
    <row r="204" spans="1:23" x14ac:dyDescent="0.25">
      <c r="A204" t="s">
        <v>215</v>
      </c>
      <c r="B204" s="2">
        <v>45421</v>
      </c>
      <c r="C204" t="s">
        <v>549</v>
      </c>
      <c r="D204" t="s">
        <v>744</v>
      </c>
      <c r="E204" t="s">
        <v>536</v>
      </c>
      <c r="F204" t="s">
        <v>539</v>
      </c>
      <c r="G204" t="s">
        <v>545</v>
      </c>
      <c r="H204" t="s">
        <v>1043</v>
      </c>
      <c r="I204" s="3">
        <v>1831</v>
      </c>
      <c r="J204" s="4">
        <v>0.31</v>
      </c>
      <c r="K204" s="3">
        <v>1263.3900000000001</v>
      </c>
      <c r="L204" s="3">
        <v>888.57</v>
      </c>
      <c r="M204" s="5">
        <v>2</v>
      </c>
      <c r="N204" s="3">
        <v>148</v>
      </c>
      <c r="O204" s="6">
        <v>0.33</v>
      </c>
      <c r="P204" s="3">
        <v>2526.7800000000002</v>
      </c>
      <c r="Q204" s="3">
        <v>1036.5700000000002</v>
      </c>
      <c r="R204" s="3">
        <v>2073.1400000000003</v>
      </c>
      <c r="S204" s="3">
        <v>453.63999999999987</v>
      </c>
      <c r="T204" s="4">
        <v>0.17953284417321599</v>
      </c>
      <c r="U204" s="4">
        <v>-0.15046715582678399</v>
      </c>
      <c r="V204" t="s">
        <v>1054</v>
      </c>
      <c r="W204" t="s">
        <v>1056</v>
      </c>
    </row>
    <row r="205" spans="1:23" x14ac:dyDescent="0.25">
      <c r="A205" t="s">
        <v>216</v>
      </c>
      <c r="B205" s="2">
        <v>45344</v>
      </c>
      <c r="C205" t="s">
        <v>548</v>
      </c>
      <c r="D205" t="s">
        <v>745</v>
      </c>
      <c r="E205" t="s">
        <v>536</v>
      </c>
      <c r="F205" t="s">
        <v>539</v>
      </c>
      <c r="G205" t="s">
        <v>546</v>
      </c>
      <c r="H205" t="s">
        <v>1043</v>
      </c>
      <c r="I205" s="3">
        <v>4414</v>
      </c>
      <c r="J205" s="4">
        <v>0.15</v>
      </c>
      <c r="K205" s="3">
        <v>3751.9</v>
      </c>
      <c r="L205" s="3">
        <v>3306.63</v>
      </c>
      <c r="M205" s="5">
        <v>3</v>
      </c>
      <c r="N205" s="3">
        <v>68</v>
      </c>
      <c r="O205" s="6">
        <v>0.3</v>
      </c>
      <c r="P205" s="3">
        <v>11255.7</v>
      </c>
      <c r="Q205" s="3">
        <v>3374.63</v>
      </c>
      <c r="R205" s="3">
        <v>10123.89</v>
      </c>
      <c r="S205" s="3">
        <v>1131.8100000000013</v>
      </c>
      <c r="T205" s="4">
        <v>0.100554385777873</v>
      </c>
      <c r="U205" s="4">
        <v>-0.199445614222127</v>
      </c>
      <c r="V205" t="s">
        <v>1054</v>
      </c>
      <c r="W205" t="s">
        <v>1055</v>
      </c>
    </row>
    <row r="206" spans="1:23" x14ac:dyDescent="0.25">
      <c r="A206" t="s">
        <v>217</v>
      </c>
      <c r="B206" s="2">
        <v>45463</v>
      </c>
      <c r="C206" t="s">
        <v>547</v>
      </c>
      <c r="D206" t="s">
        <v>746</v>
      </c>
      <c r="E206" t="s">
        <v>535</v>
      </c>
      <c r="F206" t="s">
        <v>540</v>
      </c>
      <c r="G206" t="s">
        <v>546</v>
      </c>
      <c r="H206" t="s">
        <v>1042</v>
      </c>
      <c r="I206" s="3">
        <v>5075</v>
      </c>
      <c r="J206" s="4">
        <v>0.11</v>
      </c>
      <c r="K206" s="3">
        <v>4516.75</v>
      </c>
      <c r="L206" s="3">
        <v>2860.82</v>
      </c>
      <c r="M206" s="5">
        <v>1</v>
      </c>
      <c r="N206" s="3">
        <v>198</v>
      </c>
      <c r="O206" s="6">
        <v>0.33</v>
      </c>
      <c r="P206" s="3">
        <v>4516.75</v>
      </c>
      <c r="Q206" s="3">
        <v>3058.82</v>
      </c>
      <c r="R206" s="3">
        <v>3058.82</v>
      </c>
      <c r="S206" s="3">
        <v>1457.9299999999998</v>
      </c>
      <c r="T206" s="4">
        <v>0.322782974483866</v>
      </c>
      <c r="U206" s="4">
        <v>-7.2170255161340098E-3</v>
      </c>
      <c r="V206" t="s">
        <v>1054</v>
      </c>
      <c r="W206" t="s">
        <v>1055</v>
      </c>
    </row>
    <row r="207" spans="1:23" x14ac:dyDescent="0.25">
      <c r="A207" t="s">
        <v>218</v>
      </c>
      <c r="B207" s="2">
        <v>45451</v>
      </c>
      <c r="C207" t="s">
        <v>548</v>
      </c>
      <c r="D207" t="s">
        <v>747</v>
      </c>
      <c r="E207" t="s">
        <v>537</v>
      </c>
      <c r="F207" t="s">
        <v>543</v>
      </c>
      <c r="G207" t="s">
        <v>545</v>
      </c>
      <c r="H207" t="s">
        <v>1045</v>
      </c>
      <c r="I207" s="3">
        <v>5564</v>
      </c>
      <c r="J207" s="4">
        <v>0.32</v>
      </c>
      <c r="K207" s="3">
        <v>3783.52</v>
      </c>
      <c r="L207" s="3">
        <v>3591.56</v>
      </c>
      <c r="M207" s="5">
        <v>2</v>
      </c>
      <c r="N207" s="3">
        <v>140</v>
      </c>
      <c r="O207" s="6">
        <v>0.31</v>
      </c>
      <c r="P207" s="3">
        <v>7567.04</v>
      </c>
      <c r="Q207" s="3">
        <v>3731.56</v>
      </c>
      <c r="R207" s="3">
        <v>7463.12</v>
      </c>
      <c r="S207" s="3">
        <v>103.92000000000007</v>
      </c>
      <c r="T207" s="4">
        <v>1.3733243117520199E-2</v>
      </c>
      <c r="U207" s="4">
        <v>-0.29626675688248</v>
      </c>
      <c r="V207" t="s">
        <v>1054</v>
      </c>
      <c r="W207" t="s">
        <v>1056</v>
      </c>
    </row>
    <row r="208" spans="1:23" x14ac:dyDescent="0.25">
      <c r="A208" t="s">
        <v>219</v>
      </c>
      <c r="B208" s="2">
        <v>45451</v>
      </c>
      <c r="C208" t="s">
        <v>547</v>
      </c>
      <c r="D208" t="s">
        <v>748</v>
      </c>
      <c r="E208" t="s">
        <v>537</v>
      </c>
      <c r="F208" t="s">
        <v>543</v>
      </c>
      <c r="G208" t="s">
        <v>546</v>
      </c>
      <c r="H208" t="s">
        <v>1042</v>
      </c>
      <c r="I208" s="3">
        <v>2643</v>
      </c>
      <c r="J208" s="4">
        <v>0.15</v>
      </c>
      <c r="K208" s="3">
        <v>2246.5500000000002</v>
      </c>
      <c r="L208" s="3">
        <v>1546.43</v>
      </c>
      <c r="M208" s="5">
        <v>3</v>
      </c>
      <c r="N208" s="3">
        <v>67</v>
      </c>
      <c r="O208" s="6">
        <v>0.39</v>
      </c>
      <c r="P208" s="3">
        <v>6739.6500000000005</v>
      </c>
      <c r="Q208" s="3">
        <v>1613.43</v>
      </c>
      <c r="R208" s="3">
        <v>4840.29</v>
      </c>
      <c r="S208" s="3">
        <v>1899.3600000000006</v>
      </c>
      <c r="T208" s="4">
        <v>0.281818788809508</v>
      </c>
      <c r="U208" s="4">
        <v>-0.108181211190492</v>
      </c>
      <c r="V208" t="s">
        <v>1054</v>
      </c>
      <c r="W208" t="s">
        <v>1055</v>
      </c>
    </row>
    <row r="209" spans="1:23" x14ac:dyDescent="0.25">
      <c r="A209" t="s">
        <v>220</v>
      </c>
      <c r="B209" s="2">
        <v>45359</v>
      </c>
      <c r="C209" t="s">
        <v>547</v>
      </c>
      <c r="D209" t="s">
        <v>749</v>
      </c>
      <c r="E209" t="s">
        <v>537</v>
      </c>
      <c r="F209" t="s">
        <v>542</v>
      </c>
      <c r="G209" t="s">
        <v>545</v>
      </c>
      <c r="H209" t="s">
        <v>1043</v>
      </c>
      <c r="I209" s="3">
        <v>980</v>
      </c>
      <c r="J209" s="4">
        <v>0.06</v>
      </c>
      <c r="K209" s="3">
        <v>921.2</v>
      </c>
      <c r="L209" s="3">
        <v>658.35</v>
      </c>
      <c r="M209" s="5">
        <v>2</v>
      </c>
      <c r="N209" s="3">
        <v>171</v>
      </c>
      <c r="O209" s="6">
        <v>0.33</v>
      </c>
      <c r="P209" s="3">
        <v>1842.4</v>
      </c>
      <c r="Q209" s="3">
        <v>829.35</v>
      </c>
      <c r="R209" s="3">
        <v>1658.7</v>
      </c>
      <c r="S209" s="3">
        <v>183.70000000000005</v>
      </c>
      <c r="T209" s="4">
        <v>9.9706904038211003E-2</v>
      </c>
      <c r="U209" s="4">
        <v>-0.23029309596178901</v>
      </c>
      <c r="V209" t="s">
        <v>1054</v>
      </c>
      <c r="W209" t="s">
        <v>1059</v>
      </c>
    </row>
    <row r="210" spans="1:23" x14ac:dyDescent="0.25">
      <c r="A210" t="s">
        <v>221</v>
      </c>
      <c r="B210" s="2">
        <v>45414</v>
      </c>
      <c r="C210" t="s">
        <v>550</v>
      </c>
      <c r="D210" t="s">
        <v>750</v>
      </c>
      <c r="E210" t="s">
        <v>536</v>
      </c>
      <c r="F210" t="s">
        <v>539</v>
      </c>
      <c r="G210" t="s">
        <v>545</v>
      </c>
      <c r="H210" t="s">
        <v>1042</v>
      </c>
      <c r="I210" s="3">
        <v>6194</v>
      </c>
      <c r="J210" s="4">
        <v>0.3</v>
      </c>
      <c r="K210" s="3">
        <v>4335.8</v>
      </c>
      <c r="L210" s="3">
        <v>3306.25</v>
      </c>
      <c r="M210" s="5">
        <v>2</v>
      </c>
      <c r="N210" s="3">
        <v>76</v>
      </c>
      <c r="O210" s="6">
        <v>0.37</v>
      </c>
      <c r="P210" s="3">
        <v>8671.6</v>
      </c>
      <c r="Q210" s="3">
        <v>3382.25</v>
      </c>
      <c r="R210" s="3">
        <v>6764.5</v>
      </c>
      <c r="S210" s="3">
        <v>1907.1000000000004</v>
      </c>
      <c r="T210" s="4">
        <v>0.219924812030075</v>
      </c>
      <c r="U210" s="4">
        <v>-0.150075187969925</v>
      </c>
      <c r="V210" t="s">
        <v>1054</v>
      </c>
      <c r="W210" t="s">
        <v>1056</v>
      </c>
    </row>
    <row r="211" spans="1:23" x14ac:dyDescent="0.25">
      <c r="A211" t="s">
        <v>222</v>
      </c>
      <c r="B211" s="2">
        <v>45436</v>
      </c>
      <c r="C211" t="s">
        <v>547</v>
      </c>
      <c r="D211" t="s">
        <v>751</v>
      </c>
      <c r="E211" t="s">
        <v>536</v>
      </c>
      <c r="F211" t="s">
        <v>539</v>
      </c>
      <c r="G211" t="s">
        <v>546</v>
      </c>
      <c r="H211" t="s">
        <v>1045</v>
      </c>
      <c r="I211" s="3">
        <v>998</v>
      </c>
      <c r="J211" s="4">
        <v>0.25</v>
      </c>
      <c r="K211" s="3">
        <v>748.5</v>
      </c>
      <c r="L211" s="3">
        <v>730.03</v>
      </c>
      <c r="M211" s="5">
        <v>3</v>
      </c>
      <c r="N211" s="3">
        <v>154</v>
      </c>
      <c r="O211" s="6">
        <v>0.42</v>
      </c>
      <c r="P211" s="3">
        <v>2245.5</v>
      </c>
      <c r="Q211" s="3">
        <v>884.03</v>
      </c>
      <c r="R211" s="3">
        <v>2652.09</v>
      </c>
      <c r="S211" s="3">
        <v>-406.59000000000015</v>
      </c>
      <c r="T211" s="4">
        <v>-0.18106880427521699</v>
      </c>
      <c r="U211" s="4">
        <v>-0.60106880427521703</v>
      </c>
      <c r="V211" t="s">
        <v>1057</v>
      </c>
      <c r="W211" t="s">
        <v>1056</v>
      </c>
    </row>
    <row r="212" spans="1:23" x14ac:dyDescent="0.25">
      <c r="A212" t="s">
        <v>223</v>
      </c>
      <c r="B212" s="2">
        <v>45329</v>
      </c>
      <c r="C212" t="s">
        <v>550</v>
      </c>
      <c r="D212" t="s">
        <v>752</v>
      </c>
      <c r="E212" t="s">
        <v>535</v>
      </c>
      <c r="F212" t="s">
        <v>540</v>
      </c>
      <c r="G212" t="s">
        <v>545</v>
      </c>
      <c r="H212" t="s">
        <v>1043</v>
      </c>
      <c r="I212" s="3">
        <v>7468</v>
      </c>
      <c r="J212" s="4">
        <v>0.05</v>
      </c>
      <c r="K212" s="3">
        <v>7094.6</v>
      </c>
      <c r="L212" s="3">
        <v>3739.41</v>
      </c>
      <c r="M212" s="5">
        <v>2</v>
      </c>
      <c r="N212" s="3">
        <v>107</v>
      </c>
      <c r="O212" s="6">
        <v>0.36</v>
      </c>
      <c r="P212" s="3">
        <v>14189.2</v>
      </c>
      <c r="Q212" s="3">
        <v>3846.41</v>
      </c>
      <c r="R212" s="3">
        <v>7692.82</v>
      </c>
      <c r="S212" s="3">
        <v>6496.380000000001</v>
      </c>
      <c r="T212" s="4">
        <v>0.45783976545541699</v>
      </c>
      <c r="U212" s="4">
        <v>9.7839765455417005E-2</v>
      </c>
      <c r="V212" t="s">
        <v>1058</v>
      </c>
      <c r="W212" t="s">
        <v>1059</v>
      </c>
    </row>
    <row r="213" spans="1:23" x14ac:dyDescent="0.25">
      <c r="A213" t="s">
        <v>224</v>
      </c>
      <c r="B213" s="2">
        <v>45315</v>
      </c>
      <c r="C213" t="s">
        <v>550</v>
      </c>
      <c r="D213" t="s">
        <v>753</v>
      </c>
      <c r="E213" t="s">
        <v>535</v>
      </c>
      <c r="F213" t="s">
        <v>538</v>
      </c>
      <c r="G213" t="s">
        <v>546</v>
      </c>
      <c r="H213" t="s">
        <v>1043</v>
      </c>
      <c r="I213" s="3">
        <v>6192</v>
      </c>
      <c r="J213" s="4">
        <v>0.08</v>
      </c>
      <c r="K213" s="3">
        <v>5696.64</v>
      </c>
      <c r="L213" s="3">
        <v>3571.33</v>
      </c>
      <c r="M213" s="5">
        <v>2</v>
      </c>
      <c r="N213" s="3">
        <v>34</v>
      </c>
      <c r="O213" s="6">
        <v>0.44</v>
      </c>
      <c r="P213" s="3">
        <v>11393.28</v>
      </c>
      <c r="Q213" s="3">
        <v>3605.33</v>
      </c>
      <c r="R213" s="3">
        <v>7210.66</v>
      </c>
      <c r="S213" s="3">
        <v>4182.6200000000008</v>
      </c>
      <c r="T213" s="4">
        <v>0.36711289461858199</v>
      </c>
      <c r="U213" s="4">
        <v>-7.2887105381418002E-2</v>
      </c>
      <c r="V213" t="s">
        <v>1054</v>
      </c>
      <c r="W213" t="s">
        <v>1059</v>
      </c>
    </row>
    <row r="214" spans="1:23" x14ac:dyDescent="0.25">
      <c r="A214" t="s">
        <v>225</v>
      </c>
      <c r="B214" s="2">
        <v>45360</v>
      </c>
      <c r="C214" t="s">
        <v>548</v>
      </c>
      <c r="D214" t="s">
        <v>754</v>
      </c>
      <c r="E214" t="s">
        <v>537</v>
      </c>
      <c r="F214" t="s">
        <v>542</v>
      </c>
      <c r="G214" t="s">
        <v>545</v>
      </c>
      <c r="H214" t="s">
        <v>1044</v>
      </c>
      <c r="I214" s="3">
        <v>1499</v>
      </c>
      <c r="J214" s="4">
        <v>0.26</v>
      </c>
      <c r="K214" s="3">
        <v>1109.26</v>
      </c>
      <c r="L214" s="3">
        <v>1052.06</v>
      </c>
      <c r="M214" s="5">
        <v>3</v>
      </c>
      <c r="N214" s="3">
        <v>182</v>
      </c>
      <c r="O214" s="6">
        <v>0.39</v>
      </c>
      <c r="P214" s="3">
        <v>3327.7799999999997</v>
      </c>
      <c r="Q214" s="3">
        <v>1234.06</v>
      </c>
      <c r="R214" s="3">
        <v>3702.18</v>
      </c>
      <c r="S214" s="3">
        <v>-374.40000000000009</v>
      </c>
      <c r="T214" s="4">
        <v>-0.11250743739069299</v>
      </c>
      <c r="U214" s="4">
        <v>-0.50250743739069303</v>
      </c>
      <c r="V214" t="s">
        <v>1057</v>
      </c>
      <c r="W214" t="s">
        <v>1056</v>
      </c>
    </row>
    <row r="215" spans="1:23" x14ac:dyDescent="0.25">
      <c r="A215" t="s">
        <v>226</v>
      </c>
      <c r="B215" s="2">
        <v>45407</v>
      </c>
      <c r="C215" t="s">
        <v>548</v>
      </c>
      <c r="D215" t="s">
        <v>755</v>
      </c>
      <c r="E215" t="s">
        <v>536</v>
      </c>
      <c r="F215" t="s">
        <v>544</v>
      </c>
      <c r="G215" t="s">
        <v>546</v>
      </c>
      <c r="H215" t="s">
        <v>1044</v>
      </c>
      <c r="I215" s="3">
        <v>3040</v>
      </c>
      <c r="J215" s="4">
        <v>0.18</v>
      </c>
      <c r="K215" s="3">
        <v>2492.8000000000002</v>
      </c>
      <c r="L215" s="3">
        <v>1567.22</v>
      </c>
      <c r="M215" s="5">
        <v>1</v>
      </c>
      <c r="N215" s="3">
        <v>190</v>
      </c>
      <c r="O215" s="6">
        <v>0.28999999999999998</v>
      </c>
      <c r="P215" s="3">
        <v>2492.8000000000002</v>
      </c>
      <c r="Q215" s="3">
        <v>1757.22</v>
      </c>
      <c r="R215" s="3">
        <v>1757.22</v>
      </c>
      <c r="S215" s="3">
        <v>735.58000000000015</v>
      </c>
      <c r="T215" s="4">
        <v>0.29508183568677798</v>
      </c>
      <c r="U215" s="4">
        <v>5.0818356867779997E-3</v>
      </c>
      <c r="V215" t="s">
        <v>1058</v>
      </c>
      <c r="W215" t="s">
        <v>1055</v>
      </c>
    </row>
    <row r="216" spans="1:23" x14ac:dyDescent="0.25">
      <c r="A216" t="s">
        <v>227</v>
      </c>
      <c r="B216" s="2">
        <v>45389</v>
      </c>
      <c r="C216" t="s">
        <v>549</v>
      </c>
      <c r="D216" t="s">
        <v>756</v>
      </c>
      <c r="E216" t="s">
        <v>537</v>
      </c>
      <c r="F216" t="s">
        <v>542</v>
      </c>
      <c r="G216" t="s">
        <v>546</v>
      </c>
      <c r="H216" t="s">
        <v>1042</v>
      </c>
      <c r="I216" s="3">
        <v>6282</v>
      </c>
      <c r="J216" s="4">
        <v>0.3</v>
      </c>
      <c r="K216" s="3">
        <v>4397.3999999999996</v>
      </c>
      <c r="L216" s="3">
        <v>2966.81</v>
      </c>
      <c r="M216" s="5">
        <v>2</v>
      </c>
      <c r="N216" s="3">
        <v>196</v>
      </c>
      <c r="O216" s="6">
        <v>0.41</v>
      </c>
      <c r="P216" s="3">
        <v>8794.7999999999993</v>
      </c>
      <c r="Q216" s="3">
        <v>3162.81</v>
      </c>
      <c r="R216" s="3">
        <v>6325.62</v>
      </c>
      <c r="S216" s="3">
        <v>2469.1799999999994</v>
      </c>
      <c r="T216" s="4">
        <v>0.28075453677172901</v>
      </c>
      <c r="U216" s="4">
        <v>-0.12924546322827099</v>
      </c>
      <c r="V216" t="s">
        <v>1054</v>
      </c>
      <c r="W216" t="s">
        <v>1056</v>
      </c>
    </row>
    <row r="217" spans="1:23" x14ac:dyDescent="0.25">
      <c r="A217" t="s">
        <v>228</v>
      </c>
      <c r="B217" s="2">
        <v>45430</v>
      </c>
      <c r="C217" t="s">
        <v>549</v>
      </c>
      <c r="D217" t="s">
        <v>757</v>
      </c>
      <c r="E217" t="s">
        <v>536</v>
      </c>
      <c r="F217" t="s">
        <v>544</v>
      </c>
      <c r="G217" t="s">
        <v>545</v>
      </c>
      <c r="H217" t="s">
        <v>1045</v>
      </c>
      <c r="I217" s="3">
        <v>7854</v>
      </c>
      <c r="J217" s="4">
        <v>0.23</v>
      </c>
      <c r="K217" s="3">
        <v>6047.58</v>
      </c>
      <c r="L217" s="3">
        <v>5636.74</v>
      </c>
      <c r="M217" s="5">
        <v>3</v>
      </c>
      <c r="N217" s="3">
        <v>136</v>
      </c>
      <c r="O217" s="6">
        <v>0.28999999999999998</v>
      </c>
      <c r="P217" s="3">
        <v>18142.739999999998</v>
      </c>
      <c r="Q217" s="3">
        <v>5772.74</v>
      </c>
      <c r="R217" s="3">
        <v>17318.22</v>
      </c>
      <c r="S217" s="3">
        <v>824.5199999999968</v>
      </c>
      <c r="T217" s="4">
        <v>4.5446277684627397E-2</v>
      </c>
      <c r="U217" s="4">
        <v>-0.24455372231537301</v>
      </c>
      <c r="V217" t="s">
        <v>1054</v>
      </c>
      <c r="W217" t="s">
        <v>1056</v>
      </c>
    </row>
    <row r="218" spans="1:23" x14ac:dyDescent="0.25">
      <c r="A218" t="s">
        <v>229</v>
      </c>
      <c r="B218" s="2">
        <v>45435</v>
      </c>
      <c r="C218" t="s">
        <v>549</v>
      </c>
      <c r="D218" t="s">
        <v>758</v>
      </c>
      <c r="E218" t="s">
        <v>537</v>
      </c>
      <c r="F218" t="s">
        <v>542</v>
      </c>
      <c r="G218" t="s">
        <v>546</v>
      </c>
      <c r="H218" t="s">
        <v>1044</v>
      </c>
      <c r="I218" s="3">
        <v>828</v>
      </c>
      <c r="J218" s="4">
        <v>0.35</v>
      </c>
      <c r="K218" s="3">
        <v>538.20000000000005</v>
      </c>
      <c r="L218" s="3">
        <v>585.15</v>
      </c>
      <c r="M218" s="5">
        <v>1</v>
      </c>
      <c r="N218" s="3">
        <v>158</v>
      </c>
      <c r="O218" s="6">
        <v>0.32</v>
      </c>
      <c r="P218" s="3">
        <v>538.20000000000005</v>
      </c>
      <c r="Q218" s="3">
        <v>743.15</v>
      </c>
      <c r="R218" s="3">
        <v>743.15</v>
      </c>
      <c r="S218" s="3">
        <v>-204.94999999999993</v>
      </c>
      <c r="T218" s="4">
        <v>-0.38080639167595698</v>
      </c>
      <c r="U218" s="4">
        <v>-0.70080639167595704</v>
      </c>
      <c r="V218" t="s">
        <v>1057</v>
      </c>
      <c r="W218" t="s">
        <v>1056</v>
      </c>
    </row>
    <row r="219" spans="1:23" x14ac:dyDescent="0.25">
      <c r="A219" t="s">
        <v>230</v>
      </c>
      <c r="B219" s="2">
        <v>45388</v>
      </c>
      <c r="C219" t="s">
        <v>547</v>
      </c>
      <c r="D219" t="s">
        <v>759</v>
      </c>
      <c r="E219" t="s">
        <v>536</v>
      </c>
      <c r="F219" t="s">
        <v>544</v>
      </c>
      <c r="G219" t="s">
        <v>545</v>
      </c>
      <c r="H219" t="s">
        <v>1045</v>
      </c>
      <c r="I219" s="3">
        <v>3566</v>
      </c>
      <c r="J219" s="4">
        <v>0.06</v>
      </c>
      <c r="K219" s="3">
        <v>3352.04</v>
      </c>
      <c r="L219" s="3">
        <v>2533.88</v>
      </c>
      <c r="M219" s="5">
        <v>1</v>
      </c>
      <c r="N219" s="3">
        <v>74</v>
      </c>
      <c r="O219" s="6">
        <v>0.4</v>
      </c>
      <c r="P219" s="3">
        <v>3352.04</v>
      </c>
      <c r="Q219" s="3">
        <v>2607.88</v>
      </c>
      <c r="R219" s="3">
        <v>2607.88</v>
      </c>
      <c r="S219" s="3">
        <v>744.15999999999985</v>
      </c>
      <c r="T219" s="4">
        <v>0.22200212407966499</v>
      </c>
      <c r="U219" s="4">
        <v>-0.177997875920335</v>
      </c>
      <c r="V219" t="s">
        <v>1054</v>
      </c>
      <c r="W219" t="s">
        <v>1059</v>
      </c>
    </row>
    <row r="220" spans="1:23" x14ac:dyDescent="0.25">
      <c r="A220" t="s">
        <v>231</v>
      </c>
      <c r="B220" s="2">
        <v>45415</v>
      </c>
      <c r="C220" t="s">
        <v>548</v>
      </c>
      <c r="D220" t="s">
        <v>760</v>
      </c>
      <c r="E220" t="s">
        <v>537</v>
      </c>
      <c r="F220" t="s">
        <v>543</v>
      </c>
      <c r="G220" t="s">
        <v>546</v>
      </c>
      <c r="H220" t="s">
        <v>1044</v>
      </c>
      <c r="I220" s="3">
        <v>2123</v>
      </c>
      <c r="J220" s="4">
        <v>0.1</v>
      </c>
      <c r="K220" s="3">
        <v>1910.7</v>
      </c>
      <c r="L220" s="3">
        <v>1063.99</v>
      </c>
      <c r="M220" s="5">
        <v>3</v>
      </c>
      <c r="N220" s="3">
        <v>30</v>
      </c>
      <c r="O220" s="6">
        <v>0.36</v>
      </c>
      <c r="P220" s="3">
        <v>5732.1</v>
      </c>
      <c r="Q220" s="3">
        <v>1093.99</v>
      </c>
      <c r="R220" s="3">
        <v>3281.9700000000003</v>
      </c>
      <c r="S220" s="3">
        <v>2450.13</v>
      </c>
      <c r="T220" s="4">
        <v>0.42744020516041198</v>
      </c>
      <c r="U220" s="4">
        <v>6.7440205160412006E-2</v>
      </c>
      <c r="V220" t="s">
        <v>1058</v>
      </c>
      <c r="W220" t="s">
        <v>1055</v>
      </c>
    </row>
    <row r="221" spans="1:23" x14ac:dyDescent="0.25">
      <c r="A221" t="s">
        <v>232</v>
      </c>
      <c r="B221" s="2">
        <v>45361</v>
      </c>
      <c r="C221" t="s">
        <v>549</v>
      </c>
      <c r="D221" t="s">
        <v>761</v>
      </c>
      <c r="E221" t="s">
        <v>535</v>
      </c>
      <c r="F221" t="s">
        <v>540</v>
      </c>
      <c r="G221" t="s">
        <v>545</v>
      </c>
      <c r="H221" t="s">
        <v>1042</v>
      </c>
      <c r="I221" s="3">
        <v>6733</v>
      </c>
      <c r="J221" s="4">
        <v>0.12</v>
      </c>
      <c r="K221" s="3">
        <v>5925.04</v>
      </c>
      <c r="L221" s="3">
        <v>4619.01</v>
      </c>
      <c r="M221" s="5">
        <v>2</v>
      </c>
      <c r="N221" s="3">
        <v>76</v>
      </c>
      <c r="O221" s="6">
        <v>0.32</v>
      </c>
      <c r="P221" s="3">
        <v>11850.08</v>
      </c>
      <c r="Q221" s="3">
        <v>4695.01</v>
      </c>
      <c r="R221" s="3">
        <v>9390.02</v>
      </c>
      <c r="S221" s="3">
        <v>2460.0599999999995</v>
      </c>
      <c r="T221" s="4">
        <v>0.20759859849047399</v>
      </c>
      <c r="U221" s="4">
        <v>-0.112401401509526</v>
      </c>
      <c r="V221" t="s">
        <v>1054</v>
      </c>
      <c r="W221" t="s">
        <v>1055</v>
      </c>
    </row>
    <row r="222" spans="1:23" x14ac:dyDescent="0.25">
      <c r="A222" t="s">
        <v>233</v>
      </c>
      <c r="B222" s="2">
        <v>45384</v>
      </c>
      <c r="C222" t="s">
        <v>547</v>
      </c>
      <c r="D222" t="s">
        <v>762</v>
      </c>
      <c r="E222" t="s">
        <v>536</v>
      </c>
      <c r="F222" t="s">
        <v>539</v>
      </c>
      <c r="G222" t="s">
        <v>546</v>
      </c>
      <c r="H222" t="s">
        <v>1044</v>
      </c>
      <c r="I222" s="3">
        <v>4055</v>
      </c>
      <c r="J222" s="4">
        <v>7.0000000000000007E-2</v>
      </c>
      <c r="K222" s="3">
        <v>3771.15</v>
      </c>
      <c r="L222" s="3">
        <v>2134.2199999999998</v>
      </c>
      <c r="M222" s="5">
        <v>1</v>
      </c>
      <c r="N222" s="3">
        <v>154</v>
      </c>
      <c r="O222" s="6">
        <v>0.36</v>
      </c>
      <c r="P222" s="3">
        <v>3771.15</v>
      </c>
      <c r="Q222" s="3">
        <v>2288.2199999999998</v>
      </c>
      <c r="R222" s="3">
        <v>2288.2199999999998</v>
      </c>
      <c r="S222" s="3">
        <v>1482.9300000000003</v>
      </c>
      <c r="T222" s="4">
        <v>0.39323018177479002</v>
      </c>
      <c r="U222" s="4">
        <v>3.3230181774790001E-2</v>
      </c>
      <c r="V222" t="s">
        <v>1058</v>
      </c>
      <c r="W222" t="s">
        <v>1059</v>
      </c>
    </row>
    <row r="223" spans="1:23" x14ac:dyDescent="0.25">
      <c r="A223" t="s">
        <v>234</v>
      </c>
      <c r="B223" s="2">
        <v>45294</v>
      </c>
      <c r="C223" t="s">
        <v>548</v>
      </c>
      <c r="D223" t="s">
        <v>763</v>
      </c>
      <c r="E223" t="s">
        <v>536</v>
      </c>
      <c r="F223" t="s">
        <v>544</v>
      </c>
      <c r="G223" t="s">
        <v>546</v>
      </c>
      <c r="H223" t="s">
        <v>1045</v>
      </c>
      <c r="I223" s="3">
        <v>4586</v>
      </c>
      <c r="J223" s="4">
        <v>0.15</v>
      </c>
      <c r="K223" s="3">
        <v>3898.1</v>
      </c>
      <c r="L223" s="3">
        <v>2726.89</v>
      </c>
      <c r="M223" s="5">
        <v>2</v>
      </c>
      <c r="N223" s="3">
        <v>177</v>
      </c>
      <c r="O223" s="6">
        <v>0.38</v>
      </c>
      <c r="P223" s="3">
        <v>7796.2</v>
      </c>
      <c r="Q223" s="3">
        <v>2903.89</v>
      </c>
      <c r="R223" s="3">
        <v>5807.78</v>
      </c>
      <c r="S223" s="3">
        <v>1988.42</v>
      </c>
      <c r="T223" s="4">
        <v>0.25504989610322998</v>
      </c>
      <c r="U223" s="4">
        <v>-0.12495010389677</v>
      </c>
      <c r="V223" t="s">
        <v>1054</v>
      </c>
      <c r="W223" t="s">
        <v>1055</v>
      </c>
    </row>
    <row r="224" spans="1:23" x14ac:dyDescent="0.25">
      <c r="A224" t="s">
        <v>235</v>
      </c>
      <c r="B224" s="2">
        <v>45439</v>
      </c>
      <c r="C224" t="s">
        <v>547</v>
      </c>
      <c r="D224" t="s">
        <v>764</v>
      </c>
      <c r="E224" t="s">
        <v>535</v>
      </c>
      <c r="F224" t="s">
        <v>540</v>
      </c>
      <c r="G224" t="s">
        <v>546</v>
      </c>
      <c r="H224" t="s">
        <v>1043</v>
      </c>
      <c r="I224" s="3">
        <v>5026</v>
      </c>
      <c r="J224" s="4">
        <v>0.12</v>
      </c>
      <c r="K224" s="3">
        <v>4422.88</v>
      </c>
      <c r="L224" s="3">
        <v>2317.0700000000002</v>
      </c>
      <c r="M224" s="5">
        <v>1</v>
      </c>
      <c r="N224" s="3">
        <v>133</v>
      </c>
      <c r="O224" s="6">
        <v>0.34</v>
      </c>
      <c r="P224" s="3">
        <v>4422.88</v>
      </c>
      <c r="Q224" s="3">
        <v>2450.0700000000002</v>
      </c>
      <c r="R224" s="3">
        <v>2450.0700000000002</v>
      </c>
      <c r="S224" s="3">
        <v>1972.81</v>
      </c>
      <c r="T224" s="4">
        <v>0.446046467460116</v>
      </c>
      <c r="U224" s="4">
        <v>0.10604646746011601</v>
      </c>
      <c r="V224" t="s">
        <v>1058</v>
      </c>
      <c r="W224" t="s">
        <v>1055</v>
      </c>
    </row>
    <row r="225" spans="1:23" x14ac:dyDescent="0.25">
      <c r="A225" t="s">
        <v>236</v>
      </c>
      <c r="B225" s="2">
        <v>45455</v>
      </c>
      <c r="C225" t="s">
        <v>549</v>
      </c>
      <c r="D225" t="s">
        <v>765</v>
      </c>
      <c r="E225" t="s">
        <v>535</v>
      </c>
      <c r="F225" t="s">
        <v>540</v>
      </c>
      <c r="G225" t="s">
        <v>546</v>
      </c>
      <c r="H225" t="s">
        <v>1044</v>
      </c>
      <c r="I225" s="3">
        <v>2479</v>
      </c>
      <c r="J225" s="4">
        <v>0.13</v>
      </c>
      <c r="K225" s="3">
        <v>2156.73</v>
      </c>
      <c r="L225" s="3">
        <v>1722.92</v>
      </c>
      <c r="M225" s="5">
        <v>1</v>
      </c>
      <c r="N225" s="3">
        <v>58</v>
      </c>
      <c r="O225" s="6">
        <v>0.42</v>
      </c>
      <c r="P225" s="3">
        <v>2156.73</v>
      </c>
      <c r="Q225" s="3">
        <v>1780.92</v>
      </c>
      <c r="R225" s="3">
        <v>1780.92</v>
      </c>
      <c r="S225" s="3">
        <v>375.80999999999995</v>
      </c>
      <c r="T225" s="4">
        <v>0.17424990610785801</v>
      </c>
      <c r="U225" s="4">
        <v>-0.245750093892142</v>
      </c>
      <c r="V225" t="s">
        <v>1054</v>
      </c>
      <c r="W225" t="s">
        <v>1055</v>
      </c>
    </row>
    <row r="226" spans="1:23" x14ac:dyDescent="0.25">
      <c r="A226" t="s">
        <v>237</v>
      </c>
      <c r="B226" s="2">
        <v>45438</v>
      </c>
      <c r="C226" t="s">
        <v>548</v>
      </c>
      <c r="D226" t="s">
        <v>766</v>
      </c>
      <c r="E226" t="s">
        <v>536</v>
      </c>
      <c r="F226" t="s">
        <v>539</v>
      </c>
      <c r="G226" t="s">
        <v>546</v>
      </c>
      <c r="H226" t="s">
        <v>1044</v>
      </c>
      <c r="I226" s="3">
        <v>4542</v>
      </c>
      <c r="J226" s="4">
        <v>0.25</v>
      </c>
      <c r="K226" s="3">
        <v>3406.5</v>
      </c>
      <c r="L226" s="3">
        <v>2105.02</v>
      </c>
      <c r="M226" s="5">
        <v>1</v>
      </c>
      <c r="N226" s="3">
        <v>148</v>
      </c>
      <c r="O226" s="6">
        <v>0.44</v>
      </c>
      <c r="P226" s="3">
        <v>3406.5</v>
      </c>
      <c r="Q226" s="3">
        <v>2253.02</v>
      </c>
      <c r="R226" s="3">
        <v>2253.02</v>
      </c>
      <c r="S226" s="3">
        <v>1153.48</v>
      </c>
      <c r="T226" s="4">
        <v>0.33861147805665598</v>
      </c>
      <c r="U226" s="4">
        <v>-0.101388521943344</v>
      </c>
      <c r="V226" t="s">
        <v>1054</v>
      </c>
      <c r="W226" t="s">
        <v>1056</v>
      </c>
    </row>
    <row r="227" spans="1:23" x14ac:dyDescent="0.25">
      <c r="A227" t="s">
        <v>238</v>
      </c>
      <c r="B227" s="2">
        <v>45381</v>
      </c>
      <c r="C227" t="s">
        <v>549</v>
      </c>
      <c r="D227" t="s">
        <v>767</v>
      </c>
      <c r="E227" t="s">
        <v>535</v>
      </c>
      <c r="F227" t="s">
        <v>538</v>
      </c>
      <c r="G227" t="s">
        <v>545</v>
      </c>
      <c r="H227" t="s">
        <v>1042</v>
      </c>
      <c r="I227" s="3">
        <v>4601</v>
      </c>
      <c r="J227" s="4">
        <v>0.25</v>
      </c>
      <c r="K227" s="3">
        <v>3450.75</v>
      </c>
      <c r="L227" s="3">
        <v>2426.81</v>
      </c>
      <c r="M227" s="5">
        <v>1</v>
      </c>
      <c r="N227" s="3">
        <v>198</v>
      </c>
      <c r="O227" s="6">
        <v>0.42</v>
      </c>
      <c r="P227" s="3">
        <v>3450.75</v>
      </c>
      <c r="Q227" s="3">
        <v>2624.81</v>
      </c>
      <c r="R227" s="3">
        <v>2624.81</v>
      </c>
      <c r="S227" s="3">
        <v>825.94</v>
      </c>
      <c r="T227" s="4">
        <v>0.239350865753822</v>
      </c>
      <c r="U227" s="4">
        <v>-0.18064913424617801</v>
      </c>
      <c r="V227" t="s">
        <v>1054</v>
      </c>
      <c r="W227" t="s">
        <v>1056</v>
      </c>
    </row>
    <row r="228" spans="1:23" x14ac:dyDescent="0.25">
      <c r="A228" t="s">
        <v>239</v>
      </c>
      <c r="B228" s="2">
        <v>45438</v>
      </c>
      <c r="C228" t="s">
        <v>549</v>
      </c>
      <c r="D228" t="s">
        <v>768</v>
      </c>
      <c r="E228" t="s">
        <v>537</v>
      </c>
      <c r="F228" t="s">
        <v>542</v>
      </c>
      <c r="G228" t="s">
        <v>545</v>
      </c>
      <c r="H228" t="s">
        <v>1043</v>
      </c>
      <c r="I228" s="3">
        <v>5512</v>
      </c>
      <c r="J228" s="4">
        <v>0.27</v>
      </c>
      <c r="K228" s="3">
        <v>4023.76</v>
      </c>
      <c r="L228" s="3">
        <v>3852.21</v>
      </c>
      <c r="M228" s="5">
        <v>3</v>
      </c>
      <c r="N228" s="3">
        <v>186</v>
      </c>
      <c r="O228" s="6">
        <v>0.43</v>
      </c>
      <c r="P228" s="3">
        <v>12071.28</v>
      </c>
      <c r="Q228" s="3">
        <v>4038.21</v>
      </c>
      <c r="R228" s="3">
        <v>12114.630000000001</v>
      </c>
      <c r="S228" s="3">
        <v>-43.350000000000364</v>
      </c>
      <c r="T228" s="4">
        <v>-3.5911684593514801E-3</v>
      </c>
      <c r="U228" s="4">
        <v>-0.43359116845935203</v>
      </c>
      <c r="V228" t="s">
        <v>1054</v>
      </c>
      <c r="W228" t="s">
        <v>1056</v>
      </c>
    </row>
    <row r="229" spans="1:23" x14ac:dyDescent="0.25">
      <c r="A229" t="s">
        <v>240</v>
      </c>
      <c r="B229" s="2">
        <v>45439</v>
      </c>
      <c r="C229" t="s">
        <v>547</v>
      </c>
      <c r="D229" t="s">
        <v>769</v>
      </c>
      <c r="E229" t="s">
        <v>537</v>
      </c>
      <c r="F229" t="s">
        <v>543</v>
      </c>
      <c r="G229" t="s">
        <v>546</v>
      </c>
      <c r="H229" t="s">
        <v>1043</v>
      </c>
      <c r="I229" s="3">
        <v>6678</v>
      </c>
      <c r="J229" s="4">
        <v>0.09</v>
      </c>
      <c r="K229" s="3">
        <v>6076.98</v>
      </c>
      <c r="L229" s="3">
        <v>3844.42</v>
      </c>
      <c r="M229" s="5">
        <v>1</v>
      </c>
      <c r="N229" s="3">
        <v>93</v>
      </c>
      <c r="O229" s="6">
        <v>0.28999999999999998</v>
      </c>
      <c r="P229" s="3">
        <v>6076.98</v>
      </c>
      <c r="Q229" s="3">
        <v>3937.42</v>
      </c>
      <c r="R229" s="3">
        <v>3937.42</v>
      </c>
      <c r="S229" s="3">
        <v>2139.5599999999995</v>
      </c>
      <c r="T229" s="4">
        <v>0.35207619574196403</v>
      </c>
      <c r="U229" s="4">
        <v>6.2076195741963998E-2</v>
      </c>
      <c r="V229" t="s">
        <v>1058</v>
      </c>
      <c r="W229" t="s">
        <v>1059</v>
      </c>
    </row>
    <row r="230" spans="1:23" x14ac:dyDescent="0.25">
      <c r="A230" t="s">
        <v>241</v>
      </c>
      <c r="B230" s="2">
        <v>45387</v>
      </c>
      <c r="C230" t="s">
        <v>547</v>
      </c>
      <c r="D230" t="s">
        <v>770</v>
      </c>
      <c r="E230" t="s">
        <v>536</v>
      </c>
      <c r="F230" t="s">
        <v>539</v>
      </c>
      <c r="G230" t="s">
        <v>545</v>
      </c>
      <c r="H230" t="s">
        <v>1044</v>
      </c>
      <c r="I230" s="3">
        <v>3918</v>
      </c>
      <c r="J230" s="4">
        <v>0.25</v>
      </c>
      <c r="K230" s="3">
        <v>2938.5</v>
      </c>
      <c r="L230" s="3">
        <v>2188.5</v>
      </c>
      <c r="M230" s="5">
        <v>1</v>
      </c>
      <c r="N230" s="3">
        <v>84</v>
      </c>
      <c r="O230" s="6">
        <v>0.28000000000000003</v>
      </c>
      <c r="P230" s="3">
        <v>2938.5</v>
      </c>
      <c r="Q230" s="3">
        <v>2272.5</v>
      </c>
      <c r="R230" s="3">
        <v>2272.5</v>
      </c>
      <c r="S230" s="3">
        <v>666</v>
      </c>
      <c r="T230" s="4">
        <v>0.22664624808575801</v>
      </c>
      <c r="U230" s="4">
        <v>-5.3353751914241999E-2</v>
      </c>
      <c r="V230" t="s">
        <v>1054</v>
      </c>
      <c r="W230" t="s">
        <v>1056</v>
      </c>
    </row>
    <row r="231" spans="1:23" x14ac:dyDescent="0.25">
      <c r="A231" t="s">
        <v>242</v>
      </c>
      <c r="B231" s="2">
        <v>45343</v>
      </c>
      <c r="C231" t="s">
        <v>547</v>
      </c>
      <c r="D231" t="s">
        <v>771</v>
      </c>
      <c r="E231" t="s">
        <v>536</v>
      </c>
      <c r="F231" t="s">
        <v>544</v>
      </c>
      <c r="G231" t="s">
        <v>545</v>
      </c>
      <c r="H231" t="s">
        <v>1042</v>
      </c>
      <c r="I231" s="3">
        <v>820</v>
      </c>
      <c r="J231" s="4">
        <v>0.27</v>
      </c>
      <c r="K231" s="3">
        <v>598.6</v>
      </c>
      <c r="L231" s="3">
        <v>398.66</v>
      </c>
      <c r="M231" s="5">
        <v>1</v>
      </c>
      <c r="N231" s="3">
        <v>11</v>
      </c>
      <c r="O231" s="6">
        <v>0.28999999999999998</v>
      </c>
      <c r="P231" s="3">
        <v>598.6</v>
      </c>
      <c r="Q231" s="3">
        <v>409.66</v>
      </c>
      <c r="R231" s="3">
        <v>409.66</v>
      </c>
      <c r="S231" s="3">
        <v>188.94</v>
      </c>
      <c r="T231" s="4">
        <v>0.31563648513197501</v>
      </c>
      <c r="U231" s="4">
        <v>2.5636485131975001E-2</v>
      </c>
      <c r="V231" t="s">
        <v>1058</v>
      </c>
      <c r="W231" t="s">
        <v>1056</v>
      </c>
    </row>
    <row r="232" spans="1:23" x14ac:dyDescent="0.25">
      <c r="A232" t="s">
        <v>243</v>
      </c>
      <c r="B232" s="2">
        <v>45452</v>
      </c>
      <c r="C232" t="s">
        <v>547</v>
      </c>
      <c r="D232" t="s">
        <v>772</v>
      </c>
      <c r="E232" t="s">
        <v>537</v>
      </c>
      <c r="F232" t="s">
        <v>542</v>
      </c>
      <c r="G232" t="s">
        <v>546</v>
      </c>
      <c r="H232" t="s">
        <v>1044</v>
      </c>
      <c r="I232" s="3">
        <v>2332</v>
      </c>
      <c r="J232" s="4">
        <v>0.2</v>
      </c>
      <c r="K232" s="3">
        <v>1865.6</v>
      </c>
      <c r="L232" s="3">
        <v>1453.21</v>
      </c>
      <c r="M232" s="5">
        <v>1</v>
      </c>
      <c r="N232" s="3">
        <v>110</v>
      </c>
      <c r="O232" s="6">
        <v>0.42</v>
      </c>
      <c r="P232" s="3">
        <v>1865.6</v>
      </c>
      <c r="Q232" s="3">
        <v>1563.21</v>
      </c>
      <c r="R232" s="3">
        <v>1563.21</v>
      </c>
      <c r="S232" s="3">
        <v>302.38999999999987</v>
      </c>
      <c r="T232" s="4">
        <v>0.16208726415094299</v>
      </c>
      <c r="U232" s="4">
        <v>-0.257912735849057</v>
      </c>
      <c r="V232" t="s">
        <v>1054</v>
      </c>
      <c r="W232" t="s">
        <v>1056</v>
      </c>
    </row>
    <row r="233" spans="1:23" x14ac:dyDescent="0.25">
      <c r="A233" t="s">
        <v>244</v>
      </c>
      <c r="B233" s="2">
        <v>45459</v>
      </c>
      <c r="C233" t="s">
        <v>548</v>
      </c>
      <c r="D233" t="s">
        <v>754</v>
      </c>
      <c r="E233" t="s">
        <v>536</v>
      </c>
      <c r="F233" t="s">
        <v>539</v>
      </c>
      <c r="G233" t="s">
        <v>545</v>
      </c>
      <c r="H233" t="s">
        <v>1043</v>
      </c>
      <c r="I233" s="3">
        <v>1869</v>
      </c>
      <c r="J233" s="4">
        <v>0.17</v>
      </c>
      <c r="K233" s="3">
        <v>1551.27</v>
      </c>
      <c r="L233" s="3">
        <v>1318.68</v>
      </c>
      <c r="M233" s="5">
        <v>3</v>
      </c>
      <c r="N233" s="3">
        <v>173</v>
      </c>
      <c r="O233" s="6">
        <v>0.28999999999999998</v>
      </c>
      <c r="P233" s="3">
        <v>4653.8099999999995</v>
      </c>
      <c r="Q233" s="3">
        <v>1491.68</v>
      </c>
      <c r="R233" s="3">
        <v>4475.04</v>
      </c>
      <c r="S233" s="3">
        <v>178.76999999999953</v>
      </c>
      <c r="T233" s="4">
        <v>3.8413686850129199E-2</v>
      </c>
      <c r="U233" s="4">
        <v>-0.25158631314987101</v>
      </c>
      <c r="V233" t="s">
        <v>1054</v>
      </c>
      <c r="W233" t="s">
        <v>1055</v>
      </c>
    </row>
    <row r="234" spans="1:23" x14ac:dyDescent="0.25">
      <c r="A234" t="s">
        <v>245</v>
      </c>
      <c r="B234" s="2">
        <v>45419</v>
      </c>
      <c r="C234" t="s">
        <v>550</v>
      </c>
      <c r="D234" t="s">
        <v>773</v>
      </c>
      <c r="E234" t="s">
        <v>535</v>
      </c>
      <c r="F234" t="s">
        <v>538</v>
      </c>
      <c r="G234" t="s">
        <v>546</v>
      </c>
      <c r="H234" t="s">
        <v>1042</v>
      </c>
      <c r="I234" s="3">
        <v>1939</v>
      </c>
      <c r="J234" s="4">
        <v>0.17</v>
      </c>
      <c r="K234" s="3">
        <v>1609.37</v>
      </c>
      <c r="L234" s="3">
        <v>1134.3900000000001</v>
      </c>
      <c r="M234" s="5">
        <v>3</v>
      </c>
      <c r="N234" s="3">
        <v>181</v>
      </c>
      <c r="O234" s="6">
        <v>0.41</v>
      </c>
      <c r="P234" s="3">
        <v>4828.1099999999997</v>
      </c>
      <c r="Q234" s="3">
        <v>1315.39</v>
      </c>
      <c r="R234" s="3">
        <v>3946.17</v>
      </c>
      <c r="S234" s="3">
        <v>881.9399999999996</v>
      </c>
      <c r="T234" s="4">
        <v>0.182667751977482</v>
      </c>
      <c r="U234" s="4">
        <v>-0.227332248022518</v>
      </c>
      <c r="V234" t="s">
        <v>1054</v>
      </c>
      <c r="W234" t="s">
        <v>1055</v>
      </c>
    </row>
    <row r="235" spans="1:23" x14ac:dyDescent="0.25">
      <c r="A235" t="s">
        <v>246</v>
      </c>
      <c r="B235" s="2">
        <v>45330</v>
      </c>
      <c r="C235" t="s">
        <v>549</v>
      </c>
      <c r="D235" t="s">
        <v>774</v>
      </c>
      <c r="E235" t="s">
        <v>536</v>
      </c>
      <c r="F235" t="s">
        <v>544</v>
      </c>
      <c r="G235" t="s">
        <v>546</v>
      </c>
      <c r="H235" t="s">
        <v>1045</v>
      </c>
      <c r="I235" s="3">
        <v>1191</v>
      </c>
      <c r="J235" s="4">
        <v>0.26</v>
      </c>
      <c r="K235" s="3">
        <v>881.34</v>
      </c>
      <c r="L235" s="3">
        <v>781.92</v>
      </c>
      <c r="M235" s="5">
        <v>2</v>
      </c>
      <c r="N235" s="3">
        <v>176</v>
      </c>
      <c r="O235" s="6">
        <v>0.31</v>
      </c>
      <c r="P235" s="3">
        <v>1762.68</v>
      </c>
      <c r="Q235" s="3">
        <v>957.92</v>
      </c>
      <c r="R235" s="3">
        <v>1915.84</v>
      </c>
      <c r="S235" s="3">
        <v>-153.15999999999985</v>
      </c>
      <c r="T235" s="4">
        <v>-8.6890416865227901E-2</v>
      </c>
      <c r="U235" s="4">
        <v>-0.39689041686522802</v>
      </c>
      <c r="V235" t="s">
        <v>1054</v>
      </c>
      <c r="W235" t="s">
        <v>1056</v>
      </c>
    </row>
    <row r="236" spans="1:23" x14ac:dyDescent="0.25">
      <c r="A236" t="s">
        <v>247</v>
      </c>
      <c r="B236" s="2">
        <v>45373</v>
      </c>
      <c r="C236" t="s">
        <v>547</v>
      </c>
      <c r="D236" t="s">
        <v>775</v>
      </c>
      <c r="E236" t="s">
        <v>535</v>
      </c>
      <c r="F236" t="s">
        <v>538</v>
      </c>
      <c r="G236" t="s">
        <v>546</v>
      </c>
      <c r="H236" t="s">
        <v>1042</v>
      </c>
      <c r="I236" s="3">
        <v>5956</v>
      </c>
      <c r="J236" s="4">
        <v>0.06</v>
      </c>
      <c r="K236" s="3">
        <v>5598.64</v>
      </c>
      <c r="L236" s="3">
        <v>3834.16</v>
      </c>
      <c r="M236" s="5">
        <v>3</v>
      </c>
      <c r="N236" s="3">
        <v>172</v>
      </c>
      <c r="O236" s="6">
        <v>0.35</v>
      </c>
      <c r="P236" s="3">
        <v>16795.920000000002</v>
      </c>
      <c r="Q236" s="3">
        <v>4006.16</v>
      </c>
      <c r="R236" s="3">
        <v>12018.48</v>
      </c>
      <c r="S236" s="3">
        <v>4777.4400000000023</v>
      </c>
      <c r="T236" s="4">
        <v>0.28444050698026702</v>
      </c>
      <c r="U236" s="4">
        <v>-6.5559493019733003E-2</v>
      </c>
      <c r="V236" t="s">
        <v>1054</v>
      </c>
      <c r="W236" t="s">
        <v>1059</v>
      </c>
    </row>
    <row r="237" spans="1:23" x14ac:dyDescent="0.25">
      <c r="A237" t="s">
        <v>248</v>
      </c>
      <c r="B237" s="2">
        <v>45395</v>
      </c>
      <c r="C237" t="s">
        <v>547</v>
      </c>
      <c r="D237" t="s">
        <v>776</v>
      </c>
      <c r="E237" t="s">
        <v>537</v>
      </c>
      <c r="F237" t="s">
        <v>541</v>
      </c>
      <c r="G237" t="s">
        <v>546</v>
      </c>
      <c r="H237" t="s">
        <v>1042</v>
      </c>
      <c r="I237" s="3">
        <v>6518</v>
      </c>
      <c r="J237" s="4">
        <v>0.21</v>
      </c>
      <c r="K237" s="3">
        <v>5149.22</v>
      </c>
      <c r="L237" s="3">
        <v>4579.01</v>
      </c>
      <c r="M237" s="5">
        <v>2</v>
      </c>
      <c r="N237" s="3">
        <v>193</v>
      </c>
      <c r="O237" s="6">
        <v>0.36</v>
      </c>
      <c r="P237" s="3">
        <v>10298.44</v>
      </c>
      <c r="Q237" s="3">
        <v>4772.01</v>
      </c>
      <c r="R237" s="3">
        <v>9544.02</v>
      </c>
      <c r="S237" s="3">
        <v>754.42000000000007</v>
      </c>
      <c r="T237" s="4">
        <v>7.3255755240599602E-2</v>
      </c>
      <c r="U237" s="4">
        <v>-0.28674424475940002</v>
      </c>
      <c r="V237" t="s">
        <v>1054</v>
      </c>
      <c r="W237" t="s">
        <v>1056</v>
      </c>
    </row>
    <row r="238" spans="1:23" x14ac:dyDescent="0.25">
      <c r="A238" t="s">
        <v>249</v>
      </c>
      <c r="B238" s="2">
        <v>45420</v>
      </c>
      <c r="C238" t="s">
        <v>550</v>
      </c>
      <c r="D238" t="s">
        <v>777</v>
      </c>
      <c r="E238" t="s">
        <v>535</v>
      </c>
      <c r="F238" t="s">
        <v>540</v>
      </c>
      <c r="G238" t="s">
        <v>546</v>
      </c>
      <c r="H238" t="s">
        <v>1042</v>
      </c>
      <c r="I238" s="3">
        <v>3465</v>
      </c>
      <c r="J238" s="4">
        <v>0.2</v>
      </c>
      <c r="K238" s="3">
        <v>2772</v>
      </c>
      <c r="L238" s="3">
        <v>2561.35</v>
      </c>
      <c r="M238" s="5">
        <v>2</v>
      </c>
      <c r="N238" s="3">
        <v>13</v>
      </c>
      <c r="O238" s="6">
        <v>0.28999999999999998</v>
      </c>
      <c r="P238" s="3">
        <v>5544</v>
      </c>
      <c r="Q238" s="3">
        <v>2574.35</v>
      </c>
      <c r="R238" s="3">
        <v>5148.7</v>
      </c>
      <c r="S238" s="3">
        <v>395.30000000000018</v>
      </c>
      <c r="T238" s="4">
        <v>7.1302308802308798E-2</v>
      </c>
      <c r="U238" s="4">
        <v>-0.218697691197691</v>
      </c>
      <c r="V238" t="s">
        <v>1054</v>
      </c>
      <c r="W238" t="s">
        <v>1056</v>
      </c>
    </row>
    <row r="239" spans="1:23" x14ac:dyDescent="0.25">
      <c r="A239" t="s">
        <v>250</v>
      </c>
      <c r="B239" s="2">
        <v>45302</v>
      </c>
      <c r="C239" t="s">
        <v>548</v>
      </c>
      <c r="D239" t="s">
        <v>778</v>
      </c>
      <c r="E239" t="s">
        <v>536</v>
      </c>
      <c r="F239" t="s">
        <v>544</v>
      </c>
      <c r="G239" t="s">
        <v>546</v>
      </c>
      <c r="H239" t="s">
        <v>1044</v>
      </c>
      <c r="I239" s="3">
        <v>6318</v>
      </c>
      <c r="J239" s="4">
        <v>0.19</v>
      </c>
      <c r="K239" s="3">
        <v>5117.58</v>
      </c>
      <c r="L239" s="3">
        <v>3391.33</v>
      </c>
      <c r="M239" s="5">
        <v>1</v>
      </c>
      <c r="N239" s="3">
        <v>131</v>
      </c>
      <c r="O239" s="6">
        <v>0.34</v>
      </c>
      <c r="P239" s="3">
        <v>5117.58</v>
      </c>
      <c r="Q239" s="3">
        <v>3522.33</v>
      </c>
      <c r="R239" s="3">
        <v>3522.33</v>
      </c>
      <c r="S239" s="3">
        <v>1595.25</v>
      </c>
      <c r="T239" s="4">
        <v>0.31171960184305902</v>
      </c>
      <c r="U239" s="4">
        <v>-2.8280398156941E-2</v>
      </c>
      <c r="V239" t="s">
        <v>1054</v>
      </c>
      <c r="W239" t="s">
        <v>1055</v>
      </c>
    </row>
    <row r="240" spans="1:23" x14ac:dyDescent="0.25">
      <c r="A240" t="s">
        <v>251</v>
      </c>
      <c r="B240" s="2">
        <v>45469</v>
      </c>
      <c r="C240" t="s">
        <v>548</v>
      </c>
      <c r="D240" t="s">
        <v>779</v>
      </c>
      <c r="E240" t="s">
        <v>535</v>
      </c>
      <c r="F240" t="s">
        <v>540</v>
      </c>
      <c r="G240" t="s">
        <v>546</v>
      </c>
      <c r="H240" t="s">
        <v>1043</v>
      </c>
      <c r="I240" s="3">
        <v>6189</v>
      </c>
      <c r="J240" s="4">
        <v>0.21</v>
      </c>
      <c r="K240" s="3">
        <v>4889.3100000000004</v>
      </c>
      <c r="L240" s="3">
        <v>2948.81</v>
      </c>
      <c r="M240" s="5">
        <v>3</v>
      </c>
      <c r="N240" s="3">
        <v>68</v>
      </c>
      <c r="O240" s="6">
        <v>0.31</v>
      </c>
      <c r="P240" s="3">
        <v>14667.93</v>
      </c>
      <c r="Q240" s="3">
        <v>3016.81</v>
      </c>
      <c r="R240" s="3">
        <v>9050.43</v>
      </c>
      <c r="S240" s="3">
        <v>5617.5</v>
      </c>
      <c r="T240" s="4">
        <v>0.38297837527176598</v>
      </c>
      <c r="U240" s="4">
        <v>7.2978375271765997E-2</v>
      </c>
      <c r="V240" t="s">
        <v>1058</v>
      </c>
      <c r="W240" t="s">
        <v>1056</v>
      </c>
    </row>
    <row r="241" spans="1:23" x14ac:dyDescent="0.25">
      <c r="A241" t="s">
        <v>252</v>
      </c>
      <c r="B241" s="2">
        <v>45442</v>
      </c>
      <c r="C241" t="s">
        <v>547</v>
      </c>
      <c r="D241" t="s">
        <v>780</v>
      </c>
      <c r="E241" t="s">
        <v>537</v>
      </c>
      <c r="F241" t="s">
        <v>542</v>
      </c>
      <c r="G241" t="s">
        <v>546</v>
      </c>
      <c r="H241" t="s">
        <v>1045</v>
      </c>
      <c r="I241" s="3">
        <v>2771</v>
      </c>
      <c r="J241" s="4">
        <v>0.1</v>
      </c>
      <c r="K241" s="3">
        <v>2493.9</v>
      </c>
      <c r="L241" s="3">
        <v>1452.2</v>
      </c>
      <c r="M241" s="5">
        <v>3</v>
      </c>
      <c r="N241" s="3">
        <v>96</v>
      </c>
      <c r="O241" s="6">
        <v>0.34</v>
      </c>
      <c r="P241" s="3">
        <v>7481.7000000000007</v>
      </c>
      <c r="Q241" s="3">
        <v>1548.2</v>
      </c>
      <c r="R241" s="3">
        <v>4644.6000000000004</v>
      </c>
      <c r="S241" s="3">
        <v>2837.1000000000004</v>
      </c>
      <c r="T241" s="4">
        <v>0.37920526083644102</v>
      </c>
      <c r="U241" s="4">
        <v>3.9205260836440999E-2</v>
      </c>
      <c r="V241" t="s">
        <v>1058</v>
      </c>
      <c r="W241" t="s">
        <v>1055</v>
      </c>
    </row>
    <row r="242" spans="1:23" x14ac:dyDescent="0.25">
      <c r="A242" t="s">
        <v>253</v>
      </c>
      <c r="B242" s="2">
        <v>45450</v>
      </c>
      <c r="C242" t="s">
        <v>550</v>
      </c>
      <c r="D242" t="s">
        <v>781</v>
      </c>
      <c r="E242" t="s">
        <v>535</v>
      </c>
      <c r="F242" t="s">
        <v>540</v>
      </c>
      <c r="G242" t="s">
        <v>546</v>
      </c>
      <c r="H242" t="s">
        <v>1043</v>
      </c>
      <c r="I242" s="3">
        <v>432</v>
      </c>
      <c r="J242" s="4">
        <v>0.13</v>
      </c>
      <c r="K242" s="3">
        <v>375.84</v>
      </c>
      <c r="L242" s="3">
        <v>319.64999999999998</v>
      </c>
      <c r="M242" s="5">
        <v>3</v>
      </c>
      <c r="N242" s="3">
        <v>112</v>
      </c>
      <c r="O242" s="6">
        <v>0.31</v>
      </c>
      <c r="P242" s="3">
        <v>1127.52</v>
      </c>
      <c r="Q242" s="3">
        <v>431.65</v>
      </c>
      <c r="R242" s="3">
        <v>1294.9499999999998</v>
      </c>
      <c r="S242" s="3">
        <v>-167.42999999999984</v>
      </c>
      <c r="T242" s="4">
        <v>-0.14849404001702801</v>
      </c>
      <c r="U242" s="4">
        <v>-0.45849404001702798</v>
      </c>
      <c r="V242" t="s">
        <v>1054</v>
      </c>
      <c r="W242" t="s">
        <v>1055</v>
      </c>
    </row>
    <row r="243" spans="1:23" x14ac:dyDescent="0.25">
      <c r="A243" t="s">
        <v>254</v>
      </c>
      <c r="B243" s="2">
        <v>45333</v>
      </c>
      <c r="C243" t="s">
        <v>547</v>
      </c>
      <c r="D243" t="s">
        <v>782</v>
      </c>
      <c r="E243" t="s">
        <v>535</v>
      </c>
      <c r="F243" t="s">
        <v>540</v>
      </c>
      <c r="G243" t="s">
        <v>545</v>
      </c>
      <c r="H243" t="s">
        <v>1044</v>
      </c>
      <c r="I243" s="3">
        <v>5141</v>
      </c>
      <c r="J243" s="4">
        <v>0.17</v>
      </c>
      <c r="K243" s="3">
        <v>4267.03</v>
      </c>
      <c r="L243" s="3">
        <v>3846.26</v>
      </c>
      <c r="M243" s="5">
        <v>2</v>
      </c>
      <c r="N243" s="3">
        <v>91</v>
      </c>
      <c r="O243" s="6">
        <v>0.38</v>
      </c>
      <c r="P243" s="3">
        <v>8534.06</v>
      </c>
      <c r="Q243" s="3">
        <v>3937.26</v>
      </c>
      <c r="R243" s="3">
        <v>7874.52</v>
      </c>
      <c r="S243" s="3">
        <v>659.53999999999905</v>
      </c>
      <c r="T243" s="4">
        <v>7.7283262597169403E-2</v>
      </c>
      <c r="U243" s="4">
        <v>-0.302716737402831</v>
      </c>
      <c r="V243" t="s">
        <v>1054</v>
      </c>
      <c r="W243" t="s">
        <v>1055</v>
      </c>
    </row>
    <row r="244" spans="1:23" x14ac:dyDescent="0.25">
      <c r="A244" t="s">
        <v>255</v>
      </c>
      <c r="B244" s="2">
        <v>45390</v>
      </c>
      <c r="C244" t="s">
        <v>548</v>
      </c>
      <c r="D244" t="s">
        <v>783</v>
      </c>
      <c r="E244" t="s">
        <v>536</v>
      </c>
      <c r="F244" t="s">
        <v>539</v>
      </c>
      <c r="G244" t="s">
        <v>546</v>
      </c>
      <c r="H244" t="s">
        <v>1042</v>
      </c>
      <c r="I244" s="3">
        <v>6710</v>
      </c>
      <c r="J244" s="4">
        <v>0.19</v>
      </c>
      <c r="K244" s="3">
        <v>5435.1</v>
      </c>
      <c r="L244" s="3">
        <v>4112.6099999999997</v>
      </c>
      <c r="M244" s="5">
        <v>3</v>
      </c>
      <c r="N244" s="3">
        <v>156</v>
      </c>
      <c r="O244" s="6">
        <v>0.44</v>
      </c>
      <c r="P244" s="3">
        <v>16305.300000000001</v>
      </c>
      <c r="Q244" s="3">
        <v>4268.6099999999997</v>
      </c>
      <c r="R244" s="3">
        <v>12805.829999999998</v>
      </c>
      <c r="S244" s="3">
        <v>3499.470000000003</v>
      </c>
      <c r="T244" s="4">
        <v>0.214621626097036</v>
      </c>
      <c r="U244" s="4">
        <v>-0.225378373902964</v>
      </c>
      <c r="V244" t="s">
        <v>1054</v>
      </c>
      <c r="W244" t="s">
        <v>1055</v>
      </c>
    </row>
    <row r="245" spans="1:23" x14ac:dyDescent="0.25">
      <c r="A245" t="s">
        <v>256</v>
      </c>
      <c r="B245" s="2">
        <v>45298</v>
      </c>
      <c r="C245" t="s">
        <v>550</v>
      </c>
      <c r="D245" t="s">
        <v>784</v>
      </c>
      <c r="E245" t="s">
        <v>537</v>
      </c>
      <c r="F245" t="s">
        <v>541</v>
      </c>
      <c r="G245" t="s">
        <v>546</v>
      </c>
      <c r="H245" t="s">
        <v>1042</v>
      </c>
      <c r="I245" s="3">
        <v>2343</v>
      </c>
      <c r="J245" s="4">
        <v>0.09</v>
      </c>
      <c r="K245" s="3">
        <v>2132.13</v>
      </c>
      <c r="L245" s="3">
        <v>1610</v>
      </c>
      <c r="M245" s="5">
        <v>1</v>
      </c>
      <c r="N245" s="3">
        <v>14</v>
      </c>
      <c r="O245" s="6">
        <v>0.4</v>
      </c>
      <c r="P245" s="3">
        <v>2132.13</v>
      </c>
      <c r="Q245" s="3">
        <v>1624</v>
      </c>
      <c r="R245" s="3">
        <v>1624</v>
      </c>
      <c r="S245" s="3">
        <v>508.13000000000011</v>
      </c>
      <c r="T245" s="4">
        <v>0.23832036508092799</v>
      </c>
      <c r="U245" s="4">
        <v>-0.161679634919072</v>
      </c>
      <c r="V245" t="s">
        <v>1054</v>
      </c>
      <c r="W245" t="s">
        <v>1059</v>
      </c>
    </row>
    <row r="246" spans="1:23" x14ac:dyDescent="0.25">
      <c r="A246" t="s">
        <v>257</v>
      </c>
      <c r="B246" s="2">
        <v>45435</v>
      </c>
      <c r="C246" t="s">
        <v>547</v>
      </c>
      <c r="D246" t="s">
        <v>785</v>
      </c>
      <c r="E246" t="s">
        <v>537</v>
      </c>
      <c r="F246" t="s">
        <v>543</v>
      </c>
      <c r="G246" t="s">
        <v>545</v>
      </c>
      <c r="H246" t="s">
        <v>1043</v>
      </c>
      <c r="I246" s="3">
        <v>7521</v>
      </c>
      <c r="J246" s="4">
        <v>0.08</v>
      </c>
      <c r="K246" s="3">
        <v>6919.32</v>
      </c>
      <c r="L246" s="3">
        <v>5087.1000000000004</v>
      </c>
      <c r="M246" s="5">
        <v>3</v>
      </c>
      <c r="N246" s="3">
        <v>79</v>
      </c>
      <c r="O246" s="6">
        <v>0.33</v>
      </c>
      <c r="P246" s="3">
        <v>20757.96</v>
      </c>
      <c r="Q246" s="3">
        <v>5166.1000000000004</v>
      </c>
      <c r="R246" s="3">
        <v>15498.300000000001</v>
      </c>
      <c r="S246" s="3">
        <v>5259.659999999998</v>
      </c>
      <c r="T246" s="4">
        <v>0.25338038998051798</v>
      </c>
      <c r="U246" s="4">
        <v>-7.6619610019482004E-2</v>
      </c>
      <c r="V246" t="s">
        <v>1054</v>
      </c>
      <c r="W246" t="s">
        <v>1059</v>
      </c>
    </row>
    <row r="247" spans="1:23" x14ac:dyDescent="0.25">
      <c r="A247" t="s">
        <v>258</v>
      </c>
      <c r="B247" s="2">
        <v>45381</v>
      </c>
      <c r="C247" t="s">
        <v>547</v>
      </c>
      <c r="D247" t="s">
        <v>786</v>
      </c>
      <c r="E247" t="s">
        <v>537</v>
      </c>
      <c r="F247" t="s">
        <v>541</v>
      </c>
      <c r="G247" t="s">
        <v>546</v>
      </c>
      <c r="H247" t="s">
        <v>1044</v>
      </c>
      <c r="I247" s="3">
        <v>4544</v>
      </c>
      <c r="J247" s="4">
        <v>0.23</v>
      </c>
      <c r="K247" s="3">
        <v>3498.88</v>
      </c>
      <c r="L247" s="3">
        <v>3297.22</v>
      </c>
      <c r="M247" s="5">
        <v>1</v>
      </c>
      <c r="N247" s="3">
        <v>188</v>
      </c>
      <c r="O247" s="6">
        <v>0.45</v>
      </c>
      <c r="P247" s="3">
        <v>3498.88</v>
      </c>
      <c r="Q247" s="3">
        <v>3485.22</v>
      </c>
      <c r="R247" s="3">
        <v>3485.22</v>
      </c>
      <c r="S247" s="3">
        <v>13.660000000000309</v>
      </c>
      <c r="T247" s="4">
        <v>3.9041064569234501E-3</v>
      </c>
      <c r="U247" s="4">
        <v>-0.44609589354307699</v>
      </c>
      <c r="V247" t="s">
        <v>1054</v>
      </c>
      <c r="W247" t="s">
        <v>1056</v>
      </c>
    </row>
    <row r="248" spans="1:23" x14ac:dyDescent="0.25">
      <c r="A248" t="s">
        <v>259</v>
      </c>
      <c r="B248" s="2">
        <v>45403</v>
      </c>
      <c r="C248" t="s">
        <v>548</v>
      </c>
      <c r="D248" t="s">
        <v>787</v>
      </c>
      <c r="E248" t="s">
        <v>536</v>
      </c>
      <c r="F248" t="s">
        <v>539</v>
      </c>
      <c r="G248" t="s">
        <v>546</v>
      </c>
      <c r="H248" t="s">
        <v>1044</v>
      </c>
      <c r="I248" s="3">
        <v>414</v>
      </c>
      <c r="J248" s="4">
        <v>0.19</v>
      </c>
      <c r="K248" s="3">
        <v>335.34</v>
      </c>
      <c r="L248" s="3">
        <v>310.02</v>
      </c>
      <c r="M248" s="5">
        <v>1</v>
      </c>
      <c r="N248" s="3">
        <v>81</v>
      </c>
      <c r="O248" s="6">
        <v>0.35</v>
      </c>
      <c r="P248" s="3">
        <v>335.34</v>
      </c>
      <c r="Q248" s="3">
        <v>391.02</v>
      </c>
      <c r="R248" s="3">
        <v>391.02</v>
      </c>
      <c r="S248" s="3">
        <v>-55.680000000000007</v>
      </c>
      <c r="T248" s="4">
        <v>-0.16604043657183801</v>
      </c>
      <c r="U248" s="4">
        <v>-0.51604043657183796</v>
      </c>
      <c r="V248" t="s">
        <v>1057</v>
      </c>
      <c r="W248" t="s">
        <v>1055</v>
      </c>
    </row>
    <row r="249" spans="1:23" x14ac:dyDescent="0.25">
      <c r="A249" t="s">
        <v>260</v>
      </c>
      <c r="B249" s="2">
        <v>45351</v>
      </c>
      <c r="C249" t="s">
        <v>549</v>
      </c>
      <c r="D249" t="s">
        <v>788</v>
      </c>
      <c r="E249" t="s">
        <v>535</v>
      </c>
      <c r="F249" t="s">
        <v>538</v>
      </c>
      <c r="G249" t="s">
        <v>546</v>
      </c>
      <c r="H249" t="s">
        <v>1043</v>
      </c>
      <c r="I249" s="3">
        <v>5492</v>
      </c>
      <c r="J249" s="4">
        <v>0.18</v>
      </c>
      <c r="K249" s="3">
        <v>4503.4399999999996</v>
      </c>
      <c r="L249" s="3">
        <v>3312.39</v>
      </c>
      <c r="M249" s="5">
        <v>3</v>
      </c>
      <c r="N249" s="3">
        <v>198</v>
      </c>
      <c r="O249" s="6">
        <v>0.4</v>
      </c>
      <c r="P249" s="3">
        <v>13510.32</v>
      </c>
      <c r="Q249" s="3">
        <v>3510.39</v>
      </c>
      <c r="R249" s="3">
        <v>10531.17</v>
      </c>
      <c r="S249" s="3">
        <v>2979.1499999999996</v>
      </c>
      <c r="T249" s="4">
        <v>0.22050921073668101</v>
      </c>
      <c r="U249" s="4">
        <v>-0.17949078926331899</v>
      </c>
      <c r="V249" t="s">
        <v>1054</v>
      </c>
      <c r="W249" t="s">
        <v>1055</v>
      </c>
    </row>
    <row r="250" spans="1:23" x14ac:dyDescent="0.25">
      <c r="A250" t="s">
        <v>261</v>
      </c>
      <c r="B250" s="2">
        <v>45404</v>
      </c>
      <c r="C250" t="s">
        <v>550</v>
      </c>
      <c r="D250" t="s">
        <v>789</v>
      </c>
      <c r="E250" t="s">
        <v>537</v>
      </c>
      <c r="F250" t="s">
        <v>542</v>
      </c>
      <c r="G250" t="s">
        <v>545</v>
      </c>
      <c r="H250" t="s">
        <v>1043</v>
      </c>
      <c r="I250" s="3">
        <v>3003</v>
      </c>
      <c r="J250" s="4">
        <v>0.09</v>
      </c>
      <c r="K250" s="3">
        <v>2732.73</v>
      </c>
      <c r="L250" s="3">
        <v>1621.08</v>
      </c>
      <c r="M250" s="5">
        <v>3</v>
      </c>
      <c r="N250" s="3">
        <v>178</v>
      </c>
      <c r="O250" s="6">
        <v>0.32</v>
      </c>
      <c r="P250" s="3">
        <v>8198.19</v>
      </c>
      <c r="Q250" s="3">
        <v>1799.08</v>
      </c>
      <c r="R250" s="3">
        <v>5397.24</v>
      </c>
      <c r="S250" s="3">
        <v>2800.9500000000007</v>
      </c>
      <c r="T250" s="4">
        <v>0.34165468231402302</v>
      </c>
      <c r="U250" s="4">
        <v>2.1654682314023E-2</v>
      </c>
      <c r="V250" t="s">
        <v>1058</v>
      </c>
      <c r="W250" t="s">
        <v>1059</v>
      </c>
    </row>
    <row r="251" spans="1:23" x14ac:dyDescent="0.25">
      <c r="A251" t="s">
        <v>262</v>
      </c>
      <c r="B251" s="2">
        <v>45293</v>
      </c>
      <c r="C251" t="s">
        <v>548</v>
      </c>
      <c r="D251" t="s">
        <v>699</v>
      </c>
      <c r="E251" t="s">
        <v>537</v>
      </c>
      <c r="F251" t="s">
        <v>541</v>
      </c>
      <c r="G251" t="s">
        <v>545</v>
      </c>
      <c r="H251" t="s">
        <v>1042</v>
      </c>
      <c r="I251" s="3">
        <v>2891</v>
      </c>
      <c r="J251" s="4">
        <v>0.3</v>
      </c>
      <c r="K251" s="3">
        <v>2023.7</v>
      </c>
      <c r="L251" s="3">
        <v>1556.47</v>
      </c>
      <c r="M251" s="5">
        <v>3</v>
      </c>
      <c r="N251" s="3">
        <v>144</v>
      </c>
      <c r="O251" s="6">
        <v>0.41</v>
      </c>
      <c r="P251" s="3">
        <v>6071.1</v>
      </c>
      <c r="Q251" s="3">
        <v>1700.47</v>
      </c>
      <c r="R251" s="3">
        <v>5101.41</v>
      </c>
      <c r="S251" s="3">
        <v>969.69000000000051</v>
      </c>
      <c r="T251" s="4">
        <v>0.15972229085338699</v>
      </c>
      <c r="U251" s="4">
        <v>-0.25027770914661301</v>
      </c>
      <c r="V251" t="s">
        <v>1054</v>
      </c>
      <c r="W251" t="s">
        <v>1056</v>
      </c>
    </row>
    <row r="252" spans="1:23" x14ac:dyDescent="0.25">
      <c r="A252" t="s">
        <v>263</v>
      </c>
      <c r="B252" s="2">
        <v>45420</v>
      </c>
      <c r="C252" t="s">
        <v>548</v>
      </c>
      <c r="D252" t="s">
        <v>790</v>
      </c>
      <c r="E252" t="s">
        <v>535</v>
      </c>
      <c r="F252" t="s">
        <v>540</v>
      </c>
      <c r="G252" t="s">
        <v>546</v>
      </c>
      <c r="H252" t="s">
        <v>1042</v>
      </c>
      <c r="I252" s="3">
        <v>4793</v>
      </c>
      <c r="J252" s="4">
        <v>0.28000000000000003</v>
      </c>
      <c r="K252" s="3">
        <v>3450.96</v>
      </c>
      <c r="L252" s="3">
        <v>3103.77</v>
      </c>
      <c r="M252" s="5">
        <v>1</v>
      </c>
      <c r="N252" s="3">
        <v>136</v>
      </c>
      <c r="O252" s="6">
        <v>0.42</v>
      </c>
      <c r="P252" s="3">
        <v>3450.96</v>
      </c>
      <c r="Q252" s="3">
        <v>3239.77</v>
      </c>
      <c r="R252" s="3">
        <v>3239.77</v>
      </c>
      <c r="S252" s="3">
        <v>211.19000000000005</v>
      </c>
      <c r="T252" s="4">
        <v>6.1197463894104798E-2</v>
      </c>
      <c r="U252" s="4">
        <v>-0.35880253610589502</v>
      </c>
      <c r="V252" t="s">
        <v>1054</v>
      </c>
      <c r="W252" t="s">
        <v>1056</v>
      </c>
    </row>
    <row r="253" spans="1:23" x14ac:dyDescent="0.25">
      <c r="A253" t="s">
        <v>264</v>
      </c>
      <c r="B253" s="2">
        <v>45339</v>
      </c>
      <c r="C253" t="s">
        <v>548</v>
      </c>
      <c r="D253" t="s">
        <v>791</v>
      </c>
      <c r="E253" t="s">
        <v>536</v>
      </c>
      <c r="F253" t="s">
        <v>544</v>
      </c>
      <c r="G253" t="s">
        <v>546</v>
      </c>
      <c r="H253" t="s">
        <v>1043</v>
      </c>
      <c r="I253" s="3">
        <v>7601</v>
      </c>
      <c r="J253" s="4">
        <v>0.26</v>
      </c>
      <c r="K253" s="3">
        <v>5624.74</v>
      </c>
      <c r="L253" s="3">
        <v>3476.31</v>
      </c>
      <c r="M253" s="5">
        <v>3</v>
      </c>
      <c r="N253" s="3">
        <v>84</v>
      </c>
      <c r="O253" s="6">
        <v>0.37</v>
      </c>
      <c r="P253" s="3">
        <v>16874.22</v>
      </c>
      <c r="Q253" s="3">
        <v>3560.31</v>
      </c>
      <c r="R253" s="3">
        <v>10680.93</v>
      </c>
      <c r="S253" s="3">
        <v>6193.2900000000009</v>
      </c>
      <c r="T253" s="4">
        <v>0.36702674256943402</v>
      </c>
      <c r="U253" s="4">
        <v>-2.97325743056598E-3</v>
      </c>
      <c r="V253" t="s">
        <v>1054</v>
      </c>
      <c r="W253" t="s">
        <v>1056</v>
      </c>
    </row>
    <row r="254" spans="1:23" x14ac:dyDescent="0.25">
      <c r="A254" t="s">
        <v>265</v>
      </c>
      <c r="B254" s="2">
        <v>45431</v>
      </c>
      <c r="C254" t="s">
        <v>549</v>
      </c>
      <c r="D254" t="s">
        <v>792</v>
      </c>
      <c r="E254" t="s">
        <v>535</v>
      </c>
      <c r="F254" t="s">
        <v>540</v>
      </c>
      <c r="G254" t="s">
        <v>546</v>
      </c>
      <c r="H254" t="s">
        <v>1045</v>
      </c>
      <c r="I254" s="3">
        <v>2180</v>
      </c>
      <c r="J254" s="4">
        <v>0.21</v>
      </c>
      <c r="K254" s="3">
        <v>1722.2</v>
      </c>
      <c r="L254" s="3">
        <v>1176.92</v>
      </c>
      <c r="M254" s="5">
        <v>1</v>
      </c>
      <c r="N254" s="3">
        <v>177</v>
      </c>
      <c r="O254" s="6">
        <v>0.37</v>
      </c>
      <c r="P254" s="3">
        <v>1722.2</v>
      </c>
      <c r="Q254" s="3">
        <v>1353.92</v>
      </c>
      <c r="R254" s="3">
        <v>1353.92</v>
      </c>
      <c r="S254" s="3">
        <v>368.28</v>
      </c>
      <c r="T254" s="4">
        <v>0.21384275926141</v>
      </c>
      <c r="U254" s="4">
        <v>-0.15615724073859</v>
      </c>
      <c r="V254" t="s">
        <v>1054</v>
      </c>
      <c r="W254" t="s">
        <v>1056</v>
      </c>
    </row>
    <row r="255" spans="1:23" x14ac:dyDescent="0.25">
      <c r="A255" t="s">
        <v>266</v>
      </c>
      <c r="B255" s="2">
        <v>45328</v>
      </c>
      <c r="C255" t="s">
        <v>550</v>
      </c>
      <c r="D255" t="s">
        <v>793</v>
      </c>
      <c r="E255" t="s">
        <v>537</v>
      </c>
      <c r="F255" t="s">
        <v>543</v>
      </c>
      <c r="G255" t="s">
        <v>545</v>
      </c>
      <c r="H255" t="s">
        <v>1042</v>
      </c>
      <c r="I255" s="3">
        <v>2208</v>
      </c>
      <c r="J255" s="4">
        <v>0.11</v>
      </c>
      <c r="K255" s="3">
        <v>1965.12</v>
      </c>
      <c r="L255" s="3">
        <v>1565.52</v>
      </c>
      <c r="M255" s="5">
        <v>3</v>
      </c>
      <c r="N255" s="3">
        <v>145</v>
      </c>
      <c r="O255" s="6">
        <v>0.44</v>
      </c>
      <c r="P255" s="3">
        <v>5895.36</v>
      </c>
      <c r="Q255" s="3">
        <v>1710.52</v>
      </c>
      <c r="R255" s="3">
        <v>5131.5599999999995</v>
      </c>
      <c r="S255" s="3">
        <v>763.80000000000018</v>
      </c>
      <c r="T255" s="4">
        <v>0.12955951799381199</v>
      </c>
      <c r="U255" s="4">
        <v>-0.31044048200618801</v>
      </c>
      <c r="V255" t="s">
        <v>1054</v>
      </c>
      <c r="W255" t="s">
        <v>1055</v>
      </c>
    </row>
    <row r="256" spans="1:23" x14ac:dyDescent="0.25">
      <c r="A256" t="s">
        <v>267</v>
      </c>
      <c r="B256" s="2">
        <v>45451</v>
      </c>
      <c r="C256" t="s">
        <v>550</v>
      </c>
      <c r="D256" t="s">
        <v>794</v>
      </c>
      <c r="E256" t="s">
        <v>536</v>
      </c>
      <c r="F256" t="s">
        <v>539</v>
      </c>
      <c r="G256" t="s">
        <v>546</v>
      </c>
      <c r="H256" t="s">
        <v>1045</v>
      </c>
      <c r="I256" s="3">
        <v>3928</v>
      </c>
      <c r="J256" s="4">
        <v>0.12</v>
      </c>
      <c r="K256" s="3">
        <v>3456.64</v>
      </c>
      <c r="L256" s="3">
        <v>2522.34</v>
      </c>
      <c r="M256" s="5">
        <v>1</v>
      </c>
      <c r="N256" s="3">
        <v>190</v>
      </c>
      <c r="O256" s="6">
        <v>0.38</v>
      </c>
      <c r="P256" s="3">
        <v>3456.64</v>
      </c>
      <c r="Q256" s="3">
        <v>2712.34</v>
      </c>
      <c r="R256" s="3">
        <v>2712.34</v>
      </c>
      <c r="S256" s="3">
        <v>744.29999999999973</v>
      </c>
      <c r="T256" s="4">
        <v>0.215324708387336</v>
      </c>
      <c r="U256" s="4">
        <v>-0.164675291612664</v>
      </c>
      <c r="V256" t="s">
        <v>1054</v>
      </c>
      <c r="W256" t="s">
        <v>1055</v>
      </c>
    </row>
    <row r="257" spans="1:23" x14ac:dyDescent="0.25">
      <c r="A257" t="s">
        <v>268</v>
      </c>
      <c r="B257" s="2">
        <v>45300</v>
      </c>
      <c r="C257" t="s">
        <v>547</v>
      </c>
      <c r="D257" t="s">
        <v>795</v>
      </c>
      <c r="E257" t="s">
        <v>536</v>
      </c>
      <c r="F257" t="s">
        <v>539</v>
      </c>
      <c r="G257" t="s">
        <v>546</v>
      </c>
      <c r="H257" t="s">
        <v>1045</v>
      </c>
      <c r="I257" s="3">
        <v>232</v>
      </c>
      <c r="J257" s="4">
        <v>0.2</v>
      </c>
      <c r="K257" s="3">
        <v>185.6</v>
      </c>
      <c r="L257" s="3">
        <v>135.66999999999999</v>
      </c>
      <c r="M257" s="5">
        <v>2</v>
      </c>
      <c r="N257" s="3">
        <v>19</v>
      </c>
      <c r="O257" s="6">
        <v>0.28999999999999998</v>
      </c>
      <c r="P257" s="3">
        <v>371.2</v>
      </c>
      <c r="Q257" s="3">
        <v>154.66999999999999</v>
      </c>
      <c r="R257" s="3">
        <v>309.33999999999997</v>
      </c>
      <c r="S257" s="3">
        <v>61.860000000000014</v>
      </c>
      <c r="T257" s="4">
        <v>0.16664870689655201</v>
      </c>
      <c r="U257" s="4">
        <v>-0.123351293103448</v>
      </c>
      <c r="V257" t="s">
        <v>1054</v>
      </c>
      <c r="W257" t="s">
        <v>1056</v>
      </c>
    </row>
    <row r="258" spans="1:23" x14ac:dyDescent="0.25">
      <c r="A258" t="s">
        <v>269</v>
      </c>
      <c r="B258" s="2">
        <v>45390</v>
      </c>
      <c r="C258" t="s">
        <v>550</v>
      </c>
      <c r="D258" t="s">
        <v>796</v>
      </c>
      <c r="E258" t="s">
        <v>537</v>
      </c>
      <c r="F258" t="s">
        <v>543</v>
      </c>
      <c r="G258" t="s">
        <v>545</v>
      </c>
      <c r="H258" t="s">
        <v>1042</v>
      </c>
      <c r="I258" s="3">
        <v>102</v>
      </c>
      <c r="J258" s="4">
        <v>0.28999999999999998</v>
      </c>
      <c r="K258" s="3">
        <v>72.42</v>
      </c>
      <c r="L258" s="3">
        <v>62.81</v>
      </c>
      <c r="M258" s="5">
        <v>1</v>
      </c>
      <c r="N258" s="3">
        <v>13</v>
      </c>
      <c r="O258" s="6">
        <v>0.44</v>
      </c>
      <c r="P258" s="3">
        <v>72.42</v>
      </c>
      <c r="Q258" s="3">
        <v>75.81</v>
      </c>
      <c r="R258" s="3">
        <v>75.81</v>
      </c>
      <c r="S258" s="3">
        <v>-3.3900000000000006</v>
      </c>
      <c r="T258" s="4">
        <v>-4.6810273405136701E-2</v>
      </c>
      <c r="U258" s="4">
        <v>-0.486810273405137</v>
      </c>
      <c r="V258" t="s">
        <v>1054</v>
      </c>
      <c r="W258" t="s">
        <v>1056</v>
      </c>
    </row>
    <row r="259" spans="1:23" x14ac:dyDescent="0.25">
      <c r="A259" t="s">
        <v>270</v>
      </c>
      <c r="B259" s="2">
        <v>45438</v>
      </c>
      <c r="C259" t="s">
        <v>548</v>
      </c>
      <c r="D259" t="s">
        <v>797</v>
      </c>
      <c r="E259" t="s">
        <v>537</v>
      </c>
      <c r="F259" t="s">
        <v>541</v>
      </c>
      <c r="G259" t="s">
        <v>546</v>
      </c>
      <c r="H259" t="s">
        <v>1043</v>
      </c>
      <c r="I259" s="3">
        <v>7977</v>
      </c>
      <c r="J259" s="4">
        <v>0.24</v>
      </c>
      <c r="K259" s="3">
        <v>6062.52</v>
      </c>
      <c r="L259" s="3">
        <v>3719.67</v>
      </c>
      <c r="M259" s="5">
        <v>3</v>
      </c>
      <c r="N259" s="3">
        <v>58</v>
      </c>
      <c r="O259" s="6">
        <v>0.3</v>
      </c>
      <c r="P259" s="3">
        <v>18187.560000000001</v>
      </c>
      <c r="Q259" s="3">
        <v>3777.67</v>
      </c>
      <c r="R259" s="3">
        <v>11333.01</v>
      </c>
      <c r="S259" s="3">
        <v>6854.5500000000011</v>
      </c>
      <c r="T259" s="4">
        <v>0.37688123090727998</v>
      </c>
      <c r="U259" s="4">
        <v>7.6881230907279996E-2</v>
      </c>
      <c r="V259" t="s">
        <v>1058</v>
      </c>
      <c r="W259" t="s">
        <v>1056</v>
      </c>
    </row>
    <row r="260" spans="1:23" x14ac:dyDescent="0.25">
      <c r="A260" t="s">
        <v>271</v>
      </c>
      <c r="B260" s="2">
        <v>45339</v>
      </c>
      <c r="C260" t="s">
        <v>550</v>
      </c>
      <c r="D260" t="s">
        <v>798</v>
      </c>
      <c r="E260" t="s">
        <v>537</v>
      </c>
      <c r="F260" t="s">
        <v>542</v>
      </c>
      <c r="G260" t="s">
        <v>545</v>
      </c>
      <c r="H260" t="s">
        <v>1043</v>
      </c>
      <c r="I260" s="3">
        <v>2391</v>
      </c>
      <c r="J260" s="4">
        <v>0.32</v>
      </c>
      <c r="K260" s="3">
        <v>1625.88</v>
      </c>
      <c r="L260" s="3">
        <v>1494.33</v>
      </c>
      <c r="M260" s="5">
        <v>1</v>
      </c>
      <c r="N260" s="3">
        <v>17</v>
      </c>
      <c r="O260" s="6">
        <v>0.34</v>
      </c>
      <c r="P260" s="3">
        <v>1625.88</v>
      </c>
      <c r="Q260" s="3">
        <v>1511.33</v>
      </c>
      <c r="R260" s="3">
        <v>1511.33</v>
      </c>
      <c r="S260" s="3">
        <v>114.55000000000018</v>
      </c>
      <c r="T260" s="4">
        <v>7.0454154058110202E-2</v>
      </c>
      <c r="U260" s="4">
        <v>-0.26954584594189002</v>
      </c>
      <c r="V260" t="s">
        <v>1054</v>
      </c>
      <c r="W260" t="s">
        <v>1056</v>
      </c>
    </row>
    <row r="261" spans="1:23" x14ac:dyDescent="0.25">
      <c r="A261" t="s">
        <v>272</v>
      </c>
      <c r="B261" s="2">
        <v>45422</v>
      </c>
      <c r="C261" t="s">
        <v>548</v>
      </c>
      <c r="D261" t="s">
        <v>799</v>
      </c>
      <c r="E261" t="s">
        <v>535</v>
      </c>
      <c r="F261" t="s">
        <v>538</v>
      </c>
      <c r="G261" t="s">
        <v>545</v>
      </c>
      <c r="H261" t="s">
        <v>1044</v>
      </c>
      <c r="I261" s="3">
        <v>7876</v>
      </c>
      <c r="J261" s="4">
        <v>0.22</v>
      </c>
      <c r="K261" s="3">
        <v>6143.28</v>
      </c>
      <c r="L261" s="3">
        <v>5591.68</v>
      </c>
      <c r="M261" s="5">
        <v>2</v>
      </c>
      <c r="N261" s="3">
        <v>109</v>
      </c>
      <c r="O261" s="6">
        <v>0.43</v>
      </c>
      <c r="P261" s="3">
        <v>12286.56</v>
      </c>
      <c r="Q261" s="3">
        <v>5700.68</v>
      </c>
      <c r="R261" s="3">
        <v>11401.36</v>
      </c>
      <c r="S261" s="3">
        <v>885.19999999999891</v>
      </c>
      <c r="T261" s="4">
        <v>7.2046203331119399E-2</v>
      </c>
      <c r="U261" s="4">
        <v>-0.357953796668881</v>
      </c>
      <c r="V261" t="s">
        <v>1054</v>
      </c>
      <c r="W261" t="s">
        <v>1056</v>
      </c>
    </row>
    <row r="262" spans="1:23" x14ac:dyDescent="0.25">
      <c r="A262" t="s">
        <v>273</v>
      </c>
      <c r="B262" s="2">
        <v>45439</v>
      </c>
      <c r="C262" t="s">
        <v>550</v>
      </c>
      <c r="D262" t="s">
        <v>800</v>
      </c>
      <c r="E262" t="s">
        <v>536</v>
      </c>
      <c r="F262" t="s">
        <v>539</v>
      </c>
      <c r="G262" t="s">
        <v>546</v>
      </c>
      <c r="H262" t="s">
        <v>1042</v>
      </c>
      <c r="I262" s="3">
        <v>6884</v>
      </c>
      <c r="J262" s="4">
        <v>0.08</v>
      </c>
      <c r="K262" s="3">
        <v>6333.28</v>
      </c>
      <c r="L262" s="3">
        <v>4516.63</v>
      </c>
      <c r="M262" s="5">
        <v>1</v>
      </c>
      <c r="N262" s="3">
        <v>166</v>
      </c>
      <c r="O262" s="6">
        <v>0.44</v>
      </c>
      <c r="P262" s="3">
        <v>6333.28</v>
      </c>
      <c r="Q262" s="3">
        <v>4682.63</v>
      </c>
      <c r="R262" s="3">
        <v>4682.63</v>
      </c>
      <c r="S262" s="3">
        <v>1650.6499999999996</v>
      </c>
      <c r="T262" s="4">
        <v>0.26063114215698702</v>
      </c>
      <c r="U262" s="4">
        <v>-0.17936885784301301</v>
      </c>
      <c r="V262" t="s">
        <v>1054</v>
      </c>
      <c r="W262" t="s">
        <v>1059</v>
      </c>
    </row>
    <row r="263" spans="1:23" x14ac:dyDescent="0.25">
      <c r="A263" t="s">
        <v>274</v>
      </c>
      <c r="B263" s="2">
        <v>45443</v>
      </c>
      <c r="C263" t="s">
        <v>548</v>
      </c>
      <c r="D263" t="s">
        <v>801</v>
      </c>
      <c r="E263" t="s">
        <v>536</v>
      </c>
      <c r="F263" t="s">
        <v>544</v>
      </c>
      <c r="G263" t="s">
        <v>546</v>
      </c>
      <c r="H263" t="s">
        <v>1045</v>
      </c>
      <c r="I263" s="3">
        <v>284</v>
      </c>
      <c r="J263" s="4">
        <v>0.25</v>
      </c>
      <c r="K263" s="3">
        <v>213</v>
      </c>
      <c r="L263" s="3">
        <v>210.11</v>
      </c>
      <c r="M263" s="5">
        <v>3</v>
      </c>
      <c r="N263" s="3">
        <v>117</v>
      </c>
      <c r="O263" s="6">
        <v>0.44</v>
      </c>
      <c r="P263" s="3">
        <v>639</v>
      </c>
      <c r="Q263" s="3">
        <v>327.11</v>
      </c>
      <c r="R263" s="3">
        <v>981.33</v>
      </c>
      <c r="S263" s="3">
        <v>-342.33000000000004</v>
      </c>
      <c r="T263" s="4">
        <v>-0.53572769953051602</v>
      </c>
      <c r="U263" s="4">
        <v>-0.97572769953051597</v>
      </c>
      <c r="V263" t="s">
        <v>1057</v>
      </c>
      <c r="W263" t="s">
        <v>1056</v>
      </c>
    </row>
    <row r="264" spans="1:23" x14ac:dyDescent="0.25">
      <c r="A264" t="s">
        <v>275</v>
      </c>
      <c r="B264" s="2">
        <v>45345</v>
      </c>
      <c r="C264" t="s">
        <v>547</v>
      </c>
      <c r="D264" t="s">
        <v>802</v>
      </c>
      <c r="E264" t="s">
        <v>535</v>
      </c>
      <c r="F264" t="s">
        <v>538</v>
      </c>
      <c r="G264" t="s">
        <v>546</v>
      </c>
      <c r="H264" t="s">
        <v>1044</v>
      </c>
      <c r="I264" s="3">
        <v>5892</v>
      </c>
      <c r="J264" s="4">
        <v>0.24</v>
      </c>
      <c r="K264" s="3">
        <v>4477.92</v>
      </c>
      <c r="L264" s="3">
        <v>2736.57</v>
      </c>
      <c r="M264" s="5">
        <v>2</v>
      </c>
      <c r="N264" s="3">
        <v>110</v>
      </c>
      <c r="O264" s="6">
        <v>0.44</v>
      </c>
      <c r="P264" s="3">
        <v>8955.84</v>
      </c>
      <c r="Q264" s="3">
        <v>2846.57</v>
      </c>
      <c r="R264" s="3">
        <v>5693.14</v>
      </c>
      <c r="S264" s="3">
        <v>3262.7</v>
      </c>
      <c r="T264" s="4">
        <v>0.364309768821238</v>
      </c>
      <c r="U264" s="4">
        <v>-7.5690231178762002E-2</v>
      </c>
      <c r="V264" t="s">
        <v>1054</v>
      </c>
      <c r="W264" t="s">
        <v>1056</v>
      </c>
    </row>
    <row r="265" spans="1:23" x14ac:dyDescent="0.25">
      <c r="A265" t="s">
        <v>276</v>
      </c>
      <c r="B265" s="2">
        <v>45411</v>
      </c>
      <c r="C265" t="s">
        <v>548</v>
      </c>
      <c r="D265" t="s">
        <v>803</v>
      </c>
      <c r="E265" t="s">
        <v>535</v>
      </c>
      <c r="F265" t="s">
        <v>540</v>
      </c>
      <c r="G265" t="s">
        <v>546</v>
      </c>
      <c r="H265" t="s">
        <v>1042</v>
      </c>
      <c r="I265" s="3">
        <v>6143</v>
      </c>
      <c r="J265" s="4">
        <v>0.28000000000000003</v>
      </c>
      <c r="K265" s="3">
        <v>4422.96</v>
      </c>
      <c r="L265" s="3">
        <v>2769.66</v>
      </c>
      <c r="M265" s="5">
        <v>2</v>
      </c>
      <c r="N265" s="3">
        <v>22</v>
      </c>
      <c r="O265" s="6">
        <v>0.37</v>
      </c>
      <c r="P265" s="3">
        <v>8845.92</v>
      </c>
      <c r="Q265" s="3">
        <v>2791.66</v>
      </c>
      <c r="R265" s="3">
        <v>5583.32</v>
      </c>
      <c r="S265" s="3">
        <v>3262.6000000000004</v>
      </c>
      <c r="T265" s="4">
        <v>0.36882540199323499</v>
      </c>
      <c r="U265" s="4">
        <v>-1.174598006765E-3</v>
      </c>
      <c r="V265" t="s">
        <v>1054</v>
      </c>
      <c r="W265" t="s">
        <v>1056</v>
      </c>
    </row>
    <row r="266" spans="1:23" x14ac:dyDescent="0.25">
      <c r="A266" t="s">
        <v>277</v>
      </c>
      <c r="B266" s="2">
        <v>45452</v>
      </c>
      <c r="C266" t="s">
        <v>549</v>
      </c>
      <c r="D266" t="s">
        <v>804</v>
      </c>
      <c r="E266" t="s">
        <v>536</v>
      </c>
      <c r="F266" t="s">
        <v>544</v>
      </c>
      <c r="G266" t="s">
        <v>546</v>
      </c>
      <c r="H266" t="s">
        <v>1043</v>
      </c>
      <c r="I266" s="3">
        <v>5628</v>
      </c>
      <c r="J266" s="4">
        <v>0.27</v>
      </c>
      <c r="K266" s="3">
        <v>4108.4399999999996</v>
      </c>
      <c r="L266" s="3">
        <v>3626.2</v>
      </c>
      <c r="M266" s="5">
        <v>1</v>
      </c>
      <c r="N266" s="3">
        <v>109</v>
      </c>
      <c r="O266" s="6">
        <v>0.41</v>
      </c>
      <c r="P266" s="3">
        <v>4108.4399999999996</v>
      </c>
      <c r="Q266" s="3">
        <v>3735.2</v>
      </c>
      <c r="R266" s="3">
        <v>3735.2</v>
      </c>
      <c r="S266" s="3">
        <v>373.23999999999978</v>
      </c>
      <c r="T266" s="4">
        <v>9.0847134192053397E-2</v>
      </c>
      <c r="U266" s="4">
        <v>-0.31915286580794699</v>
      </c>
      <c r="V266" t="s">
        <v>1054</v>
      </c>
      <c r="W266" t="s">
        <v>1056</v>
      </c>
    </row>
    <row r="267" spans="1:23" x14ac:dyDescent="0.25">
      <c r="A267" t="s">
        <v>278</v>
      </c>
      <c r="B267" s="2">
        <v>45443</v>
      </c>
      <c r="C267" t="s">
        <v>549</v>
      </c>
      <c r="D267" t="s">
        <v>805</v>
      </c>
      <c r="E267" t="s">
        <v>537</v>
      </c>
      <c r="F267" t="s">
        <v>542</v>
      </c>
      <c r="G267" t="s">
        <v>545</v>
      </c>
      <c r="H267" t="s">
        <v>1042</v>
      </c>
      <c r="I267" s="3">
        <v>6467</v>
      </c>
      <c r="J267" s="4">
        <v>0.27</v>
      </c>
      <c r="K267" s="3">
        <v>4720.91</v>
      </c>
      <c r="L267" s="3">
        <v>4800.96</v>
      </c>
      <c r="M267" s="5">
        <v>1</v>
      </c>
      <c r="N267" s="3">
        <v>181</v>
      </c>
      <c r="O267" s="6">
        <v>0.4</v>
      </c>
      <c r="P267" s="3">
        <v>4720.91</v>
      </c>
      <c r="Q267" s="3">
        <v>4981.96</v>
      </c>
      <c r="R267" s="3">
        <v>4981.96</v>
      </c>
      <c r="S267" s="3">
        <v>-261.05000000000018</v>
      </c>
      <c r="T267" s="4">
        <v>-5.5296542403901E-2</v>
      </c>
      <c r="U267" s="4">
        <v>-0.45529654240390099</v>
      </c>
      <c r="V267" t="s">
        <v>1054</v>
      </c>
      <c r="W267" t="s">
        <v>1056</v>
      </c>
    </row>
    <row r="268" spans="1:23" x14ac:dyDescent="0.25">
      <c r="A268" t="s">
        <v>279</v>
      </c>
      <c r="B268" s="2">
        <v>45407</v>
      </c>
      <c r="C268" t="s">
        <v>549</v>
      </c>
      <c r="D268" t="s">
        <v>806</v>
      </c>
      <c r="E268" t="s">
        <v>537</v>
      </c>
      <c r="F268" t="s">
        <v>542</v>
      </c>
      <c r="G268" t="s">
        <v>546</v>
      </c>
      <c r="H268" t="s">
        <v>1044</v>
      </c>
      <c r="I268" s="3">
        <v>6420</v>
      </c>
      <c r="J268" s="4">
        <v>0.25</v>
      </c>
      <c r="K268" s="3">
        <v>4815</v>
      </c>
      <c r="L268" s="3">
        <v>4474.6899999999996</v>
      </c>
      <c r="M268" s="5">
        <v>2</v>
      </c>
      <c r="N268" s="3">
        <v>63</v>
      </c>
      <c r="O268" s="6">
        <v>0.37</v>
      </c>
      <c r="P268" s="3">
        <v>9630</v>
      </c>
      <c r="Q268" s="3">
        <v>4537.6899999999996</v>
      </c>
      <c r="R268" s="3">
        <v>9075.3799999999992</v>
      </c>
      <c r="S268" s="3">
        <v>554.6200000000008</v>
      </c>
      <c r="T268" s="4">
        <v>5.7592938733125702E-2</v>
      </c>
      <c r="U268" s="4">
        <v>-0.31240706126687401</v>
      </c>
      <c r="V268" t="s">
        <v>1054</v>
      </c>
      <c r="W268" t="s">
        <v>1056</v>
      </c>
    </row>
    <row r="269" spans="1:23" x14ac:dyDescent="0.25">
      <c r="A269" t="s">
        <v>280</v>
      </c>
      <c r="B269" s="2">
        <v>45366</v>
      </c>
      <c r="C269" t="s">
        <v>550</v>
      </c>
      <c r="D269" t="s">
        <v>807</v>
      </c>
      <c r="E269" t="s">
        <v>535</v>
      </c>
      <c r="F269" t="s">
        <v>538</v>
      </c>
      <c r="G269" t="s">
        <v>546</v>
      </c>
      <c r="H269" t="s">
        <v>1043</v>
      </c>
      <c r="I269" s="3">
        <v>1865</v>
      </c>
      <c r="J269" s="4">
        <v>0.3</v>
      </c>
      <c r="K269" s="3">
        <v>1305.5</v>
      </c>
      <c r="L269" s="3">
        <v>1236.1500000000001</v>
      </c>
      <c r="M269" s="5">
        <v>2</v>
      </c>
      <c r="N269" s="3">
        <v>151</v>
      </c>
      <c r="O269" s="6">
        <v>0.28999999999999998</v>
      </c>
      <c r="P269" s="3">
        <v>2611</v>
      </c>
      <c r="Q269" s="3">
        <v>1387.15</v>
      </c>
      <c r="R269" s="3">
        <v>2774.3</v>
      </c>
      <c r="S269" s="3">
        <v>-163.30000000000018</v>
      </c>
      <c r="T269" s="4">
        <v>-6.2543086939869805E-2</v>
      </c>
      <c r="U269" s="4">
        <v>-0.35254308693987002</v>
      </c>
      <c r="V269" t="s">
        <v>1054</v>
      </c>
      <c r="W269" t="s">
        <v>1056</v>
      </c>
    </row>
    <row r="270" spans="1:23" x14ac:dyDescent="0.25">
      <c r="A270" t="s">
        <v>281</v>
      </c>
      <c r="B270" s="2">
        <v>45404</v>
      </c>
      <c r="C270" t="s">
        <v>547</v>
      </c>
      <c r="D270" t="s">
        <v>670</v>
      </c>
      <c r="E270" t="s">
        <v>536</v>
      </c>
      <c r="F270" t="s">
        <v>544</v>
      </c>
      <c r="G270" t="s">
        <v>545</v>
      </c>
      <c r="H270" t="s">
        <v>1042</v>
      </c>
      <c r="I270" s="3">
        <v>7753</v>
      </c>
      <c r="J270" s="4">
        <v>0.27</v>
      </c>
      <c r="K270" s="3">
        <v>5659.69</v>
      </c>
      <c r="L270" s="3">
        <v>5530.17</v>
      </c>
      <c r="M270" s="5">
        <v>2</v>
      </c>
      <c r="N270" s="3">
        <v>131</v>
      </c>
      <c r="O270" s="6">
        <v>0.4</v>
      </c>
      <c r="P270" s="3">
        <v>11319.38</v>
      </c>
      <c r="Q270" s="3">
        <v>5661.17</v>
      </c>
      <c r="R270" s="3">
        <v>11322.34</v>
      </c>
      <c r="S270" s="3">
        <v>-2.9600000000009459</v>
      </c>
      <c r="T270" s="4">
        <v>-2.6149842129170902E-4</v>
      </c>
      <c r="U270" s="4">
        <v>-0.40026149842129199</v>
      </c>
      <c r="V270" t="s">
        <v>1054</v>
      </c>
      <c r="W270" t="s">
        <v>1056</v>
      </c>
    </row>
    <row r="271" spans="1:23" x14ac:dyDescent="0.25">
      <c r="A271" t="s">
        <v>282</v>
      </c>
      <c r="B271" s="2">
        <v>45455</v>
      </c>
      <c r="C271" t="s">
        <v>549</v>
      </c>
      <c r="D271" t="s">
        <v>808</v>
      </c>
      <c r="E271" t="s">
        <v>536</v>
      </c>
      <c r="F271" t="s">
        <v>544</v>
      </c>
      <c r="G271" t="s">
        <v>545</v>
      </c>
      <c r="H271" t="s">
        <v>1042</v>
      </c>
      <c r="I271" s="3">
        <v>3725</v>
      </c>
      <c r="J271" s="4">
        <v>0.34</v>
      </c>
      <c r="K271" s="3">
        <v>2458.5</v>
      </c>
      <c r="L271" s="3">
        <v>1816.55</v>
      </c>
      <c r="M271" s="5">
        <v>2</v>
      </c>
      <c r="N271" s="3">
        <v>190</v>
      </c>
      <c r="O271" s="6">
        <v>0.41</v>
      </c>
      <c r="P271" s="3">
        <v>4917</v>
      </c>
      <c r="Q271" s="3">
        <v>2006.55</v>
      </c>
      <c r="R271" s="3">
        <v>4013.1</v>
      </c>
      <c r="S271" s="3">
        <v>903.90000000000009</v>
      </c>
      <c r="T271" s="4">
        <v>0.18383160463697401</v>
      </c>
      <c r="U271" s="4">
        <v>-0.22616839536302599</v>
      </c>
      <c r="V271" t="s">
        <v>1054</v>
      </c>
      <c r="W271" t="s">
        <v>1056</v>
      </c>
    </row>
    <row r="272" spans="1:23" x14ac:dyDescent="0.25">
      <c r="A272" t="s">
        <v>283</v>
      </c>
      <c r="B272" s="2">
        <v>45457</v>
      </c>
      <c r="C272" t="s">
        <v>547</v>
      </c>
      <c r="D272" t="s">
        <v>809</v>
      </c>
      <c r="E272" t="s">
        <v>535</v>
      </c>
      <c r="F272" t="s">
        <v>538</v>
      </c>
      <c r="G272" t="s">
        <v>546</v>
      </c>
      <c r="H272" t="s">
        <v>1042</v>
      </c>
      <c r="I272" s="3">
        <v>5905</v>
      </c>
      <c r="J272" s="4">
        <v>0.14000000000000001</v>
      </c>
      <c r="K272" s="3">
        <v>5078.3</v>
      </c>
      <c r="L272" s="3">
        <v>4026.87</v>
      </c>
      <c r="M272" s="5">
        <v>3</v>
      </c>
      <c r="N272" s="3">
        <v>195</v>
      </c>
      <c r="O272" s="6">
        <v>0.34</v>
      </c>
      <c r="P272" s="3">
        <v>15234.900000000001</v>
      </c>
      <c r="Q272" s="3">
        <v>4221.87</v>
      </c>
      <c r="R272" s="3">
        <v>12665.61</v>
      </c>
      <c r="S272" s="3">
        <v>2569.2900000000009</v>
      </c>
      <c r="T272" s="4">
        <v>0.16864501900242199</v>
      </c>
      <c r="U272" s="4">
        <v>-0.17135498099757801</v>
      </c>
      <c r="V272" t="s">
        <v>1054</v>
      </c>
      <c r="W272" t="s">
        <v>1055</v>
      </c>
    </row>
    <row r="273" spans="1:23" x14ac:dyDescent="0.25">
      <c r="A273" t="s">
        <v>284</v>
      </c>
      <c r="B273" s="2">
        <v>45395</v>
      </c>
      <c r="C273" t="s">
        <v>549</v>
      </c>
      <c r="D273" t="s">
        <v>810</v>
      </c>
      <c r="E273" t="s">
        <v>536</v>
      </c>
      <c r="F273" t="s">
        <v>539</v>
      </c>
      <c r="G273" t="s">
        <v>546</v>
      </c>
      <c r="H273" t="s">
        <v>1042</v>
      </c>
      <c r="I273" s="3">
        <v>6816</v>
      </c>
      <c r="J273" s="4">
        <v>0.25</v>
      </c>
      <c r="K273" s="3">
        <v>5112</v>
      </c>
      <c r="L273" s="3">
        <v>4185.63</v>
      </c>
      <c r="M273" s="5">
        <v>1</v>
      </c>
      <c r="N273" s="3">
        <v>17</v>
      </c>
      <c r="O273" s="6">
        <v>0.38</v>
      </c>
      <c r="P273" s="3">
        <v>5112</v>
      </c>
      <c r="Q273" s="3">
        <v>4202.63</v>
      </c>
      <c r="R273" s="3">
        <v>4202.63</v>
      </c>
      <c r="S273" s="3">
        <v>909.36999999999989</v>
      </c>
      <c r="T273" s="4">
        <v>0.177889280125196</v>
      </c>
      <c r="U273" s="4">
        <v>-0.202110719874804</v>
      </c>
      <c r="V273" t="s">
        <v>1054</v>
      </c>
      <c r="W273" t="s">
        <v>1056</v>
      </c>
    </row>
    <row r="274" spans="1:23" x14ac:dyDescent="0.25">
      <c r="A274" t="s">
        <v>285</v>
      </c>
      <c r="B274" s="2">
        <v>45375</v>
      </c>
      <c r="C274" t="s">
        <v>548</v>
      </c>
      <c r="D274" t="s">
        <v>811</v>
      </c>
      <c r="E274" t="s">
        <v>535</v>
      </c>
      <c r="F274" t="s">
        <v>538</v>
      </c>
      <c r="G274" t="s">
        <v>546</v>
      </c>
      <c r="H274" t="s">
        <v>1044</v>
      </c>
      <c r="I274" s="3">
        <v>4046</v>
      </c>
      <c r="J274" s="4">
        <v>0.12</v>
      </c>
      <c r="K274" s="3">
        <v>3560.48</v>
      </c>
      <c r="L274" s="3">
        <v>2120.0300000000002</v>
      </c>
      <c r="M274" s="5">
        <v>1</v>
      </c>
      <c r="N274" s="3">
        <v>165</v>
      </c>
      <c r="O274" s="6">
        <v>0.41</v>
      </c>
      <c r="P274" s="3">
        <v>3560.48</v>
      </c>
      <c r="Q274" s="3">
        <v>2285.0300000000002</v>
      </c>
      <c r="R274" s="3">
        <v>2285.0300000000002</v>
      </c>
      <c r="S274" s="3">
        <v>1275.4499999999998</v>
      </c>
      <c r="T274" s="4">
        <v>0.35822417202175</v>
      </c>
      <c r="U274" s="4">
        <v>-5.1775827978249998E-2</v>
      </c>
      <c r="V274" t="s">
        <v>1054</v>
      </c>
      <c r="W274" t="s">
        <v>1055</v>
      </c>
    </row>
    <row r="275" spans="1:23" x14ac:dyDescent="0.25">
      <c r="A275" t="s">
        <v>286</v>
      </c>
      <c r="B275" s="2">
        <v>45403</v>
      </c>
      <c r="C275" t="s">
        <v>549</v>
      </c>
      <c r="D275" t="s">
        <v>812</v>
      </c>
      <c r="E275" t="s">
        <v>537</v>
      </c>
      <c r="F275" t="s">
        <v>543</v>
      </c>
      <c r="G275" t="s">
        <v>545</v>
      </c>
      <c r="H275" t="s">
        <v>1045</v>
      </c>
      <c r="I275" s="3">
        <v>1897</v>
      </c>
      <c r="J275" s="4">
        <v>0.35</v>
      </c>
      <c r="K275" s="3">
        <v>1233.05</v>
      </c>
      <c r="L275" s="3">
        <v>1163.51</v>
      </c>
      <c r="M275" s="5">
        <v>2</v>
      </c>
      <c r="N275" s="3">
        <v>152</v>
      </c>
      <c r="O275" s="6">
        <v>0.34</v>
      </c>
      <c r="P275" s="3">
        <v>2466.1</v>
      </c>
      <c r="Q275" s="3">
        <v>1315.51</v>
      </c>
      <c r="R275" s="3">
        <v>2631.02</v>
      </c>
      <c r="S275" s="3">
        <v>-164.92000000000007</v>
      </c>
      <c r="T275" s="4">
        <v>-6.6874822594379796E-2</v>
      </c>
      <c r="U275" s="4">
        <v>-0.40687482259438001</v>
      </c>
      <c r="V275" t="s">
        <v>1054</v>
      </c>
      <c r="W275" t="s">
        <v>1056</v>
      </c>
    </row>
    <row r="276" spans="1:23" x14ac:dyDescent="0.25">
      <c r="A276" t="s">
        <v>287</v>
      </c>
      <c r="B276" s="2">
        <v>45390</v>
      </c>
      <c r="C276" t="s">
        <v>550</v>
      </c>
      <c r="D276" t="s">
        <v>813</v>
      </c>
      <c r="E276" t="s">
        <v>537</v>
      </c>
      <c r="F276" t="s">
        <v>541</v>
      </c>
      <c r="G276" t="s">
        <v>545</v>
      </c>
      <c r="H276" t="s">
        <v>1045</v>
      </c>
      <c r="I276" s="3">
        <v>5563</v>
      </c>
      <c r="J276" s="4">
        <v>0.14000000000000001</v>
      </c>
      <c r="K276" s="3">
        <v>4784.18</v>
      </c>
      <c r="L276" s="3">
        <v>2964.36</v>
      </c>
      <c r="M276" s="5">
        <v>3</v>
      </c>
      <c r="N276" s="3">
        <v>190</v>
      </c>
      <c r="O276" s="6">
        <v>0.31</v>
      </c>
      <c r="P276" s="3">
        <v>14352.54</v>
      </c>
      <c r="Q276" s="3">
        <v>3154.36</v>
      </c>
      <c r="R276" s="3">
        <v>9463.08</v>
      </c>
      <c r="S276" s="3">
        <v>4889.4600000000009</v>
      </c>
      <c r="T276" s="4">
        <v>0.34066862032783002</v>
      </c>
      <c r="U276" s="4">
        <v>3.066862032783E-2</v>
      </c>
      <c r="V276" t="s">
        <v>1058</v>
      </c>
      <c r="W276" t="s">
        <v>1055</v>
      </c>
    </row>
    <row r="277" spans="1:23" x14ac:dyDescent="0.25">
      <c r="A277" t="s">
        <v>288</v>
      </c>
      <c r="B277" s="2">
        <v>45444</v>
      </c>
      <c r="C277" t="s">
        <v>548</v>
      </c>
      <c r="D277" t="s">
        <v>814</v>
      </c>
      <c r="E277" t="s">
        <v>535</v>
      </c>
      <c r="F277" t="s">
        <v>540</v>
      </c>
      <c r="G277" t="s">
        <v>545</v>
      </c>
      <c r="H277" t="s">
        <v>1042</v>
      </c>
      <c r="I277" s="3">
        <v>7655</v>
      </c>
      <c r="J277" s="4">
        <v>0.19</v>
      </c>
      <c r="K277" s="3">
        <v>6200.55</v>
      </c>
      <c r="L277" s="3">
        <v>5488.96</v>
      </c>
      <c r="M277" s="5">
        <v>2</v>
      </c>
      <c r="N277" s="3">
        <v>183</v>
      </c>
      <c r="O277" s="6">
        <v>0.4</v>
      </c>
      <c r="P277" s="3">
        <v>12401.1</v>
      </c>
      <c r="Q277" s="3">
        <v>5671.96</v>
      </c>
      <c r="R277" s="3">
        <v>11343.92</v>
      </c>
      <c r="S277" s="3">
        <v>1057.1800000000003</v>
      </c>
      <c r="T277" s="4">
        <v>8.5248889211440901E-2</v>
      </c>
      <c r="U277" s="4">
        <v>-0.314751110788559</v>
      </c>
      <c r="V277" t="s">
        <v>1054</v>
      </c>
      <c r="W277" t="s">
        <v>1055</v>
      </c>
    </row>
    <row r="278" spans="1:23" x14ac:dyDescent="0.25">
      <c r="A278" t="s">
        <v>289</v>
      </c>
      <c r="B278" s="2">
        <v>45384</v>
      </c>
      <c r="C278" t="s">
        <v>549</v>
      </c>
      <c r="D278" t="s">
        <v>815</v>
      </c>
      <c r="E278" t="s">
        <v>535</v>
      </c>
      <c r="F278" t="s">
        <v>538</v>
      </c>
      <c r="G278" t="s">
        <v>546</v>
      </c>
      <c r="H278" t="s">
        <v>1042</v>
      </c>
      <c r="I278" s="3">
        <v>5735</v>
      </c>
      <c r="J278" s="4">
        <v>0.17</v>
      </c>
      <c r="K278" s="3">
        <v>4760.05</v>
      </c>
      <c r="L278" s="3">
        <v>3100.2</v>
      </c>
      <c r="M278" s="5">
        <v>1</v>
      </c>
      <c r="N278" s="3">
        <v>24</v>
      </c>
      <c r="O278" s="6">
        <v>0.44</v>
      </c>
      <c r="P278" s="3">
        <v>4760.05</v>
      </c>
      <c r="Q278" s="3">
        <v>3124.2</v>
      </c>
      <c r="R278" s="3">
        <v>3124.2</v>
      </c>
      <c r="S278" s="3">
        <v>1635.8500000000004</v>
      </c>
      <c r="T278" s="4">
        <v>0.34366235648785198</v>
      </c>
      <c r="U278" s="4">
        <v>-9.6337643512148005E-2</v>
      </c>
      <c r="V278" t="s">
        <v>1054</v>
      </c>
      <c r="W278" t="s">
        <v>1055</v>
      </c>
    </row>
    <row r="279" spans="1:23" x14ac:dyDescent="0.25">
      <c r="A279" t="s">
        <v>290</v>
      </c>
      <c r="B279" s="2">
        <v>45437</v>
      </c>
      <c r="C279" t="s">
        <v>550</v>
      </c>
      <c r="D279" t="s">
        <v>816</v>
      </c>
      <c r="E279" t="s">
        <v>535</v>
      </c>
      <c r="F279" t="s">
        <v>538</v>
      </c>
      <c r="G279" t="s">
        <v>545</v>
      </c>
      <c r="H279" t="s">
        <v>1043</v>
      </c>
      <c r="I279" s="3">
        <v>6403</v>
      </c>
      <c r="J279" s="4">
        <v>0.21</v>
      </c>
      <c r="K279" s="3">
        <v>5058.37</v>
      </c>
      <c r="L279" s="3">
        <v>3227.7</v>
      </c>
      <c r="M279" s="5">
        <v>2</v>
      </c>
      <c r="N279" s="3">
        <v>12</v>
      </c>
      <c r="O279" s="6">
        <v>0.43</v>
      </c>
      <c r="P279" s="3">
        <v>10116.74</v>
      </c>
      <c r="Q279" s="3">
        <v>3239.7</v>
      </c>
      <c r="R279" s="3">
        <v>6479.4</v>
      </c>
      <c r="S279" s="3">
        <v>3637.34</v>
      </c>
      <c r="T279" s="4">
        <v>0.35953676777301802</v>
      </c>
      <c r="U279" s="4">
        <v>-7.0463232226982003E-2</v>
      </c>
      <c r="V279" t="s">
        <v>1054</v>
      </c>
      <c r="W279" t="s">
        <v>1056</v>
      </c>
    </row>
    <row r="280" spans="1:23" x14ac:dyDescent="0.25">
      <c r="A280" t="s">
        <v>291</v>
      </c>
      <c r="B280" s="2">
        <v>45419</v>
      </c>
      <c r="C280" t="s">
        <v>549</v>
      </c>
      <c r="D280" t="s">
        <v>817</v>
      </c>
      <c r="E280" t="s">
        <v>535</v>
      </c>
      <c r="F280" t="s">
        <v>540</v>
      </c>
      <c r="G280" t="s">
        <v>545</v>
      </c>
      <c r="H280" t="s">
        <v>1042</v>
      </c>
      <c r="I280" s="3">
        <v>6524</v>
      </c>
      <c r="J280" s="4">
        <v>0.28999999999999998</v>
      </c>
      <c r="K280" s="3">
        <v>4632.04</v>
      </c>
      <c r="L280" s="3">
        <v>4606.83</v>
      </c>
      <c r="M280" s="5">
        <v>2</v>
      </c>
      <c r="N280" s="3">
        <v>165</v>
      </c>
      <c r="O280" s="6">
        <v>0.3</v>
      </c>
      <c r="P280" s="3">
        <v>9264.08</v>
      </c>
      <c r="Q280" s="3">
        <v>4771.83</v>
      </c>
      <c r="R280" s="3">
        <v>9543.66</v>
      </c>
      <c r="S280" s="3">
        <v>-279.57999999999993</v>
      </c>
      <c r="T280" s="4">
        <v>-3.0178927643111898E-2</v>
      </c>
      <c r="U280" s="4">
        <v>-0.33017892764311202</v>
      </c>
      <c r="V280" t="s">
        <v>1054</v>
      </c>
      <c r="W280" t="s">
        <v>1056</v>
      </c>
    </row>
    <row r="281" spans="1:23" x14ac:dyDescent="0.25">
      <c r="A281" t="s">
        <v>292</v>
      </c>
      <c r="B281" s="2">
        <v>45401</v>
      </c>
      <c r="C281" t="s">
        <v>549</v>
      </c>
      <c r="D281" t="s">
        <v>818</v>
      </c>
      <c r="E281" t="s">
        <v>536</v>
      </c>
      <c r="F281" t="s">
        <v>544</v>
      </c>
      <c r="G281" t="s">
        <v>546</v>
      </c>
      <c r="H281" t="s">
        <v>1044</v>
      </c>
      <c r="I281" s="3">
        <v>7307</v>
      </c>
      <c r="J281" s="4">
        <v>0.21</v>
      </c>
      <c r="K281" s="3">
        <v>5772.53</v>
      </c>
      <c r="L281" s="3">
        <v>3768.48</v>
      </c>
      <c r="M281" s="5">
        <v>1</v>
      </c>
      <c r="N281" s="3">
        <v>110</v>
      </c>
      <c r="O281" s="6">
        <v>0.44</v>
      </c>
      <c r="P281" s="3">
        <v>5772.53</v>
      </c>
      <c r="Q281" s="3">
        <v>3878.48</v>
      </c>
      <c r="R281" s="3">
        <v>3878.48</v>
      </c>
      <c r="S281" s="3">
        <v>1894.0499999999997</v>
      </c>
      <c r="T281" s="4">
        <v>0.32811436233332703</v>
      </c>
      <c r="U281" s="4">
        <v>-0.111885637666673</v>
      </c>
      <c r="V281" t="s">
        <v>1054</v>
      </c>
      <c r="W281" t="s">
        <v>1056</v>
      </c>
    </row>
    <row r="282" spans="1:23" x14ac:dyDescent="0.25">
      <c r="A282" t="s">
        <v>293</v>
      </c>
      <c r="B282" s="2">
        <v>45373</v>
      </c>
      <c r="C282" t="s">
        <v>550</v>
      </c>
      <c r="D282" t="s">
        <v>819</v>
      </c>
      <c r="E282" t="s">
        <v>537</v>
      </c>
      <c r="F282" t="s">
        <v>543</v>
      </c>
      <c r="G282" t="s">
        <v>545</v>
      </c>
      <c r="H282" t="s">
        <v>1042</v>
      </c>
      <c r="I282" s="3">
        <v>669</v>
      </c>
      <c r="J282" s="4">
        <v>0.28999999999999998</v>
      </c>
      <c r="K282" s="3">
        <v>474.99</v>
      </c>
      <c r="L282" s="3">
        <v>483.27</v>
      </c>
      <c r="M282" s="5">
        <v>1</v>
      </c>
      <c r="N282" s="3">
        <v>107</v>
      </c>
      <c r="O282" s="6">
        <v>0.44</v>
      </c>
      <c r="P282" s="3">
        <v>474.99</v>
      </c>
      <c r="Q282" s="3">
        <v>590.27</v>
      </c>
      <c r="R282" s="3">
        <v>590.27</v>
      </c>
      <c r="S282" s="3">
        <v>-115.27999999999997</v>
      </c>
      <c r="T282" s="4">
        <v>-0.24269984631255401</v>
      </c>
      <c r="U282" s="4">
        <v>-0.68269984631255398</v>
      </c>
      <c r="V282" t="s">
        <v>1057</v>
      </c>
      <c r="W282" t="s">
        <v>1056</v>
      </c>
    </row>
    <row r="283" spans="1:23" x14ac:dyDescent="0.25">
      <c r="A283" t="s">
        <v>294</v>
      </c>
      <c r="B283" s="2">
        <v>45345</v>
      </c>
      <c r="C283" t="s">
        <v>548</v>
      </c>
      <c r="D283" t="s">
        <v>820</v>
      </c>
      <c r="E283" t="s">
        <v>537</v>
      </c>
      <c r="F283" t="s">
        <v>543</v>
      </c>
      <c r="G283" t="s">
        <v>546</v>
      </c>
      <c r="H283" t="s">
        <v>1043</v>
      </c>
      <c r="I283" s="3">
        <v>57</v>
      </c>
      <c r="J283" s="4">
        <v>0.28000000000000003</v>
      </c>
      <c r="K283" s="3">
        <v>41.04</v>
      </c>
      <c r="L283" s="3">
        <v>30.95</v>
      </c>
      <c r="M283" s="5">
        <v>1</v>
      </c>
      <c r="N283" s="3">
        <v>103</v>
      </c>
      <c r="O283" s="6">
        <v>0.36</v>
      </c>
      <c r="P283" s="3">
        <v>41.04</v>
      </c>
      <c r="Q283" s="3">
        <v>133.94999999999999</v>
      </c>
      <c r="R283" s="3">
        <v>133.94999999999999</v>
      </c>
      <c r="S283" s="3">
        <v>-92.91</v>
      </c>
      <c r="T283" s="4">
        <v>-2.2638888888888902</v>
      </c>
      <c r="U283" s="4">
        <v>-2.62388888888889</v>
      </c>
      <c r="V283" t="s">
        <v>1057</v>
      </c>
      <c r="W283" t="s">
        <v>1056</v>
      </c>
    </row>
    <row r="284" spans="1:23" x14ac:dyDescent="0.25">
      <c r="A284" t="s">
        <v>295</v>
      </c>
      <c r="B284" s="2">
        <v>45454</v>
      </c>
      <c r="C284" t="s">
        <v>549</v>
      </c>
      <c r="D284" t="s">
        <v>821</v>
      </c>
      <c r="E284" t="s">
        <v>536</v>
      </c>
      <c r="F284" t="s">
        <v>544</v>
      </c>
      <c r="G284" t="s">
        <v>545</v>
      </c>
      <c r="H284" t="s">
        <v>1045</v>
      </c>
      <c r="I284" s="3">
        <v>135</v>
      </c>
      <c r="J284" s="4">
        <v>0.23</v>
      </c>
      <c r="K284" s="3">
        <v>103.95</v>
      </c>
      <c r="L284" s="3">
        <v>94.58</v>
      </c>
      <c r="M284" s="5">
        <v>1</v>
      </c>
      <c r="N284" s="3">
        <v>45</v>
      </c>
      <c r="O284" s="6">
        <v>0.34</v>
      </c>
      <c r="P284" s="3">
        <v>103.95</v>
      </c>
      <c r="Q284" s="3">
        <v>139.57999999999998</v>
      </c>
      <c r="R284" s="3">
        <v>139.57999999999998</v>
      </c>
      <c r="S284" s="3">
        <v>-35.629999999999981</v>
      </c>
      <c r="T284" s="4">
        <v>-0.34276094276094299</v>
      </c>
      <c r="U284" s="4">
        <v>-0.68276094276094301</v>
      </c>
      <c r="V284" t="s">
        <v>1057</v>
      </c>
      <c r="W284" t="s">
        <v>1056</v>
      </c>
    </row>
    <row r="285" spans="1:23" x14ac:dyDescent="0.25">
      <c r="A285" t="s">
        <v>296</v>
      </c>
      <c r="B285" s="2">
        <v>45460</v>
      </c>
      <c r="C285" t="s">
        <v>548</v>
      </c>
      <c r="D285" t="s">
        <v>822</v>
      </c>
      <c r="E285" t="s">
        <v>537</v>
      </c>
      <c r="F285" t="s">
        <v>541</v>
      </c>
      <c r="G285" t="s">
        <v>546</v>
      </c>
      <c r="H285" t="s">
        <v>1043</v>
      </c>
      <c r="I285" s="3">
        <v>5933</v>
      </c>
      <c r="J285" s="4">
        <v>0.1</v>
      </c>
      <c r="K285" s="3">
        <v>5339.7</v>
      </c>
      <c r="L285" s="3">
        <v>3585.94</v>
      </c>
      <c r="M285" s="5">
        <v>3</v>
      </c>
      <c r="N285" s="3">
        <v>185</v>
      </c>
      <c r="O285" s="6">
        <v>0.32</v>
      </c>
      <c r="P285" s="3">
        <v>16019.099999999999</v>
      </c>
      <c r="Q285" s="3">
        <v>3770.94</v>
      </c>
      <c r="R285" s="3">
        <v>11312.82</v>
      </c>
      <c r="S285" s="3">
        <v>4706.2799999999988</v>
      </c>
      <c r="T285" s="4">
        <v>0.29379178605539602</v>
      </c>
      <c r="U285" s="4">
        <v>-2.6208213944604E-2</v>
      </c>
      <c r="V285" t="s">
        <v>1054</v>
      </c>
      <c r="W285" t="s">
        <v>1055</v>
      </c>
    </row>
    <row r="286" spans="1:23" x14ac:dyDescent="0.25">
      <c r="A286" t="s">
        <v>297</v>
      </c>
      <c r="B286" s="2">
        <v>45452</v>
      </c>
      <c r="C286" t="s">
        <v>548</v>
      </c>
      <c r="D286" t="s">
        <v>823</v>
      </c>
      <c r="E286" t="s">
        <v>535</v>
      </c>
      <c r="F286" t="s">
        <v>540</v>
      </c>
      <c r="G286" t="s">
        <v>545</v>
      </c>
      <c r="H286" t="s">
        <v>1045</v>
      </c>
      <c r="I286" s="3">
        <v>4155</v>
      </c>
      <c r="J286" s="4">
        <v>0.32</v>
      </c>
      <c r="K286" s="3">
        <v>2825.4</v>
      </c>
      <c r="L286" s="3">
        <v>2061.4699999999998</v>
      </c>
      <c r="M286" s="5">
        <v>2</v>
      </c>
      <c r="N286" s="3">
        <v>164</v>
      </c>
      <c r="O286" s="6">
        <v>0.45</v>
      </c>
      <c r="P286" s="3">
        <v>5650.8</v>
      </c>
      <c r="Q286" s="3">
        <v>2225.4699999999998</v>
      </c>
      <c r="R286" s="3">
        <v>4450.9399999999996</v>
      </c>
      <c r="S286" s="3">
        <v>1199.8600000000006</v>
      </c>
      <c r="T286" s="4">
        <v>0.212334536702768</v>
      </c>
      <c r="U286" s="4">
        <v>-0.23766546329723201</v>
      </c>
      <c r="V286" t="s">
        <v>1054</v>
      </c>
      <c r="W286" t="s">
        <v>1056</v>
      </c>
    </row>
    <row r="287" spans="1:23" x14ac:dyDescent="0.25">
      <c r="A287" t="s">
        <v>298</v>
      </c>
      <c r="B287" s="2">
        <v>45359</v>
      </c>
      <c r="C287" t="s">
        <v>548</v>
      </c>
      <c r="D287" t="s">
        <v>824</v>
      </c>
      <c r="E287" t="s">
        <v>535</v>
      </c>
      <c r="F287" t="s">
        <v>540</v>
      </c>
      <c r="G287" t="s">
        <v>546</v>
      </c>
      <c r="H287" t="s">
        <v>1042</v>
      </c>
      <c r="I287" s="3">
        <v>2501</v>
      </c>
      <c r="J287" s="4">
        <v>0.28000000000000003</v>
      </c>
      <c r="K287" s="3">
        <v>1800.72</v>
      </c>
      <c r="L287" s="3">
        <v>1814.55</v>
      </c>
      <c r="M287" s="5">
        <v>3</v>
      </c>
      <c r="N287" s="3">
        <v>122</v>
      </c>
      <c r="O287" s="6">
        <v>0.38</v>
      </c>
      <c r="P287" s="3">
        <v>5402.16</v>
      </c>
      <c r="Q287" s="3">
        <v>1936.55</v>
      </c>
      <c r="R287" s="3">
        <v>5809.65</v>
      </c>
      <c r="S287" s="3">
        <v>-407.48999999999978</v>
      </c>
      <c r="T287" s="4">
        <v>-7.5430938735616807E-2</v>
      </c>
      <c r="U287" s="4">
        <v>-0.45543093873561702</v>
      </c>
      <c r="V287" t="s">
        <v>1054</v>
      </c>
      <c r="W287" t="s">
        <v>1056</v>
      </c>
    </row>
    <row r="288" spans="1:23" x14ac:dyDescent="0.25">
      <c r="A288" t="s">
        <v>299</v>
      </c>
      <c r="B288" s="2">
        <v>45324</v>
      </c>
      <c r="C288" t="s">
        <v>547</v>
      </c>
      <c r="D288" t="s">
        <v>825</v>
      </c>
      <c r="E288" t="s">
        <v>535</v>
      </c>
      <c r="F288" t="s">
        <v>538</v>
      </c>
      <c r="G288" t="s">
        <v>546</v>
      </c>
      <c r="H288" t="s">
        <v>1042</v>
      </c>
      <c r="I288" s="3">
        <v>742</v>
      </c>
      <c r="J288" s="4">
        <v>0.16</v>
      </c>
      <c r="K288" s="3">
        <v>623.28</v>
      </c>
      <c r="L288" s="3">
        <v>480.07</v>
      </c>
      <c r="M288" s="5">
        <v>1</v>
      </c>
      <c r="N288" s="3">
        <v>123</v>
      </c>
      <c r="O288" s="6">
        <v>0.31</v>
      </c>
      <c r="P288" s="3">
        <v>623.28</v>
      </c>
      <c r="Q288" s="3">
        <v>603.06999999999994</v>
      </c>
      <c r="R288" s="3">
        <v>603.06999999999994</v>
      </c>
      <c r="S288" s="3">
        <v>20.210000000000036</v>
      </c>
      <c r="T288" s="4">
        <v>3.2425234244641297E-2</v>
      </c>
      <c r="U288" s="4">
        <v>-0.277574765755359</v>
      </c>
      <c r="V288" t="s">
        <v>1054</v>
      </c>
      <c r="W288" t="s">
        <v>1055</v>
      </c>
    </row>
    <row r="289" spans="1:23" x14ac:dyDescent="0.25">
      <c r="A289" t="s">
        <v>300</v>
      </c>
      <c r="B289" s="2">
        <v>45433</v>
      </c>
      <c r="C289" t="s">
        <v>548</v>
      </c>
      <c r="D289" t="s">
        <v>826</v>
      </c>
      <c r="E289" t="s">
        <v>536</v>
      </c>
      <c r="F289" t="s">
        <v>544</v>
      </c>
      <c r="G289" t="s">
        <v>546</v>
      </c>
      <c r="H289" t="s">
        <v>1045</v>
      </c>
      <c r="I289" s="3">
        <v>6070</v>
      </c>
      <c r="J289" s="4">
        <v>0.06</v>
      </c>
      <c r="K289" s="3">
        <v>5705.8</v>
      </c>
      <c r="L289" s="3">
        <v>3050.58</v>
      </c>
      <c r="M289" s="5">
        <v>1</v>
      </c>
      <c r="N289" s="3">
        <v>107</v>
      </c>
      <c r="O289" s="6">
        <v>0.32</v>
      </c>
      <c r="P289" s="3">
        <v>5705.8</v>
      </c>
      <c r="Q289" s="3">
        <v>3157.58</v>
      </c>
      <c r="R289" s="3">
        <v>3157.58</v>
      </c>
      <c r="S289" s="3">
        <v>2548.2200000000003</v>
      </c>
      <c r="T289" s="4">
        <v>0.44660170352974199</v>
      </c>
      <c r="U289" s="4">
        <v>0.12660170352974201</v>
      </c>
      <c r="V289" t="s">
        <v>1058</v>
      </c>
      <c r="W289" t="s">
        <v>1059</v>
      </c>
    </row>
    <row r="290" spans="1:23" x14ac:dyDescent="0.25">
      <c r="A290" t="s">
        <v>301</v>
      </c>
      <c r="B290" s="2">
        <v>45312</v>
      </c>
      <c r="C290" t="s">
        <v>548</v>
      </c>
      <c r="D290" t="s">
        <v>827</v>
      </c>
      <c r="E290" t="s">
        <v>535</v>
      </c>
      <c r="F290" t="s">
        <v>538</v>
      </c>
      <c r="G290" t="s">
        <v>546</v>
      </c>
      <c r="H290" t="s">
        <v>1045</v>
      </c>
      <c r="I290" s="3">
        <v>6292</v>
      </c>
      <c r="J290" s="4">
        <v>0.15</v>
      </c>
      <c r="K290" s="3">
        <v>5348.2</v>
      </c>
      <c r="L290" s="3">
        <v>4416.34</v>
      </c>
      <c r="M290" s="5">
        <v>3</v>
      </c>
      <c r="N290" s="3">
        <v>118</v>
      </c>
      <c r="O290" s="6">
        <v>0.43</v>
      </c>
      <c r="P290" s="3">
        <v>16044.599999999999</v>
      </c>
      <c r="Q290" s="3">
        <v>4534.34</v>
      </c>
      <c r="R290" s="3">
        <v>13603.02</v>
      </c>
      <c r="S290" s="3">
        <v>2441.5799999999981</v>
      </c>
      <c r="T290" s="4">
        <v>0.15217456340450999</v>
      </c>
      <c r="U290" s="4">
        <v>-0.27782543659549003</v>
      </c>
      <c r="V290" t="s">
        <v>1054</v>
      </c>
      <c r="W290" t="s">
        <v>1055</v>
      </c>
    </row>
    <row r="291" spans="1:23" x14ac:dyDescent="0.25">
      <c r="A291" t="s">
        <v>302</v>
      </c>
      <c r="B291" s="2">
        <v>45339</v>
      </c>
      <c r="C291" t="s">
        <v>547</v>
      </c>
      <c r="D291" t="s">
        <v>828</v>
      </c>
      <c r="E291" t="s">
        <v>537</v>
      </c>
      <c r="F291" t="s">
        <v>542</v>
      </c>
      <c r="G291" t="s">
        <v>545</v>
      </c>
      <c r="H291" t="s">
        <v>1044</v>
      </c>
      <c r="I291" s="3">
        <v>923</v>
      </c>
      <c r="J291" s="4">
        <v>0.32</v>
      </c>
      <c r="K291" s="3">
        <v>627.64</v>
      </c>
      <c r="L291" s="3">
        <v>566.12</v>
      </c>
      <c r="M291" s="5">
        <v>1</v>
      </c>
      <c r="N291" s="3">
        <v>118</v>
      </c>
      <c r="O291" s="6">
        <v>0.32</v>
      </c>
      <c r="P291" s="3">
        <v>627.64</v>
      </c>
      <c r="Q291" s="3">
        <v>684.12</v>
      </c>
      <c r="R291" s="3">
        <v>684.12</v>
      </c>
      <c r="S291" s="3">
        <v>-56.480000000000018</v>
      </c>
      <c r="T291" s="4">
        <v>-8.9987891147791793E-2</v>
      </c>
      <c r="U291" s="4">
        <v>-0.40998789114779199</v>
      </c>
      <c r="V291" t="s">
        <v>1054</v>
      </c>
      <c r="W291" t="s">
        <v>1056</v>
      </c>
    </row>
    <row r="292" spans="1:23" x14ac:dyDescent="0.25">
      <c r="A292" t="s">
        <v>303</v>
      </c>
      <c r="B292" s="2">
        <v>45439</v>
      </c>
      <c r="C292" t="s">
        <v>548</v>
      </c>
      <c r="D292" t="s">
        <v>829</v>
      </c>
      <c r="E292" t="s">
        <v>536</v>
      </c>
      <c r="F292" t="s">
        <v>544</v>
      </c>
      <c r="G292" t="s">
        <v>546</v>
      </c>
      <c r="H292" t="s">
        <v>1043</v>
      </c>
      <c r="I292" s="3">
        <v>3626</v>
      </c>
      <c r="J292" s="4">
        <v>0.16</v>
      </c>
      <c r="K292" s="3">
        <v>3045.84</v>
      </c>
      <c r="L292" s="3">
        <v>1952.86</v>
      </c>
      <c r="M292" s="5">
        <v>1</v>
      </c>
      <c r="N292" s="3">
        <v>174</v>
      </c>
      <c r="O292" s="6">
        <v>0.35</v>
      </c>
      <c r="P292" s="3">
        <v>3045.84</v>
      </c>
      <c r="Q292" s="3">
        <v>2126.8599999999997</v>
      </c>
      <c r="R292" s="3">
        <v>2126.8599999999997</v>
      </c>
      <c r="S292" s="3">
        <v>918.98000000000047</v>
      </c>
      <c r="T292" s="4">
        <v>0.30171643947154198</v>
      </c>
      <c r="U292" s="4">
        <v>-4.8283560528458003E-2</v>
      </c>
      <c r="V292" t="s">
        <v>1054</v>
      </c>
      <c r="W292" t="s">
        <v>1055</v>
      </c>
    </row>
    <row r="293" spans="1:23" x14ac:dyDescent="0.25">
      <c r="A293" t="s">
        <v>304</v>
      </c>
      <c r="B293" s="2">
        <v>45419</v>
      </c>
      <c r="C293" t="s">
        <v>548</v>
      </c>
      <c r="D293" t="s">
        <v>811</v>
      </c>
      <c r="E293" t="s">
        <v>536</v>
      </c>
      <c r="F293" t="s">
        <v>544</v>
      </c>
      <c r="G293" t="s">
        <v>546</v>
      </c>
      <c r="H293" t="s">
        <v>1043</v>
      </c>
      <c r="I293" s="3">
        <v>6158</v>
      </c>
      <c r="J293" s="4">
        <v>0.28000000000000003</v>
      </c>
      <c r="K293" s="3">
        <v>4433.76</v>
      </c>
      <c r="L293" s="3">
        <v>3980.5</v>
      </c>
      <c r="M293" s="5">
        <v>2</v>
      </c>
      <c r="N293" s="3">
        <v>76</v>
      </c>
      <c r="O293" s="6">
        <v>0.43</v>
      </c>
      <c r="P293" s="3">
        <v>8867.52</v>
      </c>
      <c r="Q293" s="3">
        <v>4056.5</v>
      </c>
      <c r="R293" s="3">
        <v>8113</v>
      </c>
      <c r="S293" s="3">
        <v>754.52000000000044</v>
      </c>
      <c r="T293" s="4">
        <v>8.5088051676229695E-2</v>
      </c>
      <c r="U293" s="4">
        <v>-0.34491194832376998</v>
      </c>
      <c r="V293" t="s">
        <v>1054</v>
      </c>
      <c r="W293" t="s">
        <v>1056</v>
      </c>
    </row>
    <row r="294" spans="1:23" x14ac:dyDescent="0.25">
      <c r="A294" t="s">
        <v>305</v>
      </c>
      <c r="B294" s="2">
        <v>45427</v>
      </c>
      <c r="C294" t="s">
        <v>549</v>
      </c>
      <c r="D294" t="s">
        <v>830</v>
      </c>
      <c r="E294" t="s">
        <v>535</v>
      </c>
      <c r="F294" t="s">
        <v>538</v>
      </c>
      <c r="G294" t="s">
        <v>546</v>
      </c>
      <c r="H294" t="s">
        <v>1045</v>
      </c>
      <c r="I294" s="3">
        <v>5008</v>
      </c>
      <c r="J294" s="4">
        <v>0.09</v>
      </c>
      <c r="K294" s="3">
        <v>4557.28</v>
      </c>
      <c r="L294" s="3">
        <v>3403.76</v>
      </c>
      <c r="M294" s="5">
        <v>1</v>
      </c>
      <c r="N294" s="3">
        <v>66</v>
      </c>
      <c r="O294" s="6">
        <v>0.35</v>
      </c>
      <c r="P294" s="3">
        <v>4557.28</v>
      </c>
      <c r="Q294" s="3">
        <v>3469.76</v>
      </c>
      <c r="R294" s="3">
        <v>3469.76</v>
      </c>
      <c r="S294" s="3">
        <v>1087.5199999999995</v>
      </c>
      <c r="T294" s="4">
        <v>0.23863357090194101</v>
      </c>
      <c r="U294" s="4">
        <v>-0.11136642909805899</v>
      </c>
      <c r="V294" t="s">
        <v>1054</v>
      </c>
      <c r="W294" t="s">
        <v>1059</v>
      </c>
    </row>
    <row r="295" spans="1:23" x14ac:dyDescent="0.25">
      <c r="A295" t="s">
        <v>306</v>
      </c>
      <c r="B295" s="2">
        <v>45426</v>
      </c>
      <c r="C295" t="s">
        <v>547</v>
      </c>
      <c r="D295" t="s">
        <v>831</v>
      </c>
      <c r="E295" t="s">
        <v>537</v>
      </c>
      <c r="F295" t="s">
        <v>542</v>
      </c>
      <c r="G295" t="s">
        <v>545</v>
      </c>
      <c r="H295" t="s">
        <v>1044</v>
      </c>
      <c r="I295" s="3">
        <v>5784</v>
      </c>
      <c r="J295" s="4">
        <v>0.14000000000000001</v>
      </c>
      <c r="K295" s="3">
        <v>4974.24</v>
      </c>
      <c r="L295" s="3">
        <v>3130.2</v>
      </c>
      <c r="M295" s="5">
        <v>3</v>
      </c>
      <c r="N295" s="3">
        <v>12</v>
      </c>
      <c r="O295" s="6">
        <v>0.28999999999999998</v>
      </c>
      <c r="P295" s="3">
        <v>14922.72</v>
      </c>
      <c r="Q295" s="3">
        <v>3142.2</v>
      </c>
      <c r="R295" s="3">
        <v>9426.5999999999985</v>
      </c>
      <c r="S295" s="3">
        <v>5496.1200000000008</v>
      </c>
      <c r="T295" s="4">
        <v>0.36830550998745498</v>
      </c>
      <c r="U295" s="4">
        <v>7.8305509987455002E-2</v>
      </c>
      <c r="V295" t="s">
        <v>1058</v>
      </c>
      <c r="W295" t="s">
        <v>1055</v>
      </c>
    </row>
    <row r="296" spans="1:23" x14ac:dyDescent="0.25">
      <c r="A296" t="s">
        <v>307</v>
      </c>
      <c r="B296" s="2">
        <v>45436</v>
      </c>
      <c r="C296" t="s">
        <v>548</v>
      </c>
      <c r="D296" t="s">
        <v>832</v>
      </c>
      <c r="E296" t="s">
        <v>537</v>
      </c>
      <c r="F296" t="s">
        <v>541</v>
      </c>
      <c r="G296" t="s">
        <v>545</v>
      </c>
      <c r="H296" t="s">
        <v>1045</v>
      </c>
      <c r="I296" s="3">
        <v>2038</v>
      </c>
      <c r="J296" s="4">
        <v>0.28000000000000003</v>
      </c>
      <c r="K296" s="3">
        <v>1467.36</v>
      </c>
      <c r="L296" s="3">
        <v>1289.83</v>
      </c>
      <c r="M296" s="5">
        <v>2</v>
      </c>
      <c r="N296" s="3">
        <v>39</v>
      </c>
      <c r="O296" s="6">
        <v>0.42</v>
      </c>
      <c r="P296" s="3">
        <v>2934.72</v>
      </c>
      <c r="Q296" s="3">
        <v>1328.83</v>
      </c>
      <c r="R296" s="3">
        <v>2657.66</v>
      </c>
      <c r="S296" s="3">
        <v>277.05999999999995</v>
      </c>
      <c r="T296" s="4">
        <v>9.4407643659360996E-2</v>
      </c>
      <c r="U296" s="4">
        <v>-0.32559235634063899</v>
      </c>
      <c r="V296" t="s">
        <v>1054</v>
      </c>
      <c r="W296" t="s">
        <v>1056</v>
      </c>
    </row>
    <row r="297" spans="1:23" x14ac:dyDescent="0.25">
      <c r="A297" t="s">
        <v>308</v>
      </c>
      <c r="B297" s="2">
        <v>45419</v>
      </c>
      <c r="C297" t="s">
        <v>550</v>
      </c>
      <c r="D297" t="s">
        <v>833</v>
      </c>
      <c r="E297" t="s">
        <v>536</v>
      </c>
      <c r="F297" t="s">
        <v>539</v>
      </c>
      <c r="G297" t="s">
        <v>546</v>
      </c>
      <c r="H297" t="s">
        <v>1042</v>
      </c>
      <c r="I297" s="3">
        <v>3500</v>
      </c>
      <c r="J297" s="4">
        <v>0.35</v>
      </c>
      <c r="K297" s="3">
        <v>2275</v>
      </c>
      <c r="L297" s="3">
        <v>2001.04</v>
      </c>
      <c r="M297" s="5">
        <v>2</v>
      </c>
      <c r="N297" s="3">
        <v>25</v>
      </c>
      <c r="O297" s="6">
        <v>0.35</v>
      </c>
      <c r="P297" s="3">
        <v>4550</v>
      </c>
      <c r="Q297" s="3">
        <v>2026.04</v>
      </c>
      <c r="R297" s="3">
        <v>4052.08</v>
      </c>
      <c r="S297" s="3">
        <v>497.92000000000007</v>
      </c>
      <c r="T297" s="4">
        <v>0.109432967032967</v>
      </c>
      <c r="U297" s="4">
        <v>-0.240567032967033</v>
      </c>
      <c r="V297" t="s">
        <v>1054</v>
      </c>
      <c r="W297" t="s">
        <v>1056</v>
      </c>
    </row>
    <row r="298" spans="1:23" x14ac:dyDescent="0.25">
      <c r="A298" t="s">
        <v>309</v>
      </c>
      <c r="B298" s="2">
        <v>45324</v>
      </c>
      <c r="C298" t="s">
        <v>548</v>
      </c>
      <c r="D298" t="s">
        <v>834</v>
      </c>
      <c r="E298" t="s">
        <v>535</v>
      </c>
      <c r="F298" t="s">
        <v>538</v>
      </c>
      <c r="G298" t="s">
        <v>546</v>
      </c>
      <c r="H298" t="s">
        <v>1043</v>
      </c>
      <c r="I298" s="3">
        <v>3323</v>
      </c>
      <c r="J298" s="4">
        <v>0.06</v>
      </c>
      <c r="K298" s="3">
        <v>3123.62</v>
      </c>
      <c r="L298" s="3">
        <v>1763.54</v>
      </c>
      <c r="M298" s="5">
        <v>1</v>
      </c>
      <c r="N298" s="3">
        <v>18</v>
      </c>
      <c r="O298" s="6">
        <v>0.44</v>
      </c>
      <c r="P298" s="3">
        <v>3123.62</v>
      </c>
      <c r="Q298" s="3">
        <v>1781.54</v>
      </c>
      <c r="R298" s="3">
        <v>1781.54</v>
      </c>
      <c r="S298" s="3">
        <v>1342.08</v>
      </c>
      <c r="T298" s="4">
        <v>0.42965533579628801</v>
      </c>
      <c r="U298" s="4">
        <v>-1.0344664203712E-2</v>
      </c>
      <c r="V298" t="s">
        <v>1054</v>
      </c>
      <c r="W298" t="s">
        <v>1059</v>
      </c>
    </row>
    <row r="299" spans="1:23" x14ac:dyDescent="0.25">
      <c r="A299" t="s">
        <v>310</v>
      </c>
      <c r="B299" s="2">
        <v>45467</v>
      </c>
      <c r="C299" t="s">
        <v>547</v>
      </c>
      <c r="D299" t="s">
        <v>835</v>
      </c>
      <c r="E299" t="s">
        <v>537</v>
      </c>
      <c r="F299" t="s">
        <v>542</v>
      </c>
      <c r="G299" t="s">
        <v>545</v>
      </c>
      <c r="H299" t="s">
        <v>1042</v>
      </c>
      <c r="I299" s="3">
        <v>5280</v>
      </c>
      <c r="J299" s="4">
        <v>0.26</v>
      </c>
      <c r="K299" s="3">
        <v>3907.2</v>
      </c>
      <c r="L299" s="3">
        <v>3578.26</v>
      </c>
      <c r="M299" s="5">
        <v>1</v>
      </c>
      <c r="N299" s="3">
        <v>111</v>
      </c>
      <c r="O299" s="6">
        <v>0.37</v>
      </c>
      <c r="P299" s="3">
        <v>3907.2</v>
      </c>
      <c r="Q299" s="3">
        <v>3689.26</v>
      </c>
      <c r="R299" s="3">
        <v>3689.26</v>
      </c>
      <c r="S299" s="3">
        <v>217.9399999999996</v>
      </c>
      <c r="T299" s="4">
        <v>5.57790745290744E-2</v>
      </c>
      <c r="U299" s="4">
        <v>-0.314220925470926</v>
      </c>
      <c r="V299" t="s">
        <v>1054</v>
      </c>
      <c r="W299" t="s">
        <v>1056</v>
      </c>
    </row>
    <row r="300" spans="1:23" x14ac:dyDescent="0.25">
      <c r="A300" t="s">
        <v>311</v>
      </c>
      <c r="B300" s="2">
        <v>45406</v>
      </c>
      <c r="C300" t="s">
        <v>547</v>
      </c>
      <c r="D300" t="s">
        <v>836</v>
      </c>
      <c r="E300" t="s">
        <v>536</v>
      </c>
      <c r="F300" t="s">
        <v>544</v>
      </c>
      <c r="G300" t="s">
        <v>545</v>
      </c>
      <c r="H300" t="s">
        <v>1042</v>
      </c>
      <c r="I300" s="3">
        <v>7411</v>
      </c>
      <c r="J300" s="4">
        <v>0.26</v>
      </c>
      <c r="K300" s="3">
        <v>5484.14</v>
      </c>
      <c r="L300" s="3">
        <v>4923.1099999999997</v>
      </c>
      <c r="M300" s="5">
        <v>2</v>
      </c>
      <c r="N300" s="3">
        <v>132</v>
      </c>
      <c r="O300" s="6">
        <v>0.44</v>
      </c>
      <c r="P300" s="3">
        <v>10968.28</v>
      </c>
      <c r="Q300" s="3">
        <v>5055.1099999999997</v>
      </c>
      <c r="R300" s="3">
        <v>10110.219999999999</v>
      </c>
      <c r="S300" s="3">
        <v>858.06000000000131</v>
      </c>
      <c r="T300" s="4">
        <v>7.8231044429938099E-2</v>
      </c>
      <c r="U300" s="4">
        <v>-0.361768955570062</v>
      </c>
      <c r="V300" t="s">
        <v>1054</v>
      </c>
      <c r="W300" t="s">
        <v>1056</v>
      </c>
    </row>
    <row r="301" spans="1:23" x14ac:dyDescent="0.25">
      <c r="A301" t="s">
        <v>312</v>
      </c>
      <c r="B301" s="2">
        <v>45410</v>
      </c>
      <c r="C301" t="s">
        <v>547</v>
      </c>
      <c r="D301" t="s">
        <v>837</v>
      </c>
      <c r="E301" t="s">
        <v>537</v>
      </c>
      <c r="F301" t="s">
        <v>541</v>
      </c>
      <c r="G301" t="s">
        <v>545</v>
      </c>
      <c r="H301" t="s">
        <v>1045</v>
      </c>
      <c r="I301" s="3">
        <v>3539</v>
      </c>
      <c r="J301" s="4">
        <v>0.28999999999999998</v>
      </c>
      <c r="K301" s="3">
        <v>2512.69</v>
      </c>
      <c r="L301" s="3">
        <v>1799.84</v>
      </c>
      <c r="M301" s="5">
        <v>2</v>
      </c>
      <c r="N301" s="3">
        <v>150</v>
      </c>
      <c r="O301" s="6">
        <v>0.34</v>
      </c>
      <c r="P301" s="3">
        <v>5025.38</v>
      </c>
      <c r="Q301" s="3">
        <v>1949.84</v>
      </c>
      <c r="R301" s="3">
        <v>3899.68</v>
      </c>
      <c r="S301" s="3">
        <v>1125.7000000000003</v>
      </c>
      <c r="T301" s="4">
        <v>0.22400296097011599</v>
      </c>
      <c r="U301" s="4">
        <v>-0.11599703902988399</v>
      </c>
      <c r="V301" t="s">
        <v>1054</v>
      </c>
      <c r="W301" t="s">
        <v>1056</v>
      </c>
    </row>
    <row r="302" spans="1:23" x14ac:dyDescent="0.25">
      <c r="A302" t="s">
        <v>313</v>
      </c>
      <c r="B302" s="2">
        <v>45313</v>
      </c>
      <c r="C302" t="s">
        <v>547</v>
      </c>
      <c r="D302" t="s">
        <v>838</v>
      </c>
      <c r="E302" t="s">
        <v>535</v>
      </c>
      <c r="F302" t="s">
        <v>540</v>
      </c>
      <c r="G302" t="s">
        <v>545</v>
      </c>
      <c r="H302" t="s">
        <v>1042</v>
      </c>
      <c r="I302" s="3">
        <v>1953</v>
      </c>
      <c r="J302" s="4">
        <v>0.22</v>
      </c>
      <c r="K302" s="3">
        <v>1523.34</v>
      </c>
      <c r="L302" s="3">
        <v>1433.75</v>
      </c>
      <c r="M302" s="5">
        <v>1</v>
      </c>
      <c r="N302" s="3">
        <v>74</v>
      </c>
      <c r="O302" s="6">
        <v>0.34</v>
      </c>
      <c r="P302" s="3">
        <v>1523.34</v>
      </c>
      <c r="Q302" s="3">
        <v>1507.75</v>
      </c>
      <c r="R302" s="3">
        <v>1507.75</v>
      </c>
      <c r="S302" s="3">
        <v>15.589999999999918</v>
      </c>
      <c r="T302" s="4">
        <v>1.0234090879252099E-2</v>
      </c>
      <c r="U302" s="4">
        <v>-0.32976590912074799</v>
      </c>
      <c r="V302" t="s">
        <v>1054</v>
      </c>
      <c r="W302" t="s">
        <v>1056</v>
      </c>
    </row>
    <row r="303" spans="1:23" x14ac:dyDescent="0.25">
      <c r="A303" t="s">
        <v>314</v>
      </c>
      <c r="B303" s="2">
        <v>45449</v>
      </c>
      <c r="C303" t="s">
        <v>548</v>
      </c>
      <c r="D303" t="s">
        <v>839</v>
      </c>
      <c r="E303" t="s">
        <v>537</v>
      </c>
      <c r="F303" t="s">
        <v>542</v>
      </c>
      <c r="G303" t="s">
        <v>545</v>
      </c>
      <c r="H303" t="s">
        <v>1044</v>
      </c>
      <c r="I303" s="3">
        <v>2585</v>
      </c>
      <c r="J303" s="4">
        <v>0.28999999999999998</v>
      </c>
      <c r="K303" s="3">
        <v>1835.35</v>
      </c>
      <c r="L303" s="3">
        <v>1640.89</v>
      </c>
      <c r="M303" s="5">
        <v>1</v>
      </c>
      <c r="N303" s="3">
        <v>171</v>
      </c>
      <c r="O303" s="6">
        <v>0.3</v>
      </c>
      <c r="P303" s="3">
        <v>1835.35</v>
      </c>
      <c r="Q303" s="3">
        <v>1811.89</v>
      </c>
      <c r="R303" s="3">
        <v>1811.89</v>
      </c>
      <c r="S303" s="3">
        <v>23.459999999999809</v>
      </c>
      <c r="T303" s="4">
        <v>1.2782303102950299E-2</v>
      </c>
      <c r="U303" s="4">
        <v>-0.28721769689705001</v>
      </c>
      <c r="V303" t="s">
        <v>1054</v>
      </c>
      <c r="W303" t="s">
        <v>1056</v>
      </c>
    </row>
    <row r="304" spans="1:23" x14ac:dyDescent="0.25">
      <c r="A304" t="s">
        <v>315</v>
      </c>
      <c r="B304" s="2">
        <v>45329</v>
      </c>
      <c r="C304" t="s">
        <v>548</v>
      </c>
      <c r="D304" t="s">
        <v>840</v>
      </c>
      <c r="E304" t="s">
        <v>536</v>
      </c>
      <c r="F304" t="s">
        <v>539</v>
      </c>
      <c r="G304" t="s">
        <v>545</v>
      </c>
      <c r="H304" t="s">
        <v>1045</v>
      </c>
      <c r="I304" s="3">
        <v>5337</v>
      </c>
      <c r="J304" s="4">
        <v>7.0000000000000007E-2</v>
      </c>
      <c r="K304" s="3">
        <v>4963.41</v>
      </c>
      <c r="L304" s="3">
        <v>3209.88</v>
      </c>
      <c r="M304" s="5">
        <v>2</v>
      </c>
      <c r="N304" s="3">
        <v>36</v>
      </c>
      <c r="O304" s="6">
        <v>0.3</v>
      </c>
      <c r="P304" s="3">
        <v>9926.82</v>
      </c>
      <c r="Q304" s="3">
        <v>3245.88</v>
      </c>
      <c r="R304" s="3">
        <v>6491.76</v>
      </c>
      <c r="S304" s="3">
        <v>3435.0599999999995</v>
      </c>
      <c r="T304" s="4">
        <v>0.34603830834043497</v>
      </c>
      <c r="U304" s="4">
        <v>4.6038308340435E-2</v>
      </c>
      <c r="V304" t="s">
        <v>1058</v>
      </c>
      <c r="W304" t="s">
        <v>1059</v>
      </c>
    </row>
    <row r="305" spans="1:23" x14ac:dyDescent="0.25">
      <c r="A305" t="s">
        <v>316</v>
      </c>
      <c r="B305" s="2">
        <v>45400</v>
      </c>
      <c r="C305" t="s">
        <v>548</v>
      </c>
      <c r="D305" t="s">
        <v>841</v>
      </c>
      <c r="E305" t="s">
        <v>537</v>
      </c>
      <c r="F305" t="s">
        <v>541</v>
      </c>
      <c r="G305" t="s">
        <v>546</v>
      </c>
      <c r="H305" t="s">
        <v>1044</v>
      </c>
      <c r="I305" s="3">
        <v>7772</v>
      </c>
      <c r="J305" s="4">
        <v>0.31</v>
      </c>
      <c r="K305" s="3">
        <v>5362.68</v>
      </c>
      <c r="L305" s="3">
        <v>3864.1</v>
      </c>
      <c r="M305" s="5">
        <v>3</v>
      </c>
      <c r="N305" s="3">
        <v>181</v>
      </c>
      <c r="O305" s="6">
        <v>0.33</v>
      </c>
      <c r="P305" s="3">
        <v>16088.04</v>
      </c>
      <c r="Q305" s="3">
        <v>4045.1</v>
      </c>
      <c r="R305" s="3">
        <v>12135.3</v>
      </c>
      <c r="S305" s="3">
        <v>3952.7400000000016</v>
      </c>
      <c r="T305" s="4">
        <v>0.24569431702059399</v>
      </c>
      <c r="U305" s="4">
        <v>-8.4305682979405994E-2</v>
      </c>
      <c r="V305" t="s">
        <v>1054</v>
      </c>
      <c r="W305" t="s">
        <v>1056</v>
      </c>
    </row>
    <row r="306" spans="1:23" x14ac:dyDescent="0.25">
      <c r="A306" t="s">
        <v>317</v>
      </c>
      <c r="B306" s="2">
        <v>45342</v>
      </c>
      <c r="C306" t="s">
        <v>547</v>
      </c>
      <c r="D306" t="s">
        <v>842</v>
      </c>
      <c r="E306" t="s">
        <v>536</v>
      </c>
      <c r="F306" t="s">
        <v>539</v>
      </c>
      <c r="G306" t="s">
        <v>546</v>
      </c>
      <c r="H306" t="s">
        <v>1043</v>
      </c>
      <c r="I306" s="3">
        <v>424</v>
      </c>
      <c r="J306" s="4">
        <v>0.22</v>
      </c>
      <c r="K306" s="3">
        <v>330.72</v>
      </c>
      <c r="L306" s="3">
        <v>296.74</v>
      </c>
      <c r="M306" s="5">
        <v>3</v>
      </c>
      <c r="N306" s="3">
        <v>92</v>
      </c>
      <c r="O306" s="6">
        <v>0.28000000000000003</v>
      </c>
      <c r="P306" s="3">
        <v>992.16000000000008</v>
      </c>
      <c r="Q306" s="3">
        <v>388.74</v>
      </c>
      <c r="R306" s="3">
        <v>1166.22</v>
      </c>
      <c r="S306" s="3">
        <v>-174.05999999999995</v>
      </c>
      <c r="T306" s="4">
        <v>-0.175435413642961</v>
      </c>
      <c r="U306" s="4">
        <v>-0.45543541364296097</v>
      </c>
      <c r="V306" t="s">
        <v>1054</v>
      </c>
      <c r="W306" t="s">
        <v>1056</v>
      </c>
    </row>
    <row r="307" spans="1:23" x14ac:dyDescent="0.25">
      <c r="A307" t="s">
        <v>318</v>
      </c>
      <c r="B307" s="2">
        <v>45299</v>
      </c>
      <c r="C307" t="s">
        <v>549</v>
      </c>
      <c r="D307" t="s">
        <v>843</v>
      </c>
      <c r="E307" t="s">
        <v>535</v>
      </c>
      <c r="F307" t="s">
        <v>540</v>
      </c>
      <c r="G307" t="s">
        <v>546</v>
      </c>
      <c r="H307" t="s">
        <v>1044</v>
      </c>
      <c r="I307" s="3">
        <v>1974</v>
      </c>
      <c r="J307" s="4">
        <v>0.16</v>
      </c>
      <c r="K307" s="3">
        <v>1658.16</v>
      </c>
      <c r="L307" s="3">
        <v>1256.23</v>
      </c>
      <c r="M307" s="5">
        <v>1</v>
      </c>
      <c r="N307" s="3">
        <v>106</v>
      </c>
      <c r="O307" s="6">
        <v>0.4</v>
      </c>
      <c r="P307" s="3">
        <v>1658.16</v>
      </c>
      <c r="Q307" s="3">
        <v>1362.23</v>
      </c>
      <c r="R307" s="3">
        <v>1362.23</v>
      </c>
      <c r="S307" s="3">
        <v>295.93000000000006</v>
      </c>
      <c r="T307" s="4">
        <v>0.178468905292614</v>
      </c>
      <c r="U307" s="4">
        <v>-0.22153109470738599</v>
      </c>
      <c r="V307" t="s">
        <v>1054</v>
      </c>
      <c r="W307" t="s">
        <v>1055</v>
      </c>
    </row>
    <row r="308" spans="1:23" x14ac:dyDescent="0.25">
      <c r="A308" t="s">
        <v>319</v>
      </c>
      <c r="B308" s="2">
        <v>45318</v>
      </c>
      <c r="C308" t="s">
        <v>549</v>
      </c>
      <c r="D308" t="s">
        <v>844</v>
      </c>
      <c r="E308" t="s">
        <v>535</v>
      </c>
      <c r="F308" t="s">
        <v>538</v>
      </c>
      <c r="G308" t="s">
        <v>545</v>
      </c>
      <c r="H308" t="s">
        <v>1043</v>
      </c>
      <c r="I308" s="3">
        <v>99</v>
      </c>
      <c r="J308" s="4">
        <v>0.18</v>
      </c>
      <c r="K308" s="3">
        <v>81.180000000000007</v>
      </c>
      <c r="L308" s="3">
        <v>64.91</v>
      </c>
      <c r="M308" s="5">
        <v>2</v>
      </c>
      <c r="N308" s="3">
        <v>132</v>
      </c>
      <c r="O308" s="6">
        <v>0.31</v>
      </c>
      <c r="P308" s="3">
        <v>162.36000000000001</v>
      </c>
      <c r="Q308" s="3">
        <v>196.91</v>
      </c>
      <c r="R308" s="3">
        <v>393.82</v>
      </c>
      <c r="S308" s="3">
        <v>-231.45999999999998</v>
      </c>
      <c r="T308" s="4">
        <v>-1.42559743779256</v>
      </c>
      <c r="U308" s="4">
        <v>-1.73559743779256</v>
      </c>
      <c r="V308" t="s">
        <v>1057</v>
      </c>
      <c r="W308" t="s">
        <v>1055</v>
      </c>
    </row>
    <row r="309" spans="1:23" x14ac:dyDescent="0.25">
      <c r="A309" t="s">
        <v>320</v>
      </c>
      <c r="B309" s="2">
        <v>45318</v>
      </c>
      <c r="C309" t="s">
        <v>549</v>
      </c>
      <c r="D309" t="s">
        <v>845</v>
      </c>
      <c r="E309" t="s">
        <v>535</v>
      </c>
      <c r="F309" t="s">
        <v>540</v>
      </c>
      <c r="G309" t="s">
        <v>545</v>
      </c>
      <c r="H309" t="s">
        <v>1044</v>
      </c>
      <c r="I309" s="3">
        <v>4360</v>
      </c>
      <c r="J309" s="4">
        <v>0.11</v>
      </c>
      <c r="K309" s="3">
        <v>3880.4</v>
      </c>
      <c r="L309" s="3">
        <v>2509.1799999999998</v>
      </c>
      <c r="M309" s="5">
        <v>1</v>
      </c>
      <c r="N309" s="3">
        <v>63</v>
      </c>
      <c r="O309" s="6">
        <v>0.3</v>
      </c>
      <c r="P309" s="3">
        <v>3880.4</v>
      </c>
      <c r="Q309" s="3">
        <v>2572.1799999999998</v>
      </c>
      <c r="R309" s="3">
        <v>2572.1799999999998</v>
      </c>
      <c r="S309" s="3">
        <v>1308.2200000000003</v>
      </c>
      <c r="T309" s="4">
        <v>0.33713534687145702</v>
      </c>
      <c r="U309" s="4">
        <v>3.7135346871457003E-2</v>
      </c>
      <c r="V309" t="s">
        <v>1058</v>
      </c>
      <c r="W309" t="s">
        <v>1055</v>
      </c>
    </row>
    <row r="310" spans="1:23" x14ac:dyDescent="0.25">
      <c r="A310" t="s">
        <v>321</v>
      </c>
      <c r="B310" s="2">
        <v>45312</v>
      </c>
      <c r="C310" t="s">
        <v>550</v>
      </c>
      <c r="D310" t="s">
        <v>846</v>
      </c>
      <c r="E310" t="s">
        <v>537</v>
      </c>
      <c r="F310" t="s">
        <v>541</v>
      </c>
      <c r="G310" t="s">
        <v>545</v>
      </c>
      <c r="H310" t="s">
        <v>1042</v>
      </c>
      <c r="I310" s="3">
        <v>6411</v>
      </c>
      <c r="J310" s="4">
        <v>0.19</v>
      </c>
      <c r="K310" s="3">
        <v>5192.91</v>
      </c>
      <c r="L310" s="3">
        <v>4764.21</v>
      </c>
      <c r="M310" s="5">
        <v>2</v>
      </c>
      <c r="N310" s="3">
        <v>75</v>
      </c>
      <c r="O310" s="6">
        <v>0.37</v>
      </c>
      <c r="P310" s="3">
        <v>10385.82</v>
      </c>
      <c r="Q310" s="3">
        <v>4839.21</v>
      </c>
      <c r="R310" s="3">
        <v>9678.42</v>
      </c>
      <c r="S310" s="3">
        <v>707.39999999999964</v>
      </c>
      <c r="T310" s="4">
        <v>6.8112098996516393E-2</v>
      </c>
      <c r="U310" s="4">
        <v>-0.301887901003484</v>
      </c>
      <c r="V310" t="s">
        <v>1054</v>
      </c>
      <c r="W310" t="s">
        <v>1055</v>
      </c>
    </row>
    <row r="311" spans="1:23" x14ac:dyDescent="0.25">
      <c r="A311" t="s">
        <v>322</v>
      </c>
      <c r="B311" s="2">
        <v>45321</v>
      </c>
      <c r="C311" t="s">
        <v>547</v>
      </c>
      <c r="D311" t="s">
        <v>847</v>
      </c>
      <c r="E311" t="s">
        <v>537</v>
      </c>
      <c r="F311" t="s">
        <v>542</v>
      </c>
      <c r="G311" t="s">
        <v>546</v>
      </c>
      <c r="H311" t="s">
        <v>1042</v>
      </c>
      <c r="I311" s="3">
        <v>4570</v>
      </c>
      <c r="J311" s="4">
        <v>0.11</v>
      </c>
      <c r="K311" s="3">
        <v>4067.3</v>
      </c>
      <c r="L311" s="3">
        <v>2769.01</v>
      </c>
      <c r="M311" s="5">
        <v>3</v>
      </c>
      <c r="N311" s="3">
        <v>80</v>
      </c>
      <c r="O311" s="6">
        <v>0.38</v>
      </c>
      <c r="P311" s="3">
        <v>12201.900000000001</v>
      </c>
      <c r="Q311" s="3">
        <v>2849.01</v>
      </c>
      <c r="R311" s="3">
        <v>8547.0300000000007</v>
      </c>
      <c r="S311" s="3">
        <v>3654.8700000000008</v>
      </c>
      <c r="T311" s="4">
        <v>0.29953285963661402</v>
      </c>
      <c r="U311" s="4">
        <v>-8.0467140363385994E-2</v>
      </c>
      <c r="V311" t="s">
        <v>1054</v>
      </c>
      <c r="W311" t="s">
        <v>1055</v>
      </c>
    </row>
    <row r="312" spans="1:23" x14ac:dyDescent="0.25">
      <c r="A312" t="s">
        <v>323</v>
      </c>
      <c r="B312" s="2">
        <v>45388</v>
      </c>
      <c r="C312" t="s">
        <v>549</v>
      </c>
      <c r="D312" t="s">
        <v>848</v>
      </c>
      <c r="E312" t="s">
        <v>535</v>
      </c>
      <c r="F312" t="s">
        <v>540</v>
      </c>
      <c r="G312" t="s">
        <v>545</v>
      </c>
      <c r="H312" t="s">
        <v>1042</v>
      </c>
      <c r="I312" s="3">
        <v>2683</v>
      </c>
      <c r="J312" s="4">
        <v>0.26</v>
      </c>
      <c r="K312" s="3">
        <v>1985.42</v>
      </c>
      <c r="L312" s="3">
        <v>1323.21</v>
      </c>
      <c r="M312" s="5">
        <v>3</v>
      </c>
      <c r="N312" s="3">
        <v>192</v>
      </c>
      <c r="O312" s="6">
        <v>0.31</v>
      </c>
      <c r="P312" s="3">
        <v>5956.26</v>
      </c>
      <c r="Q312" s="3">
        <v>1515.21</v>
      </c>
      <c r="R312" s="3">
        <v>4545.63</v>
      </c>
      <c r="S312" s="3">
        <v>1410.63</v>
      </c>
      <c r="T312" s="4">
        <v>0.236831501647007</v>
      </c>
      <c r="U312" s="4">
        <v>-7.3168498352992994E-2</v>
      </c>
      <c r="V312" t="s">
        <v>1054</v>
      </c>
      <c r="W312" t="s">
        <v>1056</v>
      </c>
    </row>
    <row r="313" spans="1:23" x14ac:dyDescent="0.25">
      <c r="A313" t="s">
        <v>324</v>
      </c>
      <c r="B313" s="2">
        <v>45319</v>
      </c>
      <c r="C313" t="s">
        <v>547</v>
      </c>
      <c r="D313" t="s">
        <v>849</v>
      </c>
      <c r="E313" t="s">
        <v>537</v>
      </c>
      <c r="F313" t="s">
        <v>541</v>
      </c>
      <c r="G313" t="s">
        <v>546</v>
      </c>
      <c r="H313" t="s">
        <v>1042</v>
      </c>
      <c r="I313" s="3">
        <v>4548</v>
      </c>
      <c r="J313" s="4">
        <v>0.24</v>
      </c>
      <c r="K313" s="3">
        <v>3456.48</v>
      </c>
      <c r="L313" s="3">
        <v>2931.42</v>
      </c>
      <c r="M313" s="5">
        <v>1</v>
      </c>
      <c r="N313" s="3">
        <v>167</v>
      </c>
      <c r="O313" s="6">
        <v>0.28000000000000003</v>
      </c>
      <c r="P313" s="3">
        <v>3456.48</v>
      </c>
      <c r="Q313" s="3">
        <v>3098.42</v>
      </c>
      <c r="R313" s="3">
        <v>3098.42</v>
      </c>
      <c r="S313" s="3">
        <v>358.05999999999995</v>
      </c>
      <c r="T313" s="4">
        <v>0.103590936444012</v>
      </c>
      <c r="U313" s="4">
        <v>-0.17640906355598801</v>
      </c>
      <c r="V313" t="s">
        <v>1054</v>
      </c>
      <c r="W313" t="s">
        <v>1056</v>
      </c>
    </row>
    <row r="314" spans="1:23" x14ac:dyDescent="0.25">
      <c r="A314" t="s">
        <v>325</v>
      </c>
      <c r="B314" s="2">
        <v>45402</v>
      </c>
      <c r="C314" t="s">
        <v>548</v>
      </c>
      <c r="D314" t="s">
        <v>850</v>
      </c>
      <c r="E314" t="s">
        <v>537</v>
      </c>
      <c r="F314" t="s">
        <v>541</v>
      </c>
      <c r="G314" t="s">
        <v>545</v>
      </c>
      <c r="H314" t="s">
        <v>1045</v>
      </c>
      <c r="I314" s="3">
        <v>7569</v>
      </c>
      <c r="J314" s="4">
        <v>0.23</v>
      </c>
      <c r="K314" s="3">
        <v>5828.13</v>
      </c>
      <c r="L314" s="3">
        <v>4116.57</v>
      </c>
      <c r="M314" s="5">
        <v>3</v>
      </c>
      <c r="N314" s="3">
        <v>109</v>
      </c>
      <c r="O314" s="6">
        <v>0.38</v>
      </c>
      <c r="P314" s="3">
        <v>17484.39</v>
      </c>
      <c r="Q314" s="3">
        <v>4225.57</v>
      </c>
      <c r="R314" s="3">
        <v>12676.71</v>
      </c>
      <c r="S314" s="3">
        <v>4807.68</v>
      </c>
      <c r="T314" s="4">
        <v>0.27496984452989198</v>
      </c>
      <c r="U314" s="4">
        <v>-0.10503015547010799</v>
      </c>
      <c r="V314" t="s">
        <v>1054</v>
      </c>
      <c r="W314" t="s">
        <v>1056</v>
      </c>
    </row>
    <row r="315" spans="1:23" x14ac:dyDescent="0.25">
      <c r="A315" t="s">
        <v>326</v>
      </c>
      <c r="B315" s="2">
        <v>45352</v>
      </c>
      <c r="C315" t="s">
        <v>550</v>
      </c>
      <c r="D315" t="s">
        <v>851</v>
      </c>
      <c r="E315" t="s">
        <v>535</v>
      </c>
      <c r="F315" t="s">
        <v>540</v>
      </c>
      <c r="G315" t="s">
        <v>546</v>
      </c>
      <c r="H315" t="s">
        <v>1045</v>
      </c>
      <c r="I315" s="3">
        <v>7296</v>
      </c>
      <c r="J315" s="4">
        <v>0.11</v>
      </c>
      <c r="K315" s="3">
        <v>6493.44</v>
      </c>
      <c r="L315" s="3">
        <v>5338.61</v>
      </c>
      <c r="M315" s="5">
        <v>3</v>
      </c>
      <c r="N315" s="3">
        <v>158</v>
      </c>
      <c r="O315" s="6">
        <v>0.41</v>
      </c>
      <c r="P315" s="3">
        <v>19480.32</v>
      </c>
      <c r="Q315" s="3">
        <v>5496.61</v>
      </c>
      <c r="R315" s="3">
        <v>16489.829999999998</v>
      </c>
      <c r="S315" s="3">
        <v>2990.4900000000016</v>
      </c>
      <c r="T315" s="4">
        <v>0.15351339197713401</v>
      </c>
      <c r="U315" s="4">
        <v>-0.25648660802286599</v>
      </c>
      <c r="V315" t="s">
        <v>1054</v>
      </c>
      <c r="W315" t="s">
        <v>1055</v>
      </c>
    </row>
    <row r="316" spans="1:23" x14ac:dyDescent="0.25">
      <c r="A316" t="s">
        <v>327</v>
      </c>
      <c r="B316" s="2">
        <v>45339</v>
      </c>
      <c r="C316" t="s">
        <v>547</v>
      </c>
      <c r="D316" t="s">
        <v>852</v>
      </c>
      <c r="E316" t="s">
        <v>537</v>
      </c>
      <c r="F316" t="s">
        <v>543</v>
      </c>
      <c r="G316" t="s">
        <v>546</v>
      </c>
      <c r="H316" t="s">
        <v>1045</v>
      </c>
      <c r="I316" s="3">
        <v>2978</v>
      </c>
      <c r="J316" s="4">
        <v>0.17</v>
      </c>
      <c r="K316" s="3">
        <v>2471.7399999999998</v>
      </c>
      <c r="L316" s="3">
        <v>2176.56</v>
      </c>
      <c r="M316" s="5">
        <v>3</v>
      </c>
      <c r="N316" s="3">
        <v>146</v>
      </c>
      <c r="O316" s="6">
        <v>0.44</v>
      </c>
      <c r="P316" s="3">
        <v>7415.2199999999993</v>
      </c>
      <c r="Q316" s="3">
        <v>2322.56</v>
      </c>
      <c r="R316" s="3">
        <v>6967.68</v>
      </c>
      <c r="S316" s="3">
        <v>447.53999999999905</v>
      </c>
      <c r="T316" s="4">
        <v>6.0354244378453901E-2</v>
      </c>
      <c r="U316" s="4">
        <v>-0.37964575562154601</v>
      </c>
      <c r="V316" t="s">
        <v>1054</v>
      </c>
      <c r="W316" t="s">
        <v>1055</v>
      </c>
    </row>
    <row r="317" spans="1:23" x14ac:dyDescent="0.25">
      <c r="A317" t="s">
        <v>328</v>
      </c>
      <c r="B317" s="2">
        <v>45438</v>
      </c>
      <c r="C317" t="s">
        <v>550</v>
      </c>
      <c r="D317" t="s">
        <v>853</v>
      </c>
      <c r="E317" t="s">
        <v>535</v>
      </c>
      <c r="F317" t="s">
        <v>540</v>
      </c>
      <c r="G317" t="s">
        <v>546</v>
      </c>
      <c r="H317" t="s">
        <v>1042</v>
      </c>
      <c r="I317" s="3">
        <v>6455</v>
      </c>
      <c r="J317" s="4">
        <v>0.34</v>
      </c>
      <c r="K317" s="3">
        <v>4260.3</v>
      </c>
      <c r="L317" s="3">
        <v>3102.07</v>
      </c>
      <c r="M317" s="5">
        <v>3</v>
      </c>
      <c r="N317" s="3">
        <v>123</v>
      </c>
      <c r="O317" s="6">
        <v>0.35</v>
      </c>
      <c r="P317" s="3">
        <v>12780.900000000001</v>
      </c>
      <c r="Q317" s="3">
        <v>3225.07</v>
      </c>
      <c r="R317" s="3">
        <v>9675.2100000000009</v>
      </c>
      <c r="S317" s="3">
        <v>3105.6900000000005</v>
      </c>
      <c r="T317" s="4">
        <v>0.24299462479168099</v>
      </c>
      <c r="U317" s="4">
        <v>-0.107005375208319</v>
      </c>
      <c r="V317" t="s">
        <v>1054</v>
      </c>
      <c r="W317" t="s">
        <v>1056</v>
      </c>
    </row>
    <row r="318" spans="1:23" x14ac:dyDescent="0.25">
      <c r="A318" t="s">
        <v>329</v>
      </c>
      <c r="B318" s="2">
        <v>45295</v>
      </c>
      <c r="C318" t="s">
        <v>548</v>
      </c>
      <c r="D318" t="s">
        <v>854</v>
      </c>
      <c r="E318" t="s">
        <v>536</v>
      </c>
      <c r="F318" t="s">
        <v>539</v>
      </c>
      <c r="G318" t="s">
        <v>545</v>
      </c>
      <c r="H318" t="s">
        <v>1044</v>
      </c>
      <c r="I318" s="3">
        <v>3392</v>
      </c>
      <c r="J318" s="4">
        <v>0.3</v>
      </c>
      <c r="K318" s="3">
        <v>2374.4</v>
      </c>
      <c r="L318" s="3">
        <v>2048.15</v>
      </c>
      <c r="M318" s="5">
        <v>2</v>
      </c>
      <c r="N318" s="3">
        <v>164</v>
      </c>
      <c r="O318" s="6">
        <v>0.45</v>
      </c>
      <c r="P318" s="3">
        <v>4748.8</v>
      </c>
      <c r="Q318" s="3">
        <v>2212.15</v>
      </c>
      <c r="R318" s="3">
        <v>4424.3</v>
      </c>
      <c r="S318" s="3">
        <v>324.5</v>
      </c>
      <c r="T318" s="4">
        <v>6.8333052560646895E-2</v>
      </c>
      <c r="U318" s="4">
        <v>-0.38166694743935298</v>
      </c>
      <c r="V318" t="s">
        <v>1054</v>
      </c>
      <c r="W318" t="s">
        <v>1056</v>
      </c>
    </row>
    <row r="319" spans="1:23" x14ac:dyDescent="0.25">
      <c r="A319" t="s">
        <v>330</v>
      </c>
      <c r="B319" s="2">
        <v>45326</v>
      </c>
      <c r="C319" t="s">
        <v>547</v>
      </c>
      <c r="D319" t="s">
        <v>855</v>
      </c>
      <c r="E319" t="s">
        <v>535</v>
      </c>
      <c r="F319" t="s">
        <v>540</v>
      </c>
      <c r="G319" t="s">
        <v>545</v>
      </c>
      <c r="H319" t="s">
        <v>1043</v>
      </c>
      <c r="I319" s="3">
        <v>2309</v>
      </c>
      <c r="J319" s="4">
        <v>0.11</v>
      </c>
      <c r="K319" s="3">
        <v>2055.0100000000002</v>
      </c>
      <c r="L319" s="3">
        <v>1492.07</v>
      </c>
      <c r="M319" s="5">
        <v>3</v>
      </c>
      <c r="N319" s="3">
        <v>160</v>
      </c>
      <c r="O319" s="6">
        <v>0.41</v>
      </c>
      <c r="P319" s="3">
        <v>6165.0300000000007</v>
      </c>
      <c r="Q319" s="3">
        <v>1652.07</v>
      </c>
      <c r="R319" s="3">
        <v>4956.21</v>
      </c>
      <c r="S319" s="3">
        <v>1208.8200000000006</v>
      </c>
      <c r="T319" s="4">
        <v>0.19607690473525699</v>
      </c>
      <c r="U319" s="4">
        <v>-0.21392309526474301</v>
      </c>
      <c r="V319" t="s">
        <v>1054</v>
      </c>
      <c r="W319" t="s">
        <v>1055</v>
      </c>
    </row>
    <row r="320" spans="1:23" x14ac:dyDescent="0.25">
      <c r="A320" t="s">
        <v>331</v>
      </c>
      <c r="B320" s="2">
        <v>45340</v>
      </c>
      <c r="C320" t="s">
        <v>547</v>
      </c>
      <c r="D320" t="s">
        <v>856</v>
      </c>
      <c r="E320" t="s">
        <v>536</v>
      </c>
      <c r="F320" t="s">
        <v>539</v>
      </c>
      <c r="G320" t="s">
        <v>546</v>
      </c>
      <c r="H320" t="s">
        <v>1044</v>
      </c>
      <c r="I320" s="3">
        <v>5089</v>
      </c>
      <c r="J320" s="4">
        <v>0.32</v>
      </c>
      <c r="K320" s="3">
        <v>3460.52</v>
      </c>
      <c r="L320" s="3">
        <v>2831.82</v>
      </c>
      <c r="M320" s="5">
        <v>3</v>
      </c>
      <c r="N320" s="3">
        <v>187</v>
      </c>
      <c r="O320" s="6">
        <v>0.32</v>
      </c>
      <c r="P320" s="3">
        <v>10381.56</v>
      </c>
      <c r="Q320" s="3">
        <v>3018.82</v>
      </c>
      <c r="R320" s="3">
        <v>9056.4600000000009</v>
      </c>
      <c r="S320" s="3">
        <v>1325.0999999999985</v>
      </c>
      <c r="T320" s="4">
        <v>0.12763977668096099</v>
      </c>
      <c r="U320" s="4">
        <v>-0.19236022331903899</v>
      </c>
      <c r="V320" t="s">
        <v>1054</v>
      </c>
      <c r="W320" t="s">
        <v>1056</v>
      </c>
    </row>
    <row r="321" spans="1:23" x14ac:dyDescent="0.25">
      <c r="A321" t="s">
        <v>332</v>
      </c>
      <c r="B321" s="2">
        <v>45308</v>
      </c>
      <c r="C321" t="s">
        <v>550</v>
      </c>
      <c r="D321" t="s">
        <v>857</v>
      </c>
      <c r="E321" t="s">
        <v>536</v>
      </c>
      <c r="F321" t="s">
        <v>544</v>
      </c>
      <c r="G321" t="s">
        <v>546</v>
      </c>
      <c r="H321" t="s">
        <v>1044</v>
      </c>
      <c r="I321" s="3">
        <v>1723</v>
      </c>
      <c r="J321" s="4">
        <v>0.32</v>
      </c>
      <c r="K321" s="3">
        <v>1171.6400000000001</v>
      </c>
      <c r="L321" s="3">
        <v>973.47</v>
      </c>
      <c r="M321" s="5">
        <v>3</v>
      </c>
      <c r="N321" s="3">
        <v>173</v>
      </c>
      <c r="O321" s="6">
        <v>0.33</v>
      </c>
      <c r="P321" s="3">
        <v>3514.92</v>
      </c>
      <c r="Q321" s="3">
        <v>1146.47</v>
      </c>
      <c r="R321" s="3">
        <v>3439.41</v>
      </c>
      <c r="S321" s="3">
        <v>75.510000000000218</v>
      </c>
      <c r="T321" s="4">
        <v>2.1482707999044101E-2</v>
      </c>
      <c r="U321" s="4">
        <v>-0.30851729200095601</v>
      </c>
      <c r="V321" t="s">
        <v>1054</v>
      </c>
      <c r="W321" t="s">
        <v>1056</v>
      </c>
    </row>
    <row r="322" spans="1:23" x14ac:dyDescent="0.25">
      <c r="A322" t="s">
        <v>333</v>
      </c>
      <c r="B322" s="2">
        <v>45463</v>
      </c>
      <c r="C322" t="s">
        <v>550</v>
      </c>
      <c r="D322" t="s">
        <v>858</v>
      </c>
      <c r="E322" t="s">
        <v>537</v>
      </c>
      <c r="F322" t="s">
        <v>541</v>
      </c>
      <c r="G322" t="s">
        <v>546</v>
      </c>
      <c r="H322" t="s">
        <v>1044</v>
      </c>
      <c r="I322" s="3">
        <v>1961</v>
      </c>
      <c r="J322" s="4">
        <v>0.35</v>
      </c>
      <c r="K322" s="3">
        <v>1274.6500000000001</v>
      </c>
      <c r="L322" s="3">
        <v>1053.94</v>
      </c>
      <c r="M322" s="5">
        <v>1</v>
      </c>
      <c r="N322" s="3">
        <v>82</v>
      </c>
      <c r="O322" s="6">
        <v>0.38</v>
      </c>
      <c r="P322" s="3">
        <v>1274.6500000000001</v>
      </c>
      <c r="Q322" s="3">
        <v>1135.94</v>
      </c>
      <c r="R322" s="3">
        <v>1135.94</v>
      </c>
      <c r="S322" s="3">
        <v>138.71000000000004</v>
      </c>
      <c r="T322" s="4">
        <v>0.108822029576747</v>
      </c>
      <c r="U322" s="4">
        <v>-0.27117797042325298</v>
      </c>
      <c r="V322" t="s">
        <v>1054</v>
      </c>
      <c r="W322" t="s">
        <v>1056</v>
      </c>
    </row>
    <row r="323" spans="1:23" x14ac:dyDescent="0.25">
      <c r="A323" t="s">
        <v>334</v>
      </c>
      <c r="B323" s="2">
        <v>45449</v>
      </c>
      <c r="C323" t="s">
        <v>549</v>
      </c>
      <c r="D323" t="s">
        <v>859</v>
      </c>
      <c r="E323" t="s">
        <v>536</v>
      </c>
      <c r="F323" t="s">
        <v>539</v>
      </c>
      <c r="G323" t="s">
        <v>546</v>
      </c>
      <c r="H323" t="s">
        <v>1043</v>
      </c>
      <c r="I323" s="3">
        <v>2646</v>
      </c>
      <c r="J323" s="4">
        <v>0.25</v>
      </c>
      <c r="K323" s="3">
        <v>1984.5</v>
      </c>
      <c r="L323" s="3">
        <v>1815.73</v>
      </c>
      <c r="M323" s="5">
        <v>2</v>
      </c>
      <c r="N323" s="3">
        <v>94</v>
      </c>
      <c r="O323" s="6">
        <v>0.39</v>
      </c>
      <c r="P323" s="3">
        <v>3969</v>
      </c>
      <c r="Q323" s="3">
        <v>1909.73</v>
      </c>
      <c r="R323" s="3">
        <v>3819.46</v>
      </c>
      <c r="S323" s="3">
        <v>149.53999999999996</v>
      </c>
      <c r="T323" s="4">
        <v>3.7676996724615802E-2</v>
      </c>
      <c r="U323" s="4">
        <v>-0.35232300327538402</v>
      </c>
      <c r="V323" t="s">
        <v>1054</v>
      </c>
      <c r="W323" t="s">
        <v>1056</v>
      </c>
    </row>
    <row r="324" spans="1:23" x14ac:dyDescent="0.25">
      <c r="A324" t="s">
        <v>335</v>
      </c>
      <c r="B324" s="2">
        <v>45337</v>
      </c>
      <c r="C324" t="s">
        <v>550</v>
      </c>
      <c r="D324" t="s">
        <v>860</v>
      </c>
      <c r="E324" t="s">
        <v>536</v>
      </c>
      <c r="F324" t="s">
        <v>544</v>
      </c>
      <c r="G324" t="s">
        <v>546</v>
      </c>
      <c r="H324" t="s">
        <v>1042</v>
      </c>
      <c r="I324" s="3">
        <v>3747</v>
      </c>
      <c r="J324" s="4">
        <v>0.24</v>
      </c>
      <c r="K324" s="3">
        <v>2847.72</v>
      </c>
      <c r="L324" s="3">
        <v>2738.62</v>
      </c>
      <c r="M324" s="5">
        <v>2</v>
      </c>
      <c r="N324" s="3">
        <v>101</v>
      </c>
      <c r="O324" s="6">
        <v>0.42</v>
      </c>
      <c r="P324" s="3">
        <v>5695.44</v>
      </c>
      <c r="Q324" s="3">
        <v>2839.62</v>
      </c>
      <c r="R324" s="3">
        <v>5679.24</v>
      </c>
      <c r="S324" s="3">
        <v>16.199999999999818</v>
      </c>
      <c r="T324" s="4">
        <v>2.8443807677720799E-3</v>
      </c>
      <c r="U324" s="4">
        <v>-0.41715561923222799</v>
      </c>
      <c r="V324" t="s">
        <v>1054</v>
      </c>
      <c r="W324" t="s">
        <v>1056</v>
      </c>
    </row>
    <row r="325" spans="1:23" x14ac:dyDescent="0.25">
      <c r="A325" t="s">
        <v>336</v>
      </c>
      <c r="B325" s="2">
        <v>45408</v>
      </c>
      <c r="C325" t="s">
        <v>547</v>
      </c>
      <c r="D325" t="s">
        <v>861</v>
      </c>
      <c r="E325" t="s">
        <v>536</v>
      </c>
      <c r="F325" t="s">
        <v>544</v>
      </c>
      <c r="G325" t="s">
        <v>546</v>
      </c>
      <c r="H325" t="s">
        <v>1043</v>
      </c>
      <c r="I325" s="3">
        <v>4401</v>
      </c>
      <c r="J325" s="4">
        <v>0.17</v>
      </c>
      <c r="K325" s="3">
        <v>3652.83</v>
      </c>
      <c r="L325" s="3">
        <v>2600.36</v>
      </c>
      <c r="M325" s="5">
        <v>3</v>
      </c>
      <c r="N325" s="3">
        <v>97</v>
      </c>
      <c r="O325" s="6">
        <v>0.33</v>
      </c>
      <c r="P325" s="3">
        <v>10958.49</v>
      </c>
      <c r="Q325" s="3">
        <v>2697.36</v>
      </c>
      <c r="R325" s="3">
        <v>8092.08</v>
      </c>
      <c r="S325" s="3">
        <v>2866.41</v>
      </c>
      <c r="T325" s="4">
        <v>0.26156979656868801</v>
      </c>
      <c r="U325" s="4">
        <v>-6.8430203431311995E-2</v>
      </c>
      <c r="V325" t="s">
        <v>1054</v>
      </c>
      <c r="W325" t="s">
        <v>1055</v>
      </c>
    </row>
    <row r="326" spans="1:23" x14ac:dyDescent="0.25">
      <c r="A326" t="s">
        <v>337</v>
      </c>
      <c r="B326" s="2">
        <v>45297</v>
      </c>
      <c r="C326" t="s">
        <v>550</v>
      </c>
      <c r="D326" t="s">
        <v>862</v>
      </c>
      <c r="E326" t="s">
        <v>537</v>
      </c>
      <c r="F326" t="s">
        <v>543</v>
      </c>
      <c r="G326" t="s">
        <v>546</v>
      </c>
      <c r="H326" t="s">
        <v>1043</v>
      </c>
      <c r="I326" s="3">
        <v>7255</v>
      </c>
      <c r="J326" s="4">
        <v>0.08</v>
      </c>
      <c r="K326" s="3">
        <v>6674.6</v>
      </c>
      <c r="L326" s="3">
        <v>4388.75</v>
      </c>
      <c r="M326" s="5">
        <v>1</v>
      </c>
      <c r="N326" s="3">
        <v>101</v>
      </c>
      <c r="O326" s="6">
        <v>0.41</v>
      </c>
      <c r="P326" s="3">
        <v>6674.6</v>
      </c>
      <c r="Q326" s="3">
        <v>4489.75</v>
      </c>
      <c r="R326" s="3">
        <v>4489.75</v>
      </c>
      <c r="S326" s="3">
        <v>2184.8500000000004</v>
      </c>
      <c r="T326" s="4">
        <v>0.32733796781829599</v>
      </c>
      <c r="U326" s="4">
        <v>-8.2662032181703995E-2</v>
      </c>
      <c r="V326" t="s">
        <v>1054</v>
      </c>
      <c r="W326" t="s">
        <v>1059</v>
      </c>
    </row>
    <row r="327" spans="1:23" x14ac:dyDescent="0.25">
      <c r="A327" t="s">
        <v>338</v>
      </c>
      <c r="B327" s="2">
        <v>45390</v>
      </c>
      <c r="C327" t="s">
        <v>548</v>
      </c>
      <c r="D327" t="s">
        <v>747</v>
      </c>
      <c r="E327" t="s">
        <v>536</v>
      </c>
      <c r="F327" t="s">
        <v>544</v>
      </c>
      <c r="G327" t="s">
        <v>546</v>
      </c>
      <c r="H327" t="s">
        <v>1045</v>
      </c>
      <c r="I327" s="3">
        <v>5298</v>
      </c>
      <c r="J327" s="4">
        <v>0.14000000000000001</v>
      </c>
      <c r="K327" s="3">
        <v>4556.28</v>
      </c>
      <c r="L327" s="3">
        <v>2781.38</v>
      </c>
      <c r="M327" s="5">
        <v>2</v>
      </c>
      <c r="N327" s="3">
        <v>65</v>
      </c>
      <c r="O327" s="6">
        <v>0.37</v>
      </c>
      <c r="P327" s="3">
        <v>9112.56</v>
      </c>
      <c r="Q327" s="3">
        <v>2846.38</v>
      </c>
      <c r="R327" s="3">
        <v>5692.76</v>
      </c>
      <c r="S327" s="3">
        <v>3419.7999999999993</v>
      </c>
      <c r="T327" s="4">
        <v>0.375284223094279</v>
      </c>
      <c r="U327" s="4">
        <v>5.2842230942790102E-3</v>
      </c>
      <c r="V327" t="s">
        <v>1058</v>
      </c>
      <c r="W327" t="s">
        <v>1055</v>
      </c>
    </row>
    <row r="328" spans="1:23" x14ac:dyDescent="0.25">
      <c r="A328" t="s">
        <v>339</v>
      </c>
      <c r="B328" s="2">
        <v>45415</v>
      </c>
      <c r="C328" t="s">
        <v>550</v>
      </c>
      <c r="D328" t="s">
        <v>863</v>
      </c>
      <c r="E328" t="s">
        <v>535</v>
      </c>
      <c r="F328" t="s">
        <v>540</v>
      </c>
      <c r="G328" t="s">
        <v>545</v>
      </c>
      <c r="H328" t="s">
        <v>1045</v>
      </c>
      <c r="I328" s="3">
        <v>5918</v>
      </c>
      <c r="J328" s="4">
        <v>0.14000000000000001</v>
      </c>
      <c r="K328" s="3">
        <v>5089.4799999999996</v>
      </c>
      <c r="L328" s="3">
        <v>4285.4399999999996</v>
      </c>
      <c r="M328" s="5">
        <v>1</v>
      </c>
      <c r="N328" s="3">
        <v>105</v>
      </c>
      <c r="O328" s="6">
        <v>0.34</v>
      </c>
      <c r="P328" s="3">
        <v>5089.4799999999996</v>
      </c>
      <c r="Q328" s="3">
        <v>4390.4399999999996</v>
      </c>
      <c r="R328" s="3">
        <v>4390.4399999999996</v>
      </c>
      <c r="S328" s="3">
        <v>699.04</v>
      </c>
      <c r="T328" s="4">
        <v>0.13734998467426901</v>
      </c>
      <c r="U328" s="4">
        <v>-0.20265001532573099</v>
      </c>
      <c r="V328" t="s">
        <v>1054</v>
      </c>
      <c r="W328" t="s">
        <v>1055</v>
      </c>
    </row>
    <row r="329" spans="1:23" x14ac:dyDescent="0.25">
      <c r="A329" t="s">
        <v>340</v>
      </c>
      <c r="B329" s="2">
        <v>45328</v>
      </c>
      <c r="C329" t="s">
        <v>548</v>
      </c>
      <c r="D329" t="s">
        <v>864</v>
      </c>
      <c r="E329" t="s">
        <v>537</v>
      </c>
      <c r="F329" t="s">
        <v>543</v>
      </c>
      <c r="G329" t="s">
        <v>546</v>
      </c>
      <c r="H329" t="s">
        <v>1045</v>
      </c>
      <c r="I329" s="3">
        <v>1286</v>
      </c>
      <c r="J329" s="4">
        <v>0.32</v>
      </c>
      <c r="K329" s="3">
        <v>874.48</v>
      </c>
      <c r="L329" s="3">
        <v>608.65</v>
      </c>
      <c r="M329" s="5">
        <v>3</v>
      </c>
      <c r="N329" s="3">
        <v>118</v>
      </c>
      <c r="O329" s="6">
        <v>0.34</v>
      </c>
      <c r="P329" s="3">
        <v>2623.44</v>
      </c>
      <c r="Q329" s="3">
        <v>726.65</v>
      </c>
      <c r="R329" s="3">
        <v>2179.9499999999998</v>
      </c>
      <c r="S329" s="3">
        <v>443.49000000000024</v>
      </c>
      <c r="T329" s="4">
        <v>0.169049034855</v>
      </c>
      <c r="U329" s="4">
        <v>-0.17095096514499999</v>
      </c>
      <c r="V329" t="s">
        <v>1054</v>
      </c>
      <c r="W329" t="s">
        <v>1056</v>
      </c>
    </row>
    <row r="330" spans="1:23" x14ac:dyDescent="0.25">
      <c r="A330" t="s">
        <v>341</v>
      </c>
      <c r="B330" s="2">
        <v>45315</v>
      </c>
      <c r="C330" t="s">
        <v>550</v>
      </c>
      <c r="D330" t="s">
        <v>865</v>
      </c>
      <c r="E330" t="s">
        <v>537</v>
      </c>
      <c r="F330" t="s">
        <v>542</v>
      </c>
      <c r="G330" t="s">
        <v>545</v>
      </c>
      <c r="H330" t="s">
        <v>1042</v>
      </c>
      <c r="I330" s="3">
        <v>6664</v>
      </c>
      <c r="J330" s="4">
        <v>0.19</v>
      </c>
      <c r="K330" s="3">
        <v>5397.84</v>
      </c>
      <c r="L330" s="3">
        <v>3827.5</v>
      </c>
      <c r="M330" s="5">
        <v>2</v>
      </c>
      <c r="N330" s="3">
        <v>136</v>
      </c>
      <c r="O330" s="6">
        <v>0.33</v>
      </c>
      <c r="P330" s="3">
        <v>10795.68</v>
      </c>
      <c r="Q330" s="3">
        <v>3963.5</v>
      </c>
      <c r="R330" s="3">
        <v>7927</v>
      </c>
      <c r="S330" s="3">
        <v>2868.6800000000003</v>
      </c>
      <c r="T330" s="4">
        <v>0.265724808441895</v>
      </c>
      <c r="U330" s="4">
        <v>-6.4275191558105002E-2</v>
      </c>
      <c r="V330" t="s">
        <v>1054</v>
      </c>
      <c r="W330" t="s">
        <v>1055</v>
      </c>
    </row>
    <row r="331" spans="1:23" x14ac:dyDescent="0.25">
      <c r="A331" t="s">
        <v>342</v>
      </c>
      <c r="B331" s="2">
        <v>45384</v>
      </c>
      <c r="C331" t="s">
        <v>547</v>
      </c>
      <c r="D331" t="s">
        <v>866</v>
      </c>
      <c r="E331" t="s">
        <v>535</v>
      </c>
      <c r="F331" t="s">
        <v>540</v>
      </c>
      <c r="G331" t="s">
        <v>545</v>
      </c>
      <c r="H331" t="s">
        <v>1042</v>
      </c>
      <c r="I331" s="3">
        <v>4640</v>
      </c>
      <c r="J331" s="4">
        <v>0.2</v>
      </c>
      <c r="K331" s="3">
        <v>3712</v>
      </c>
      <c r="L331" s="3">
        <v>2686.02</v>
      </c>
      <c r="M331" s="5">
        <v>1</v>
      </c>
      <c r="N331" s="3">
        <v>113</v>
      </c>
      <c r="O331" s="6">
        <v>0.4</v>
      </c>
      <c r="P331" s="3">
        <v>3712</v>
      </c>
      <c r="Q331" s="3">
        <v>2799.02</v>
      </c>
      <c r="R331" s="3">
        <v>2799.02</v>
      </c>
      <c r="S331" s="3">
        <v>912.98</v>
      </c>
      <c r="T331" s="4">
        <v>0.24595366379310299</v>
      </c>
      <c r="U331" s="4">
        <v>-0.15404633620689701</v>
      </c>
      <c r="V331" t="s">
        <v>1054</v>
      </c>
      <c r="W331" t="s">
        <v>1056</v>
      </c>
    </row>
    <row r="332" spans="1:23" x14ac:dyDescent="0.25">
      <c r="A332" t="s">
        <v>343</v>
      </c>
      <c r="B332" s="2">
        <v>45337</v>
      </c>
      <c r="C332" t="s">
        <v>550</v>
      </c>
      <c r="D332" t="s">
        <v>867</v>
      </c>
      <c r="E332" t="s">
        <v>537</v>
      </c>
      <c r="F332" t="s">
        <v>543</v>
      </c>
      <c r="G332" t="s">
        <v>546</v>
      </c>
      <c r="H332" t="s">
        <v>1043</v>
      </c>
      <c r="I332" s="3">
        <v>770</v>
      </c>
      <c r="J332" s="4">
        <v>0.17</v>
      </c>
      <c r="K332" s="3">
        <v>639.1</v>
      </c>
      <c r="L332" s="3">
        <v>515.69000000000005</v>
      </c>
      <c r="M332" s="5">
        <v>2</v>
      </c>
      <c r="N332" s="3">
        <v>131</v>
      </c>
      <c r="O332" s="6">
        <v>0.39</v>
      </c>
      <c r="P332" s="3">
        <v>1278.2</v>
      </c>
      <c r="Q332" s="3">
        <v>646.69000000000005</v>
      </c>
      <c r="R332" s="3">
        <v>1293.3800000000001</v>
      </c>
      <c r="S332" s="3">
        <v>-15.180000000000064</v>
      </c>
      <c r="T332" s="4">
        <v>-1.18760757314975E-2</v>
      </c>
      <c r="U332" s="4">
        <v>-0.40187607573149797</v>
      </c>
      <c r="V332" t="s">
        <v>1054</v>
      </c>
      <c r="W332" t="s">
        <v>1055</v>
      </c>
    </row>
    <row r="333" spans="1:23" x14ac:dyDescent="0.25">
      <c r="A333" t="s">
        <v>344</v>
      </c>
      <c r="B333" s="2">
        <v>45386</v>
      </c>
      <c r="C333" t="s">
        <v>550</v>
      </c>
      <c r="D333" t="s">
        <v>846</v>
      </c>
      <c r="E333" t="s">
        <v>537</v>
      </c>
      <c r="F333" t="s">
        <v>542</v>
      </c>
      <c r="G333" t="s">
        <v>545</v>
      </c>
      <c r="H333" t="s">
        <v>1043</v>
      </c>
      <c r="I333" s="3">
        <v>7896</v>
      </c>
      <c r="J333" s="4">
        <v>7.0000000000000007E-2</v>
      </c>
      <c r="K333" s="3">
        <v>7343.28</v>
      </c>
      <c r="L333" s="3">
        <v>4479.4799999999996</v>
      </c>
      <c r="M333" s="5">
        <v>2</v>
      </c>
      <c r="N333" s="3">
        <v>156</v>
      </c>
      <c r="O333" s="6">
        <v>0.32</v>
      </c>
      <c r="P333" s="3">
        <v>14686.56</v>
      </c>
      <c r="Q333" s="3">
        <v>4635.4799999999996</v>
      </c>
      <c r="R333" s="3">
        <v>9270.9599999999991</v>
      </c>
      <c r="S333" s="3">
        <v>5415.6</v>
      </c>
      <c r="T333" s="4">
        <v>0.36874530182697601</v>
      </c>
      <c r="U333" s="4">
        <v>4.8745301826975999E-2</v>
      </c>
      <c r="V333" t="s">
        <v>1058</v>
      </c>
      <c r="W333" t="s">
        <v>1059</v>
      </c>
    </row>
    <row r="334" spans="1:23" x14ac:dyDescent="0.25">
      <c r="A334" t="s">
        <v>345</v>
      </c>
      <c r="B334" s="2">
        <v>45390</v>
      </c>
      <c r="C334" t="s">
        <v>547</v>
      </c>
      <c r="D334" t="s">
        <v>780</v>
      </c>
      <c r="E334" t="s">
        <v>536</v>
      </c>
      <c r="F334" t="s">
        <v>539</v>
      </c>
      <c r="G334" t="s">
        <v>546</v>
      </c>
      <c r="H334" t="s">
        <v>1043</v>
      </c>
      <c r="I334" s="3">
        <v>3602</v>
      </c>
      <c r="J334" s="4">
        <v>0.21</v>
      </c>
      <c r="K334" s="3">
        <v>2845.58</v>
      </c>
      <c r="L334" s="3">
        <v>2373.46</v>
      </c>
      <c r="M334" s="5">
        <v>2</v>
      </c>
      <c r="N334" s="3">
        <v>184</v>
      </c>
      <c r="O334" s="6">
        <v>0.31</v>
      </c>
      <c r="P334" s="3">
        <v>5691.16</v>
      </c>
      <c r="Q334" s="3">
        <v>2557.46</v>
      </c>
      <c r="R334" s="3">
        <v>5114.92</v>
      </c>
      <c r="S334" s="3">
        <v>576.23999999999978</v>
      </c>
      <c r="T334" s="4">
        <v>0.101251765896583</v>
      </c>
      <c r="U334" s="4">
        <v>-0.208748234103417</v>
      </c>
      <c r="V334" t="s">
        <v>1054</v>
      </c>
      <c r="W334" t="s">
        <v>1056</v>
      </c>
    </row>
    <row r="335" spans="1:23" x14ac:dyDescent="0.25">
      <c r="A335" t="s">
        <v>346</v>
      </c>
      <c r="B335" s="2">
        <v>45407</v>
      </c>
      <c r="C335" t="s">
        <v>550</v>
      </c>
      <c r="D335" t="s">
        <v>868</v>
      </c>
      <c r="E335" t="s">
        <v>536</v>
      </c>
      <c r="F335" t="s">
        <v>539</v>
      </c>
      <c r="G335" t="s">
        <v>546</v>
      </c>
      <c r="H335" t="s">
        <v>1045</v>
      </c>
      <c r="I335" s="3">
        <v>4065</v>
      </c>
      <c r="J335" s="4">
        <v>0.33</v>
      </c>
      <c r="K335" s="3">
        <v>2723.55</v>
      </c>
      <c r="L335" s="3">
        <v>2678.79</v>
      </c>
      <c r="M335" s="5">
        <v>1</v>
      </c>
      <c r="N335" s="3">
        <v>73</v>
      </c>
      <c r="O335" s="6">
        <v>0.34</v>
      </c>
      <c r="P335" s="3">
        <v>2723.55</v>
      </c>
      <c r="Q335" s="3">
        <v>2751.79</v>
      </c>
      <c r="R335" s="3">
        <v>2751.79</v>
      </c>
      <c r="S335" s="3">
        <v>-28.239999999999782</v>
      </c>
      <c r="T335" s="4">
        <v>-1.03688201061114E-2</v>
      </c>
      <c r="U335" s="4">
        <v>-0.35036882010611098</v>
      </c>
      <c r="V335" t="s">
        <v>1054</v>
      </c>
      <c r="W335" t="s">
        <v>1056</v>
      </c>
    </row>
    <row r="336" spans="1:23" x14ac:dyDescent="0.25">
      <c r="A336" t="s">
        <v>347</v>
      </c>
      <c r="B336" s="2">
        <v>45451</v>
      </c>
      <c r="C336" t="s">
        <v>548</v>
      </c>
      <c r="D336" t="s">
        <v>869</v>
      </c>
      <c r="E336" t="s">
        <v>537</v>
      </c>
      <c r="F336" t="s">
        <v>542</v>
      </c>
      <c r="G336" t="s">
        <v>546</v>
      </c>
      <c r="H336" t="s">
        <v>1043</v>
      </c>
      <c r="I336" s="3">
        <v>4450</v>
      </c>
      <c r="J336" s="4">
        <v>0.25</v>
      </c>
      <c r="K336" s="3">
        <v>3337.5</v>
      </c>
      <c r="L336" s="3">
        <v>3034.44</v>
      </c>
      <c r="M336" s="5">
        <v>1</v>
      </c>
      <c r="N336" s="3">
        <v>112</v>
      </c>
      <c r="O336" s="6">
        <v>0.41</v>
      </c>
      <c r="P336" s="3">
        <v>3337.5</v>
      </c>
      <c r="Q336" s="3">
        <v>3146.44</v>
      </c>
      <c r="R336" s="3">
        <v>3146.44</v>
      </c>
      <c r="S336" s="3">
        <v>191.05999999999995</v>
      </c>
      <c r="T336" s="4">
        <v>5.72464419475655E-2</v>
      </c>
      <c r="U336" s="4">
        <v>-0.35275355805243402</v>
      </c>
      <c r="V336" t="s">
        <v>1054</v>
      </c>
      <c r="W336" t="s">
        <v>1056</v>
      </c>
    </row>
    <row r="337" spans="1:23" x14ac:dyDescent="0.25">
      <c r="A337" t="s">
        <v>348</v>
      </c>
      <c r="B337" s="2">
        <v>45452</v>
      </c>
      <c r="C337" t="s">
        <v>547</v>
      </c>
      <c r="D337" t="s">
        <v>870</v>
      </c>
      <c r="E337" t="s">
        <v>535</v>
      </c>
      <c r="F337" t="s">
        <v>540</v>
      </c>
      <c r="G337" t="s">
        <v>545</v>
      </c>
      <c r="H337" t="s">
        <v>1044</v>
      </c>
      <c r="I337" s="3">
        <v>7424</v>
      </c>
      <c r="J337" s="4">
        <v>0.32</v>
      </c>
      <c r="K337" s="3">
        <v>5048.32</v>
      </c>
      <c r="L337" s="3">
        <v>3835.02</v>
      </c>
      <c r="M337" s="5">
        <v>1</v>
      </c>
      <c r="N337" s="3">
        <v>35</v>
      </c>
      <c r="O337" s="6">
        <v>0.4</v>
      </c>
      <c r="P337" s="3">
        <v>5048.32</v>
      </c>
      <c r="Q337" s="3">
        <v>3870.02</v>
      </c>
      <c r="R337" s="3">
        <v>3870.02</v>
      </c>
      <c r="S337" s="3">
        <v>1178.2999999999997</v>
      </c>
      <c r="T337" s="4">
        <v>0.23340438007099401</v>
      </c>
      <c r="U337" s="4">
        <v>-0.16659561992900601</v>
      </c>
      <c r="V337" t="s">
        <v>1054</v>
      </c>
      <c r="W337" t="s">
        <v>1056</v>
      </c>
    </row>
    <row r="338" spans="1:23" x14ac:dyDescent="0.25">
      <c r="A338" t="s">
        <v>349</v>
      </c>
      <c r="B338" s="2">
        <v>45358</v>
      </c>
      <c r="C338" t="s">
        <v>547</v>
      </c>
      <c r="D338" t="s">
        <v>871</v>
      </c>
      <c r="E338" t="s">
        <v>535</v>
      </c>
      <c r="F338" t="s">
        <v>540</v>
      </c>
      <c r="G338" t="s">
        <v>545</v>
      </c>
      <c r="H338" t="s">
        <v>1045</v>
      </c>
      <c r="I338" s="3">
        <v>2596</v>
      </c>
      <c r="J338" s="4">
        <v>0.09</v>
      </c>
      <c r="K338" s="3">
        <v>2362.36</v>
      </c>
      <c r="L338" s="3">
        <v>1390.55</v>
      </c>
      <c r="M338" s="5">
        <v>3</v>
      </c>
      <c r="N338" s="3">
        <v>166</v>
      </c>
      <c r="O338" s="6">
        <v>0.42</v>
      </c>
      <c r="P338" s="3">
        <v>7087.08</v>
      </c>
      <c r="Q338" s="3">
        <v>1556.55</v>
      </c>
      <c r="R338" s="3">
        <v>4669.6499999999996</v>
      </c>
      <c r="S338" s="3">
        <v>2417.4300000000003</v>
      </c>
      <c r="T338" s="4">
        <v>0.341103811442795</v>
      </c>
      <c r="U338" s="4">
        <v>-7.8896188557204996E-2</v>
      </c>
      <c r="V338" t="s">
        <v>1054</v>
      </c>
      <c r="W338" t="s">
        <v>1059</v>
      </c>
    </row>
    <row r="339" spans="1:23" x14ac:dyDescent="0.25">
      <c r="A339" t="s">
        <v>350</v>
      </c>
      <c r="B339" s="2">
        <v>45419</v>
      </c>
      <c r="C339" t="s">
        <v>548</v>
      </c>
      <c r="D339" t="s">
        <v>872</v>
      </c>
      <c r="E339" t="s">
        <v>536</v>
      </c>
      <c r="F339" t="s">
        <v>539</v>
      </c>
      <c r="G339" t="s">
        <v>546</v>
      </c>
      <c r="H339" t="s">
        <v>1043</v>
      </c>
      <c r="I339" s="3">
        <v>2154</v>
      </c>
      <c r="J339" s="4">
        <v>0.28999999999999998</v>
      </c>
      <c r="K339" s="3">
        <v>1529.34</v>
      </c>
      <c r="L339" s="3">
        <v>1552.03</v>
      </c>
      <c r="M339" s="5">
        <v>2</v>
      </c>
      <c r="N339" s="3">
        <v>57</v>
      </c>
      <c r="O339" s="6">
        <v>0.28999999999999998</v>
      </c>
      <c r="P339" s="3">
        <v>3058.68</v>
      </c>
      <c r="Q339" s="3">
        <v>1609.03</v>
      </c>
      <c r="R339" s="3">
        <v>3218.06</v>
      </c>
      <c r="S339" s="3">
        <v>-159.38000000000011</v>
      </c>
      <c r="T339" s="4">
        <v>-5.2107445041651997E-2</v>
      </c>
      <c r="U339" s="4">
        <v>-0.34210744504165203</v>
      </c>
      <c r="V339" t="s">
        <v>1054</v>
      </c>
      <c r="W339" t="s">
        <v>1056</v>
      </c>
    </row>
    <row r="340" spans="1:23" x14ac:dyDescent="0.25">
      <c r="A340" t="s">
        <v>351</v>
      </c>
      <c r="B340" s="2">
        <v>45309</v>
      </c>
      <c r="C340" t="s">
        <v>547</v>
      </c>
      <c r="D340" t="s">
        <v>873</v>
      </c>
      <c r="E340" t="s">
        <v>537</v>
      </c>
      <c r="F340" t="s">
        <v>541</v>
      </c>
      <c r="G340" t="s">
        <v>545</v>
      </c>
      <c r="H340" t="s">
        <v>1044</v>
      </c>
      <c r="I340" s="3">
        <v>781</v>
      </c>
      <c r="J340" s="4">
        <v>0.21</v>
      </c>
      <c r="K340" s="3">
        <v>616.99</v>
      </c>
      <c r="L340" s="3">
        <v>581.46</v>
      </c>
      <c r="M340" s="5">
        <v>2</v>
      </c>
      <c r="N340" s="3">
        <v>91</v>
      </c>
      <c r="O340" s="6">
        <v>0.37</v>
      </c>
      <c r="P340" s="3">
        <v>1233.98</v>
      </c>
      <c r="Q340" s="3">
        <v>672.46</v>
      </c>
      <c r="R340" s="3">
        <v>1344.92</v>
      </c>
      <c r="S340" s="3">
        <v>-110.94000000000005</v>
      </c>
      <c r="T340" s="4">
        <v>-8.9904212385938195E-2</v>
      </c>
      <c r="U340" s="4">
        <v>-0.45990421238593798</v>
      </c>
      <c r="V340" t="s">
        <v>1054</v>
      </c>
      <c r="W340" t="s">
        <v>1056</v>
      </c>
    </row>
    <row r="341" spans="1:23" x14ac:dyDescent="0.25">
      <c r="A341" t="s">
        <v>352</v>
      </c>
      <c r="B341" s="2">
        <v>45316</v>
      </c>
      <c r="C341" t="s">
        <v>550</v>
      </c>
      <c r="D341" t="s">
        <v>874</v>
      </c>
      <c r="E341" t="s">
        <v>535</v>
      </c>
      <c r="F341" t="s">
        <v>540</v>
      </c>
      <c r="G341" t="s">
        <v>546</v>
      </c>
      <c r="H341" t="s">
        <v>1044</v>
      </c>
      <c r="I341" s="3">
        <v>52</v>
      </c>
      <c r="J341" s="4">
        <v>0.16</v>
      </c>
      <c r="K341" s="3">
        <v>43.68</v>
      </c>
      <c r="L341" s="3">
        <v>29.21</v>
      </c>
      <c r="M341" s="5">
        <v>3</v>
      </c>
      <c r="N341" s="3">
        <v>68</v>
      </c>
      <c r="O341" s="6">
        <v>0.34</v>
      </c>
      <c r="P341" s="3">
        <v>131.04</v>
      </c>
      <c r="Q341" s="3">
        <v>97.210000000000008</v>
      </c>
      <c r="R341" s="3">
        <v>291.63</v>
      </c>
      <c r="S341" s="3">
        <v>-160.59</v>
      </c>
      <c r="T341" s="4">
        <v>-1.22550366300366</v>
      </c>
      <c r="U341" s="4">
        <v>-1.5655036630036601</v>
      </c>
      <c r="V341" t="s">
        <v>1057</v>
      </c>
      <c r="W341" t="s">
        <v>1055</v>
      </c>
    </row>
    <row r="342" spans="1:23" x14ac:dyDescent="0.25">
      <c r="A342" t="s">
        <v>353</v>
      </c>
      <c r="B342" s="2">
        <v>45345</v>
      </c>
      <c r="C342" t="s">
        <v>548</v>
      </c>
      <c r="D342" t="s">
        <v>778</v>
      </c>
      <c r="E342" t="s">
        <v>536</v>
      </c>
      <c r="F342" t="s">
        <v>544</v>
      </c>
      <c r="G342" t="s">
        <v>545</v>
      </c>
      <c r="H342" t="s">
        <v>1044</v>
      </c>
      <c r="I342" s="3">
        <v>7631</v>
      </c>
      <c r="J342" s="4">
        <v>0.12</v>
      </c>
      <c r="K342" s="3">
        <v>6715.28</v>
      </c>
      <c r="L342" s="3">
        <v>4948.74</v>
      </c>
      <c r="M342" s="5">
        <v>1</v>
      </c>
      <c r="N342" s="3">
        <v>58</v>
      </c>
      <c r="O342" s="6">
        <v>0.28000000000000003</v>
      </c>
      <c r="P342" s="3">
        <v>6715.28</v>
      </c>
      <c r="Q342" s="3">
        <v>5006.74</v>
      </c>
      <c r="R342" s="3">
        <v>5006.74</v>
      </c>
      <c r="S342" s="3">
        <v>1708.54</v>
      </c>
      <c r="T342" s="4">
        <v>0.25442572759438198</v>
      </c>
      <c r="U342" s="4">
        <v>-2.5574272405618E-2</v>
      </c>
      <c r="V342" t="s">
        <v>1054</v>
      </c>
      <c r="W342" t="s">
        <v>1055</v>
      </c>
    </row>
    <row r="343" spans="1:23" x14ac:dyDescent="0.25">
      <c r="A343" t="s">
        <v>354</v>
      </c>
      <c r="B343" s="2">
        <v>45349</v>
      </c>
      <c r="C343" t="s">
        <v>549</v>
      </c>
      <c r="D343" t="s">
        <v>875</v>
      </c>
      <c r="E343" t="s">
        <v>537</v>
      </c>
      <c r="F343" t="s">
        <v>542</v>
      </c>
      <c r="G343" t="s">
        <v>546</v>
      </c>
      <c r="H343" t="s">
        <v>1045</v>
      </c>
      <c r="I343" s="3">
        <v>2005</v>
      </c>
      <c r="J343" s="4">
        <v>0.28000000000000003</v>
      </c>
      <c r="K343" s="3">
        <v>1443.6</v>
      </c>
      <c r="L343" s="3">
        <v>1253.3499999999999</v>
      </c>
      <c r="M343" s="5">
        <v>1</v>
      </c>
      <c r="N343" s="3">
        <v>110</v>
      </c>
      <c r="O343" s="6">
        <v>0.34</v>
      </c>
      <c r="P343" s="3">
        <v>1443.6</v>
      </c>
      <c r="Q343" s="3">
        <v>1363.35</v>
      </c>
      <c r="R343" s="3">
        <v>1363.35</v>
      </c>
      <c r="S343" s="3">
        <v>80.25</v>
      </c>
      <c r="T343" s="4">
        <v>5.5590191188694897E-2</v>
      </c>
      <c r="U343" s="4">
        <v>-0.28440980881130501</v>
      </c>
      <c r="V343" t="s">
        <v>1054</v>
      </c>
      <c r="W343" t="s">
        <v>1056</v>
      </c>
    </row>
    <row r="344" spans="1:23" x14ac:dyDescent="0.25">
      <c r="A344" t="s">
        <v>355</v>
      </c>
      <c r="B344" s="2">
        <v>45358</v>
      </c>
      <c r="C344" t="s">
        <v>548</v>
      </c>
      <c r="D344" t="s">
        <v>876</v>
      </c>
      <c r="E344" t="s">
        <v>537</v>
      </c>
      <c r="F344" t="s">
        <v>542</v>
      </c>
      <c r="G344" t="s">
        <v>545</v>
      </c>
      <c r="H344" t="s">
        <v>1042</v>
      </c>
      <c r="I344" s="3">
        <v>93</v>
      </c>
      <c r="J344" s="4">
        <v>0.27</v>
      </c>
      <c r="K344" s="3">
        <v>67.89</v>
      </c>
      <c r="L344" s="3">
        <v>46.59</v>
      </c>
      <c r="M344" s="5">
        <v>3</v>
      </c>
      <c r="N344" s="3">
        <v>18</v>
      </c>
      <c r="O344" s="6">
        <v>0.43</v>
      </c>
      <c r="P344" s="3">
        <v>203.67000000000002</v>
      </c>
      <c r="Q344" s="3">
        <v>64.59</v>
      </c>
      <c r="R344" s="3">
        <v>193.77</v>
      </c>
      <c r="S344" s="3">
        <v>9.9000000000000057</v>
      </c>
      <c r="T344" s="4">
        <v>4.8608042421564301E-2</v>
      </c>
      <c r="U344" s="4">
        <v>-0.38139195757843602</v>
      </c>
      <c r="V344" t="s">
        <v>1054</v>
      </c>
      <c r="W344" t="s">
        <v>1056</v>
      </c>
    </row>
    <row r="345" spans="1:23" x14ac:dyDescent="0.25">
      <c r="A345" t="s">
        <v>356</v>
      </c>
      <c r="B345" s="2">
        <v>45395</v>
      </c>
      <c r="C345" t="s">
        <v>548</v>
      </c>
      <c r="D345" t="s">
        <v>877</v>
      </c>
      <c r="E345" t="s">
        <v>535</v>
      </c>
      <c r="F345" t="s">
        <v>538</v>
      </c>
      <c r="G345" t="s">
        <v>545</v>
      </c>
      <c r="H345" t="s">
        <v>1045</v>
      </c>
      <c r="I345" s="3">
        <v>7793</v>
      </c>
      <c r="J345" s="4">
        <v>0.28000000000000003</v>
      </c>
      <c r="K345" s="3">
        <v>5610.96</v>
      </c>
      <c r="L345" s="3">
        <v>5500.11</v>
      </c>
      <c r="M345" s="5">
        <v>2</v>
      </c>
      <c r="N345" s="3">
        <v>71</v>
      </c>
      <c r="O345" s="6">
        <v>0.33</v>
      </c>
      <c r="P345" s="3">
        <v>11221.92</v>
      </c>
      <c r="Q345" s="3">
        <v>5571.11</v>
      </c>
      <c r="R345" s="3">
        <v>11142.22</v>
      </c>
      <c r="S345" s="3">
        <v>79.700000000000728</v>
      </c>
      <c r="T345" s="4">
        <v>7.1021714644196998E-3</v>
      </c>
      <c r="U345" s="4">
        <v>-0.32289782853558002</v>
      </c>
      <c r="V345" t="s">
        <v>1054</v>
      </c>
      <c r="W345" t="s">
        <v>1056</v>
      </c>
    </row>
    <row r="346" spans="1:23" x14ac:dyDescent="0.25">
      <c r="A346" t="s">
        <v>357</v>
      </c>
      <c r="B346" s="2">
        <v>45465</v>
      </c>
      <c r="C346" t="s">
        <v>550</v>
      </c>
      <c r="D346" t="s">
        <v>588</v>
      </c>
      <c r="E346" t="s">
        <v>535</v>
      </c>
      <c r="F346" t="s">
        <v>540</v>
      </c>
      <c r="G346" t="s">
        <v>546</v>
      </c>
      <c r="H346" t="s">
        <v>1042</v>
      </c>
      <c r="I346" s="3">
        <v>5228</v>
      </c>
      <c r="J346" s="4">
        <v>0.11</v>
      </c>
      <c r="K346" s="3">
        <v>4652.92</v>
      </c>
      <c r="L346" s="3">
        <v>3293.28</v>
      </c>
      <c r="M346" s="5">
        <v>2</v>
      </c>
      <c r="N346" s="3">
        <v>139</v>
      </c>
      <c r="O346" s="6">
        <v>0.43</v>
      </c>
      <c r="P346" s="3">
        <v>9305.84</v>
      </c>
      <c r="Q346" s="3">
        <v>3432.28</v>
      </c>
      <c r="R346" s="3">
        <v>6864.56</v>
      </c>
      <c r="S346" s="3">
        <v>2441.2799999999997</v>
      </c>
      <c r="T346" s="4">
        <v>0.26233848851903702</v>
      </c>
      <c r="U346" s="4">
        <v>-0.167661511480963</v>
      </c>
      <c r="V346" t="s">
        <v>1054</v>
      </c>
      <c r="W346" t="s">
        <v>1055</v>
      </c>
    </row>
    <row r="347" spans="1:23" x14ac:dyDescent="0.25">
      <c r="A347" t="s">
        <v>358</v>
      </c>
      <c r="B347" s="2">
        <v>45315</v>
      </c>
      <c r="C347" t="s">
        <v>549</v>
      </c>
      <c r="D347" t="s">
        <v>878</v>
      </c>
      <c r="E347" t="s">
        <v>536</v>
      </c>
      <c r="F347" t="s">
        <v>539</v>
      </c>
      <c r="G347" t="s">
        <v>546</v>
      </c>
      <c r="H347" t="s">
        <v>1043</v>
      </c>
      <c r="I347" s="3">
        <v>3299</v>
      </c>
      <c r="J347" s="4">
        <v>0.16</v>
      </c>
      <c r="K347" s="3">
        <v>2771.16</v>
      </c>
      <c r="L347" s="3">
        <v>2297.92</v>
      </c>
      <c r="M347" s="5">
        <v>2</v>
      </c>
      <c r="N347" s="3">
        <v>155</v>
      </c>
      <c r="O347" s="6">
        <v>0.42</v>
      </c>
      <c r="P347" s="3">
        <v>5542.32</v>
      </c>
      <c r="Q347" s="3">
        <v>2452.92</v>
      </c>
      <c r="R347" s="3">
        <v>4905.84</v>
      </c>
      <c r="S347" s="3">
        <v>636.47999999999956</v>
      </c>
      <c r="T347" s="4">
        <v>0.11483999480362</v>
      </c>
      <c r="U347" s="4">
        <v>-0.30516000519637998</v>
      </c>
      <c r="V347" t="s">
        <v>1054</v>
      </c>
      <c r="W347" t="s">
        <v>1055</v>
      </c>
    </row>
    <row r="348" spans="1:23" x14ac:dyDescent="0.25">
      <c r="A348" t="s">
        <v>359</v>
      </c>
      <c r="B348" s="2">
        <v>45405</v>
      </c>
      <c r="C348" t="s">
        <v>547</v>
      </c>
      <c r="D348" t="s">
        <v>879</v>
      </c>
      <c r="E348" t="s">
        <v>537</v>
      </c>
      <c r="F348" t="s">
        <v>543</v>
      </c>
      <c r="G348" t="s">
        <v>546</v>
      </c>
      <c r="H348" t="s">
        <v>1043</v>
      </c>
      <c r="I348" s="3">
        <v>4084</v>
      </c>
      <c r="J348" s="4">
        <v>0.24</v>
      </c>
      <c r="K348" s="3">
        <v>3103.84</v>
      </c>
      <c r="L348" s="3">
        <v>2235.39</v>
      </c>
      <c r="M348" s="5">
        <v>1</v>
      </c>
      <c r="N348" s="3">
        <v>182</v>
      </c>
      <c r="O348" s="6">
        <v>0.4</v>
      </c>
      <c r="P348" s="3">
        <v>3103.84</v>
      </c>
      <c r="Q348" s="3">
        <v>2417.39</v>
      </c>
      <c r="R348" s="3">
        <v>2417.39</v>
      </c>
      <c r="S348" s="3">
        <v>686.45000000000027</v>
      </c>
      <c r="T348" s="4">
        <v>0.22116152894479099</v>
      </c>
      <c r="U348" s="4">
        <v>-0.178838471055209</v>
      </c>
      <c r="V348" t="s">
        <v>1054</v>
      </c>
      <c r="W348" t="s">
        <v>1056</v>
      </c>
    </row>
    <row r="349" spans="1:23" x14ac:dyDescent="0.25">
      <c r="A349" t="s">
        <v>360</v>
      </c>
      <c r="B349" s="2">
        <v>45323</v>
      </c>
      <c r="C349" t="s">
        <v>548</v>
      </c>
      <c r="D349" t="s">
        <v>880</v>
      </c>
      <c r="E349" t="s">
        <v>536</v>
      </c>
      <c r="F349" t="s">
        <v>544</v>
      </c>
      <c r="G349" t="s">
        <v>546</v>
      </c>
      <c r="H349" t="s">
        <v>1044</v>
      </c>
      <c r="I349" s="3">
        <v>7654</v>
      </c>
      <c r="J349" s="4">
        <v>0.28999999999999998</v>
      </c>
      <c r="K349" s="3">
        <v>5434.34</v>
      </c>
      <c r="L349" s="3">
        <v>5230.8</v>
      </c>
      <c r="M349" s="5">
        <v>3</v>
      </c>
      <c r="N349" s="3">
        <v>32</v>
      </c>
      <c r="O349" s="6">
        <v>0.31</v>
      </c>
      <c r="P349" s="3">
        <v>16303.02</v>
      </c>
      <c r="Q349" s="3">
        <v>5262.8</v>
      </c>
      <c r="R349" s="3">
        <v>15788.400000000001</v>
      </c>
      <c r="S349" s="3">
        <v>514.61999999999898</v>
      </c>
      <c r="T349" s="4">
        <v>3.1565930729398499E-2</v>
      </c>
      <c r="U349" s="4">
        <v>-0.27843406927060199</v>
      </c>
      <c r="V349" t="s">
        <v>1054</v>
      </c>
      <c r="W349" t="s">
        <v>1056</v>
      </c>
    </row>
    <row r="350" spans="1:23" x14ac:dyDescent="0.25">
      <c r="A350" t="s">
        <v>361</v>
      </c>
      <c r="B350" s="2">
        <v>45466</v>
      </c>
      <c r="C350" t="s">
        <v>549</v>
      </c>
      <c r="D350" t="s">
        <v>881</v>
      </c>
      <c r="E350" t="s">
        <v>537</v>
      </c>
      <c r="F350" t="s">
        <v>542</v>
      </c>
      <c r="G350" t="s">
        <v>546</v>
      </c>
      <c r="H350" t="s">
        <v>1042</v>
      </c>
      <c r="I350" s="3">
        <v>4537</v>
      </c>
      <c r="J350" s="4">
        <v>0.06</v>
      </c>
      <c r="K350" s="3">
        <v>4264.78</v>
      </c>
      <c r="L350" s="3">
        <v>2394.96</v>
      </c>
      <c r="M350" s="5">
        <v>1</v>
      </c>
      <c r="N350" s="3">
        <v>79</v>
      </c>
      <c r="O350" s="6">
        <v>0.43</v>
      </c>
      <c r="P350" s="3">
        <v>4264.78</v>
      </c>
      <c r="Q350" s="3">
        <v>2473.96</v>
      </c>
      <c r="R350" s="3">
        <v>2473.96</v>
      </c>
      <c r="S350" s="3">
        <v>1790.8199999999997</v>
      </c>
      <c r="T350" s="4">
        <v>0.419909116062259</v>
      </c>
      <c r="U350" s="4">
        <v>-1.0090883937741E-2</v>
      </c>
      <c r="V350" t="s">
        <v>1054</v>
      </c>
      <c r="W350" t="s">
        <v>1059</v>
      </c>
    </row>
    <row r="351" spans="1:23" x14ac:dyDescent="0.25">
      <c r="A351" t="s">
        <v>362</v>
      </c>
      <c r="B351" s="2">
        <v>45377</v>
      </c>
      <c r="C351" t="s">
        <v>549</v>
      </c>
      <c r="D351" t="s">
        <v>882</v>
      </c>
      <c r="E351" t="s">
        <v>536</v>
      </c>
      <c r="F351" t="s">
        <v>539</v>
      </c>
      <c r="G351" t="s">
        <v>546</v>
      </c>
      <c r="H351" t="s">
        <v>1043</v>
      </c>
      <c r="I351" s="3">
        <v>3809</v>
      </c>
      <c r="J351" s="4">
        <v>0.15</v>
      </c>
      <c r="K351" s="3">
        <v>3237.65</v>
      </c>
      <c r="L351" s="3">
        <v>2740.1</v>
      </c>
      <c r="M351" s="5">
        <v>3</v>
      </c>
      <c r="N351" s="3">
        <v>196</v>
      </c>
      <c r="O351" s="6">
        <v>0.43</v>
      </c>
      <c r="P351" s="3">
        <v>9712.9500000000007</v>
      </c>
      <c r="Q351" s="3">
        <v>2936.1</v>
      </c>
      <c r="R351" s="3">
        <v>8808.2999999999993</v>
      </c>
      <c r="S351" s="3">
        <v>904.65000000000146</v>
      </c>
      <c r="T351" s="4">
        <v>9.3138541843621303E-2</v>
      </c>
      <c r="U351" s="4">
        <v>-0.33686145815637902</v>
      </c>
      <c r="V351" t="s">
        <v>1054</v>
      </c>
      <c r="W351" t="s">
        <v>1055</v>
      </c>
    </row>
    <row r="352" spans="1:23" x14ac:dyDescent="0.25">
      <c r="A352" t="s">
        <v>363</v>
      </c>
      <c r="B352" s="2">
        <v>45442</v>
      </c>
      <c r="C352" t="s">
        <v>550</v>
      </c>
      <c r="D352" t="s">
        <v>883</v>
      </c>
      <c r="E352" t="s">
        <v>535</v>
      </c>
      <c r="F352" t="s">
        <v>538</v>
      </c>
      <c r="G352" t="s">
        <v>545</v>
      </c>
      <c r="H352" t="s">
        <v>1044</v>
      </c>
      <c r="I352" s="3">
        <v>1255</v>
      </c>
      <c r="J352" s="4">
        <v>0.26</v>
      </c>
      <c r="K352" s="3">
        <v>928.7</v>
      </c>
      <c r="L352" s="3">
        <v>928.92</v>
      </c>
      <c r="M352" s="5">
        <v>3</v>
      </c>
      <c r="N352" s="3">
        <v>36</v>
      </c>
      <c r="O352" s="6">
        <v>0.44</v>
      </c>
      <c r="P352" s="3">
        <v>2786.1000000000004</v>
      </c>
      <c r="Q352" s="3">
        <v>964.92</v>
      </c>
      <c r="R352" s="3">
        <v>2894.7599999999998</v>
      </c>
      <c r="S352" s="3">
        <v>-108.6599999999994</v>
      </c>
      <c r="T352" s="4">
        <v>-3.90007537417894E-2</v>
      </c>
      <c r="U352" s="4">
        <v>-0.47900075374178902</v>
      </c>
      <c r="V352" t="s">
        <v>1054</v>
      </c>
      <c r="W352" t="s">
        <v>1056</v>
      </c>
    </row>
    <row r="353" spans="1:23" x14ac:dyDescent="0.25">
      <c r="A353" t="s">
        <v>364</v>
      </c>
      <c r="B353" s="2">
        <v>45418</v>
      </c>
      <c r="C353" t="s">
        <v>548</v>
      </c>
      <c r="D353" t="s">
        <v>884</v>
      </c>
      <c r="E353" t="s">
        <v>535</v>
      </c>
      <c r="F353" t="s">
        <v>538</v>
      </c>
      <c r="G353" t="s">
        <v>545</v>
      </c>
      <c r="H353" t="s">
        <v>1044</v>
      </c>
      <c r="I353" s="3">
        <v>4496</v>
      </c>
      <c r="J353" s="4">
        <v>0.06</v>
      </c>
      <c r="K353" s="3">
        <v>4226.24</v>
      </c>
      <c r="L353" s="3">
        <v>2577.8200000000002</v>
      </c>
      <c r="M353" s="5">
        <v>3</v>
      </c>
      <c r="N353" s="3">
        <v>122</v>
      </c>
      <c r="O353" s="6">
        <v>0.28000000000000003</v>
      </c>
      <c r="P353" s="3">
        <v>12678.72</v>
      </c>
      <c r="Q353" s="3">
        <v>2699.82</v>
      </c>
      <c r="R353" s="3">
        <v>8099.4600000000009</v>
      </c>
      <c r="S353" s="3">
        <v>4579.2599999999984</v>
      </c>
      <c r="T353" s="4">
        <v>0.36117683804043299</v>
      </c>
      <c r="U353" s="4">
        <v>8.1176838040433005E-2</v>
      </c>
      <c r="V353" t="s">
        <v>1058</v>
      </c>
      <c r="W353" t="s">
        <v>1059</v>
      </c>
    </row>
    <row r="354" spans="1:23" x14ac:dyDescent="0.25">
      <c r="A354" t="s">
        <v>365</v>
      </c>
      <c r="B354" s="2">
        <v>45446</v>
      </c>
      <c r="C354" t="s">
        <v>550</v>
      </c>
      <c r="D354" t="s">
        <v>885</v>
      </c>
      <c r="E354" t="s">
        <v>535</v>
      </c>
      <c r="F354" t="s">
        <v>540</v>
      </c>
      <c r="G354" t="s">
        <v>546</v>
      </c>
      <c r="H354" t="s">
        <v>1044</v>
      </c>
      <c r="I354" s="3">
        <v>4653</v>
      </c>
      <c r="J354" s="4">
        <v>0.25</v>
      </c>
      <c r="K354" s="3">
        <v>3489.75</v>
      </c>
      <c r="L354" s="3">
        <v>2417.7199999999998</v>
      </c>
      <c r="M354" s="5">
        <v>3</v>
      </c>
      <c r="N354" s="3">
        <v>175</v>
      </c>
      <c r="O354" s="6">
        <v>0.41</v>
      </c>
      <c r="P354" s="3">
        <v>10469.25</v>
      </c>
      <c r="Q354" s="3">
        <v>2592.7199999999998</v>
      </c>
      <c r="R354" s="3">
        <v>7778.16</v>
      </c>
      <c r="S354" s="3">
        <v>2691.09</v>
      </c>
      <c r="T354" s="4">
        <v>0.25704706640876901</v>
      </c>
      <c r="U354" s="4">
        <v>-0.15295293359123099</v>
      </c>
      <c r="V354" t="s">
        <v>1054</v>
      </c>
      <c r="W354" t="s">
        <v>1056</v>
      </c>
    </row>
    <row r="355" spans="1:23" x14ac:dyDescent="0.25">
      <c r="A355" t="s">
        <v>366</v>
      </c>
      <c r="B355" s="2">
        <v>45421</v>
      </c>
      <c r="C355" t="s">
        <v>549</v>
      </c>
      <c r="D355" t="s">
        <v>886</v>
      </c>
      <c r="E355" t="s">
        <v>535</v>
      </c>
      <c r="F355" t="s">
        <v>538</v>
      </c>
      <c r="G355" t="s">
        <v>546</v>
      </c>
      <c r="H355" t="s">
        <v>1044</v>
      </c>
      <c r="I355" s="3">
        <v>3889</v>
      </c>
      <c r="J355" s="4">
        <v>0.24</v>
      </c>
      <c r="K355" s="3">
        <v>2955.64</v>
      </c>
      <c r="L355" s="3">
        <v>2407.36</v>
      </c>
      <c r="M355" s="5">
        <v>1</v>
      </c>
      <c r="N355" s="3">
        <v>94</v>
      </c>
      <c r="O355" s="6">
        <v>0.38</v>
      </c>
      <c r="P355" s="3">
        <v>2955.64</v>
      </c>
      <c r="Q355" s="3">
        <v>2501.36</v>
      </c>
      <c r="R355" s="3">
        <v>2501.36</v>
      </c>
      <c r="S355" s="3">
        <v>454.27999999999975</v>
      </c>
      <c r="T355" s="4">
        <v>0.15369936798798201</v>
      </c>
      <c r="U355" s="4">
        <v>-0.226300632012018</v>
      </c>
      <c r="V355" t="s">
        <v>1054</v>
      </c>
      <c r="W355" t="s">
        <v>1056</v>
      </c>
    </row>
    <row r="356" spans="1:23" x14ac:dyDescent="0.25">
      <c r="A356" t="s">
        <v>367</v>
      </c>
      <c r="B356" s="2">
        <v>45308</v>
      </c>
      <c r="C356" t="s">
        <v>548</v>
      </c>
      <c r="D356" t="s">
        <v>887</v>
      </c>
      <c r="E356" t="s">
        <v>535</v>
      </c>
      <c r="F356" t="s">
        <v>540</v>
      </c>
      <c r="G356" t="s">
        <v>545</v>
      </c>
      <c r="H356" t="s">
        <v>1043</v>
      </c>
      <c r="I356" s="3">
        <v>6267</v>
      </c>
      <c r="J356" s="4">
        <v>0.09</v>
      </c>
      <c r="K356" s="3">
        <v>5702.97</v>
      </c>
      <c r="L356" s="3">
        <v>3908.43</v>
      </c>
      <c r="M356" s="5">
        <v>3</v>
      </c>
      <c r="N356" s="3">
        <v>57</v>
      </c>
      <c r="O356" s="6">
        <v>0.43</v>
      </c>
      <c r="P356" s="3">
        <v>17108.91</v>
      </c>
      <c r="Q356" s="3">
        <v>3965.43</v>
      </c>
      <c r="R356" s="3">
        <v>11896.289999999999</v>
      </c>
      <c r="S356" s="3">
        <v>5212.6200000000008</v>
      </c>
      <c r="T356" s="4">
        <v>0.304672828368376</v>
      </c>
      <c r="U356" s="4">
        <v>-0.12532717163162399</v>
      </c>
      <c r="V356" t="s">
        <v>1054</v>
      </c>
      <c r="W356" t="s">
        <v>1059</v>
      </c>
    </row>
    <row r="357" spans="1:23" x14ac:dyDescent="0.25">
      <c r="A357" t="s">
        <v>368</v>
      </c>
      <c r="B357" s="2">
        <v>45395</v>
      </c>
      <c r="C357" t="s">
        <v>548</v>
      </c>
      <c r="D357" t="s">
        <v>888</v>
      </c>
      <c r="E357" t="s">
        <v>537</v>
      </c>
      <c r="F357" t="s">
        <v>543</v>
      </c>
      <c r="G357" t="s">
        <v>545</v>
      </c>
      <c r="H357" t="s">
        <v>1044</v>
      </c>
      <c r="I357" s="3">
        <v>1388</v>
      </c>
      <c r="J357" s="4">
        <v>0.19</v>
      </c>
      <c r="K357" s="3">
        <v>1124.28</v>
      </c>
      <c r="L357" s="3">
        <v>809.09</v>
      </c>
      <c r="M357" s="5">
        <v>2</v>
      </c>
      <c r="N357" s="3">
        <v>59</v>
      </c>
      <c r="O357" s="6">
        <v>0.42</v>
      </c>
      <c r="P357" s="3">
        <v>2248.56</v>
      </c>
      <c r="Q357" s="3">
        <v>868.09</v>
      </c>
      <c r="R357" s="3">
        <v>1736.18</v>
      </c>
      <c r="S357" s="3">
        <v>512.37999999999988</v>
      </c>
      <c r="T357" s="4">
        <v>0.22787028142455601</v>
      </c>
      <c r="U357" s="4">
        <v>-0.192129718575444</v>
      </c>
      <c r="V357" t="s">
        <v>1054</v>
      </c>
      <c r="W357" t="s">
        <v>1055</v>
      </c>
    </row>
    <row r="358" spans="1:23" x14ac:dyDescent="0.25">
      <c r="A358" t="s">
        <v>369</v>
      </c>
      <c r="B358" s="2">
        <v>45452</v>
      </c>
      <c r="C358" t="s">
        <v>550</v>
      </c>
      <c r="D358" t="s">
        <v>889</v>
      </c>
      <c r="E358" t="s">
        <v>537</v>
      </c>
      <c r="F358" t="s">
        <v>542</v>
      </c>
      <c r="G358" t="s">
        <v>546</v>
      </c>
      <c r="H358" t="s">
        <v>1044</v>
      </c>
      <c r="I358" s="3">
        <v>6382</v>
      </c>
      <c r="J358" s="4">
        <v>0.25</v>
      </c>
      <c r="K358" s="3">
        <v>4786.5</v>
      </c>
      <c r="L358" s="3">
        <v>4169.1000000000004</v>
      </c>
      <c r="M358" s="5">
        <v>3</v>
      </c>
      <c r="N358" s="3">
        <v>129</v>
      </c>
      <c r="O358" s="6">
        <v>0.44</v>
      </c>
      <c r="P358" s="3">
        <v>14359.5</v>
      </c>
      <c r="Q358" s="3">
        <v>4298.1000000000004</v>
      </c>
      <c r="R358" s="3">
        <v>12894.300000000001</v>
      </c>
      <c r="S358" s="3">
        <v>1465.1999999999989</v>
      </c>
      <c r="T358" s="4">
        <v>0.10203697900344701</v>
      </c>
      <c r="U358" s="4">
        <v>-0.33796302099655301</v>
      </c>
      <c r="V358" t="s">
        <v>1054</v>
      </c>
      <c r="W358" t="s">
        <v>1056</v>
      </c>
    </row>
    <row r="359" spans="1:23" x14ac:dyDescent="0.25">
      <c r="A359" t="s">
        <v>370</v>
      </c>
      <c r="B359" s="2">
        <v>45428</v>
      </c>
      <c r="C359" t="s">
        <v>548</v>
      </c>
      <c r="D359" t="s">
        <v>890</v>
      </c>
      <c r="E359" t="s">
        <v>536</v>
      </c>
      <c r="F359" t="s">
        <v>539</v>
      </c>
      <c r="G359" t="s">
        <v>545</v>
      </c>
      <c r="H359" t="s">
        <v>1045</v>
      </c>
      <c r="I359" s="3">
        <v>5351</v>
      </c>
      <c r="J359" s="4">
        <v>0.13</v>
      </c>
      <c r="K359" s="3">
        <v>4655.37</v>
      </c>
      <c r="L359" s="3">
        <v>2658.71</v>
      </c>
      <c r="M359" s="5">
        <v>3</v>
      </c>
      <c r="N359" s="3">
        <v>73</v>
      </c>
      <c r="O359" s="6">
        <v>0.38</v>
      </c>
      <c r="P359" s="3">
        <v>13966.11</v>
      </c>
      <c r="Q359" s="3">
        <v>2731.71</v>
      </c>
      <c r="R359" s="3">
        <v>8195.130000000001</v>
      </c>
      <c r="S359" s="3">
        <v>5770.98</v>
      </c>
      <c r="T359" s="4">
        <v>0.41321312806500898</v>
      </c>
      <c r="U359" s="4">
        <v>3.3213128065009E-2</v>
      </c>
      <c r="V359" t="s">
        <v>1058</v>
      </c>
      <c r="W359" t="s">
        <v>1055</v>
      </c>
    </row>
    <row r="360" spans="1:23" x14ac:dyDescent="0.25">
      <c r="A360" t="s">
        <v>371</v>
      </c>
      <c r="B360" s="2">
        <v>45334</v>
      </c>
      <c r="C360" t="s">
        <v>550</v>
      </c>
      <c r="D360" t="s">
        <v>891</v>
      </c>
      <c r="E360" t="s">
        <v>537</v>
      </c>
      <c r="F360" t="s">
        <v>543</v>
      </c>
      <c r="G360" t="s">
        <v>545</v>
      </c>
      <c r="H360" t="s">
        <v>1045</v>
      </c>
      <c r="I360" s="3">
        <v>2527</v>
      </c>
      <c r="J360" s="4">
        <v>0.1</v>
      </c>
      <c r="K360" s="3">
        <v>2274.3000000000002</v>
      </c>
      <c r="L360" s="3">
        <v>1151.6600000000001</v>
      </c>
      <c r="M360" s="5">
        <v>1</v>
      </c>
      <c r="N360" s="3">
        <v>121</v>
      </c>
      <c r="O360" s="6">
        <v>0.38</v>
      </c>
      <c r="P360" s="3">
        <v>2274.3000000000002</v>
      </c>
      <c r="Q360" s="3">
        <v>1272.6600000000001</v>
      </c>
      <c r="R360" s="3">
        <v>1272.6600000000001</v>
      </c>
      <c r="S360" s="3">
        <v>1001.6400000000001</v>
      </c>
      <c r="T360" s="4">
        <v>0.440416831552566</v>
      </c>
      <c r="U360" s="4">
        <v>6.0416831552565997E-2</v>
      </c>
      <c r="V360" t="s">
        <v>1058</v>
      </c>
      <c r="W360" t="s">
        <v>1055</v>
      </c>
    </row>
    <row r="361" spans="1:23" x14ac:dyDescent="0.25">
      <c r="A361" t="s">
        <v>372</v>
      </c>
      <c r="B361" s="2">
        <v>45467</v>
      </c>
      <c r="C361" t="s">
        <v>549</v>
      </c>
      <c r="D361" t="s">
        <v>892</v>
      </c>
      <c r="E361" t="s">
        <v>536</v>
      </c>
      <c r="F361" t="s">
        <v>544</v>
      </c>
      <c r="G361" t="s">
        <v>545</v>
      </c>
      <c r="H361" t="s">
        <v>1043</v>
      </c>
      <c r="I361" s="3">
        <v>6359</v>
      </c>
      <c r="J361" s="4">
        <v>0.21</v>
      </c>
      <c r="K361" s="3">
        <v>5023.6099999999997</v>
      </c>
      <c r="L361" s="3">
        <v>3793.45</v>
      </c>
      <c r="M361" s="5">
        <v>1</v>
      </c>
      <c r="N361" s="3">
        <v>103</v>
      </c>
      <c r="O361" s="6">
        <v>0.31</v>
      </c>
      <c r="P361" s="3">
        <v>5023.6099999999997</v>
      </c>
      <c r="Q361" s="3">
        <v>3896.45</v>
      </c>
      <c r="R361" s="3">
        <v>3896.45</v>
      </c>
      <c r="S361" s="3">
        <v>1127.1599999999999</v>
      </c>
      <c r="T361" s="4">
        <v>0.224372512993644</v>
      </c>
      <c r="U361" s="4">
        <v>-8.5627487006356001E-2</v>
      </c>
      <c r="V361" t="s">
        <v>1054</v>
      </c>
      <c r="W361" t="s">
        <v>1056</v>
      </c>
    </row>
    <row r="362" spans="1:23" x14ac:dyDescent="0.25">
      <c r="A362" t="s">
        <v>373</v>
      </c>
      <c r="B362" s="2">
        <v>45330</v>
      </c>
      <c r="C362" t="s">
        <v>550</v>
      </c>
      <c r="D362" t="s">
        <v>893</v>
      </c>
      <c r="E362" t="s">
        <v>535</v>
      </c>
      <c r="F362" t="s">
        <v>538</v>
      </c>
      <c r="G362" t="s">
        <v>545</v>
      </c>
      <c r="H362" t="s">
        <v>1043</v>
      </c>
      <c r="I362" s="3">
        <v>1660</v>
      </c>
      <c r="J362" s="4">
        <v>0.23</v>
      </c>
      <c r="K362" s="3">
        <v>1278.2</v>
      </c>
      <c r="L362" s="3">
        <v>923.75</v>
      </c>
      <c r="M362" s="5">
        <v>1</v>
      </c>
      <c r="N362" s="3">
        <v>159</v>
      </c>
      <c r="O362" s="6">
        <v>0.35</v>
      </c>
      <c r="P362" s="3">
        <v>1278.2</v>
      </c>
      <c r="Q362" s="3">
        <v>1082.75</v>
      </c>
      <c r="R362" s="3">
        <v>1082.75</v>
      </c>
      <c r="S362" s="3">
        <v>195.45000000000005</v>
      </c>
      <c r="T362" s="4">
        <v>0.152910342669379</v>
      </c>
      <c r="U362" s="4">
        <v>-0.197089657330621</v>
      </c>
      <c r="V362" t="s">
        <v>1054</v>
      </c>
      <c r="W362" t="s">
        <v>1056</v>
      </c>
    </row>
    <row r="363" spans="1:23" x14ac:dyDescent="0.25">
      <c r="A363" t="s">
        <v>374</v>
      </c>
      <c r="B363" s="2">
        <v>45461</v>
      </c>
      <c r="C363" t="s">
        <v>550</v>
      </c>
      <c r="D363" t="s">
        <v>894</v>
      </c>
      <c r="E363" t="s">
        <v>536</v>
      </c>
      <c r="F363" t="s">
        <v>544</v>
      </c>
      <c r="G363" t="s">
        <v>545</v>
      </c>
      <c r="H363" t="s">
        <v>1044</v>
      </c>
      <c r="I363" s="3">
        <v>1025</v>
      </c>
      <c r="J363" s="4">
        <v>0.31</v>
      </c>
      <c r="K363" s="3">
        <v>707.25</v>
      </c>
      <c r="L363" s="3">
        <v>733.72</v>
      </c>
      <c r="M363" s="5">
        <v>3</v>
      </c>
      <c r="N363" s="3">
        <v>185</v>
      </c>
      <c r="O363" s="6">
        <v>0.41</v>
      </c>
      <c r="P363" s="3">
        <v>2121.75</v>
      </c>
      <c r="Q363" s="3">
        <v>918.72</v>
      </c>
      <c r="R363" s="3">
        <v>2756.16</v>
      </c>
      <c r="S363" s="3">
        <v>-634.40999999999985</v>
      </c>
      <c r="T363" s="4">
        <v>-0.29900318133616099</v>
      </c>
      <c r="U363" s="4">
        <v>-0.70900318133616103</v>
      </c>
      <c r="V363" t="s">
        <v>1057</v>
      </c>
      <c r="W363" t="s">
        <v>1056</v>
      </c>
    </row>
    <row r="364" spans="1:23" x14ac:dyDescent="0.25">
      <c r="A364" t="s">
        <v>375</v>
      </c>
      <c r="B364" s="2">
        <v>45317</v>
      </c>
      <c r="C364" t="s">
        <v>548</v>
      </c>
      <c r="D364" t="s">
        <v>895</v>
      </c>
      <c r="E364" t="s">
        <v>536</v>
      </c>
      <c r="F364" t="s">
        <v>539</v>
      </c>
      <c r="G364" t="s">
        <v>546</v>
      </c>
      <c r="H364" t="s">
        <v>1045</v>
      </c>
      <c r="I364" s="3">
        <v>1307</v>
      </c>
      <c r="J364" s="4">
        <v>0.26</v>
      </c>
      <c r="K364" s="3">
        <v>967.18</v>
      </c>
      <c r="L364" s="3">
        <v>824.6</v>
      </c>
      <c r="M364" s="5">
        <v>3</v>
      </c>
      <c r="N364" s="3">
        <v>66</v>
      </c>
      <c r="O364" s="6">
        <v>0.42</v>
      </c>
      <c r="P364" s="3">
        <v>2901.54</v>
      </c>
      <c r="Q364" s="3">
        <v>890.6</v>
      </c>
      <c r="R364" s="3">
        <v>2671.8</v>
      </c>
      <c r="S364" s="3">
        <v>229.73999999999978</v>
      </c>
      <c r="T364" s="4">
        <v>7.9178643065406604E-2</v>
      </c>
      <c r="U364" s="4">
        <v>-0.34082135693459298</v>
      </c>
      <c r="V364" t="s">
        <v>1054</v>
      </c>
      <c r="W364" t="s">
        <v>1056</v>
      </c>
    </row>
    <row r="365" spans="1:23" x14ac:dyDescent="0.25">
      <c r="A365" t="s">
        <v>376</v>
      </c>
      <c r="B365" s="2">
        <v>45390</v>
      </c>
      <c r="C365" t="s">
        <v>547</v>
      </c>
      <c r="D365" t="s">
        <v>896</v>
      </c>
      <c r="E365" t="s">
        <v>537</v>
      </c>
      <c r="F365" t="s">
        <v>541</v>
      </c>
      <c r="G365" t="s">
        <v>545</v>
      </c>
      <c r="H365" t="s">
        <v>1045</v>
      </c>
      <c r="I365" s="3">
        <v>3906</v>
      </c>
      <c r="J365" s="4">
        <v>0.31</v>
      </c>
      <c r="K365" s="3">
        <v>2695.14</v>
      </c>
      <c r="L365" s="3">
        <v>2856.81</v>
      </c>
      <c r="M365" s="5">
        <v>2</v>
      </c>
      <c r="N365" s="3">
        <v>156</v>
      </c>
      <c r="O365" s="6">
        <v>0.35</v>
      </c>
      <c r="P365" s="3">
        <v>5390.28</v>
      </c>
      <c r="Q365" s="3">
        <v>3012.81</v>
      </c>
      <c r="R365" s="3">
        <v>6025.62</v>
      </c>
      <c r="S365" s="3">
        <v>-635.34000000000015</v>
      </c>
      <c r="T365" s="4">
        <v>-0.11786771744695999</v>
      </c>
      <c r="U365" s="4">
        <v>-0.46786771744695999</v>
      </c>
      <c r="V365" t="s">
        <v>1054</v>
      </c>
      <c r="W365" t="s">
        <v>1056</v>
      </c>
    </row>
    <row r="366" spans="1:23" x14ac:dyDescent="0.25">
      <c r="A366" t="s">
        <v>377</v>
      </c>
      <c r="B366" s="2">
        <v>45341</v>
      </c>
      <c r="C366" t="s">
        <v>548</v>
      </c>
      <c r="D366" t="s">
        <v>897</v>
      </c>
      <c r="E366" t="s">
        <v>537</v>
      </c>
      <c r="F366" t="s">
        <v>543</v>
      </c>
      <c r="G366" t="s">
        <v>546</v>
      </c>
      <c r="H366" t="s">
        <v>1043</v>
      </c>
      <c r="I366" s="3">
        <v>2825</v>
      </c>
      <c r="J366" s="4">
        <v>0.08</v>
      </c>
      <c r="K366" s="3">
        <v>2599</v>
      </c>
      <c r="L366" s="3">
        <v>1413.2</v>
      </c>
      <c r="M366" s="5">
        <v>3</v>
      </c>
      <c r="N366" s="3">
        <v>93</v>
      </c>
      <c r="O366" s="6">
        <v>0.45</v>
      </c>
      <c r="P366" s="3">
        <v>7797</v>
      </c>
      <c r="Q366" s="3">
        <v>1506.2</v>
      </c>
      <c r="R366" s="3">
        <v>4518.6000000000004</v>
      </c>
      <c r="S366" s="3">
        <v>3278.3999999999996</v>
      </c>
      <c r="T366" s="4">
        <v>0.42046941131204302</v>
      </c>
      <c r="U366" s="4">
        <v>-2.9530588687957E-2</v>
      </c>
      <c r="V366" t="s">
        <v>1054</v>
      </c>
      <c r="W366" t="s">
        <v>1059</v>
      </c>
    </row>
    <row r="367" spans="1:23" x14ac:dyDescent="0.25">
      <c r="A367" t="s">
        <v>378</v>
      </c>
      <c r="B367" s="2">
        <v>45444</v>
      </c>
      <c r="C367" t="s">
        <v>548</v>
      </c>
      <c r="D367" t="s">
        <v>898</v>
      </c>
      <c r="E367" t="s">
        <v>536</v>
      </c>
      <c r="F367" t="s">
        <v>544</v>
      </c>
      <c r="G367" t="s">
        <v>546</v>
      </c>
      <c r="H367" t="s">
        <v>1042</v>
      </c>
      <c r="I367" s="3">
        <v>5262</v>
      </c>
      <c r="J367" s="4">
        <v>0.12</v>
      </c>
      <c r="K367" s="3">
        <v>4630.5600000000004</v>
      </c>
      <c r="L367" s="3">
        <v>2572.61</v>
      </c>
      <c r="M367" s="5">
        <v>1</v>
      </c>
      <c r="N367" s="3">
        <v>48</v>
      </c>
      <c r="O367" s="6">
        <v>0.34</v>
      </c>
      <c r="P367" s="3">
        <v>4630.5600000000004</v>
      </c>
      <c r="Q367" s="3">
        <v>2620.61</v>
      </c>
      <c r="R367" s="3">
        <v>2620.61</v>
      </c>
      <c r="S367" s="3">
        <v>2009.9500000000003</v>
      </c>
      <c r="T367" s="4">
        <v>0.43406197090632698</v>
      </c>
      <c r="U367" s="4">
        <v>9.4061970906326994E-2</v>
      </c>
      <c r="V367" t="s">
        <v>1058</v>
      </c>
      <c r="W367" t="s">
        <v>1055</v>
      </c>
    </row>
    <row r="368" spans="1:23" x14ac:dyDescent="0.25">
      <c r="A368" t="s">
        <v>379</v>
      </c>
      <c r="B368" s="2">
        <v>45443</v>
      </c>
      <c r="C368" t="s">
        <v>550</v>
      </c>
      <c r="D368" t="s">
        <v>899</v>
      </c>
      <c r="E368" t="s">
        <v>535</v>
      </c>
      <c r="F368" t="s">
        <v>538</v>
      </c>
      <c r="G368" t="s">
        <v>545</v>
      </c>
      <c r="H368" t="s">
        <v>1043</v>
      </c>
      <c r="I368" s="3">
        <v>6129</v>
      </c>
      <c r="J368" s="4">
        <v>7.0000000000000007E-2</v>
      </c>
      <c r="K368" s="3">
        <v>5699.97</v>
      </c>
      <c r="L368" s="3">
        <v>4572.3500000000004</v>
      </c>
      <c r="M368" s="5">
        <v>3</v>
      </c>
      <c r="N368" s="3">
        <v>129</v>
      </c>
      <c r="O368" s="6">
        <v>0.3</v>
      </c>
      <c r="P368" s="3">
        <v>17099.91</v>
      </c>
      <c r="Q368" s="3">
        <v>4701.3500000000004</v>
      </c>
      <c r="R368" s="3">
        <v>14104.050000000001</v>
      </c>
      <c r="S368" s="3">
        <v>2995.8599999999988</v>
      </c>
      <c r="T368" s="4">
        <v>0.175197413319719</v>
      </c>
      <c r="U368" s="4">
        <v>-0.12480258668028101</v>
      </c>
      <c r="V368" t="s">
        <v>1054</v>
      </c>
      <c r="W368" t="s">
        <v>1059</v>
      </c>
    </row>
    <row r="369" spans="1:23" x14ac:dyDescent="0.25">
      <c r="A369" t="s">
        <v>380</v>
      </c>
      <c r="B369" s="2">
        <v>45304</v>
      </c>
      <c r="C369" t="s">
        <v>549</v>
      </c>
      <c r="D369" t="s">
        <v>900</v>
      </c>
      <c r="E369" t="s">
        <v>536</v>
      </c>
      <c r="F369" t="s">
        <v>539</v>
      </c>
      <c r="G369" t="s">
        <v>545</v>
      </c>
      <c r="H369" t="s">
        <v>1043</v>
      </c>
      <c r="I369" s="3">
        <v>2550</v>
      </c>
      <c r="J369" s="4">
        <v>0.19</v>
      </c>
      <c r="K369" s="3">
        <v>2065.5</v>
      </c>
      <c r="L369" s="3">
        <v>1744.63</v>
      </c>
      <c r="M369" s="5">
        <v>2</v>
      </c>
      <c r="N369" s="3">
        <v>137</v>
      </c>
      <c r="O369" s="6">
        <v>0.33</v>
      </c>
      <c r="P369" s="3">
        <v>4131</v>
      </c>
      <c r="Q369" s="3">
        <v>1881.63</v>
      </c>
      <c r="R369" s="3">
        <v>3763.26</v>
      </c>
      <c r="S369" s="3">
        <v>367.73999999999978</v>
      </c>
      <c r="T369" s="4">
        <v>8.90196078431372E-2</v>
      </c>
      <c r="U369" s="4">
        <v>-0.24098039215686301</v>
      </c>
      <c r="V369" t="s">
        <v>1054</v>
      </c>
      <c r="W369" t="s">
        <v>1055</v>
      </c>
    </row>
    <row r="370" spans="1:23" x14ac:dyDescent="0.25">
      <c r="A370" t="s">
        <v>381</v>
      </c>
      <c r="B370" s="2">
        <v>45351</v>
      </c>
      <c r="C370" t="s">
        <v>547</v>
      </c>
      <c r="D370" t="s">
        <v>901</v>
      </c>
      <c r="E370" t="s">
        <v>537</v>
      </c>
      <c r="F370" t="s">
        <v>541</v>
      </c>
      <c r="G370" t="s">
        <v>546</v>
      </c>
      <c r="H370" t="s">
        <v>1044</v>
      </c>
      <c r="I370" s="3">
        <v>1040</v>
      </c>
      <c r="J370" s="4">
        <v>0.17</v>
      </c>
      <c r="K370" s="3">
        <v>863.2</v>
      </c>
      <c r="L370" s="3">
        <v>691.14</v>
      </c>
      <c r="M370" s="5">
        <v>2</v>
      </c>
      <c r="N370" s="3">
        <v>190</v>
      </c>
      <c r="O370" s="6">
        <v>0.36</v>
      </c>
      <c r="P370" s="3">
        <v>1726.4</v>
      </c>
      <c r="Q370" s="3">
        <v>881.14</v>
      </c>
      <c r="R370" s="3">
        <v>1762.28</v>
      </c>
      <c r="S370" s="3">
        <v>-35.879999999999882</v>
      </c>
      <c r="T370" s="4">
        <v>-2.0783132530120398E-2</v>
      </c>
      <c r="U370" s="4">
        <v>-0.38078313253012003</v>
      </c>
      <c r="V370" t="s">
        <v>1054</v>
      </c>
      <c r="W370" t="s">
        <v>1055</v>
      </c>
    </row>
    <row r="371" spans="1:23" x14ac:dyDescent="0.25">
      <c r="A371" t="s">
        <v>382</v>
      </c>
      <c r="B371" s="2">
        <v>45426</v>
      </c>
      <c r="C371" t="s">
        <v>549</v>
      </c>
      <c r="D371" t="s">
        <v>902</v>
      </c>
      <c r="E371" t="s">
        <v>537</v>
      </c>
      <c r="F371" t="s">
        <v>541</v>
      </c>
      <c r="G371" t="s">
        <v>545</v>
      </c>
      <c r="H371" t="s">
        <v>1044</v>
      </c>
      <c r="I371" s="3">
        <v>2203</v>
      </c>
      <c r="J371" s="4">
        <v>0.14000000000000001</v>
      </c>
      <c r="K371" s="3">
        <v>1894.58</v>
      </c>
      <c r="L371" s="3">
        <v>1346.93</v>
      </c>
      <c r="M371" s="5">
        <v>1</v>
      </c>
      <c r="N371" s="3">
        <v>176</v>
      </c>
      <c r="O371" s="6">
        <v>0.45</v>
      </c>
      <c r="P371" s="3">
        <v>1894.58</v>
      </c>
      <c r="Q371" s="3">
        <v>1522.93</v>
      </c>
      <c r="R371" s="3">
        <v>1522.93</v>
      </c>
      <c r="S371" s="3">
        <v>371.64999999999986</v>
      </c>
      <c r="T371" s="4">
        <v>0.19616484920140601</v>
      </c>
      <c r="U371" s="4">
        <v>-0.25383515079859398</v>
      </c>
      <c r="V371" t="s">
        <v>1054</v>
      </c>
      <c r="W371" t="s">
        <v>1055</v>
      </c>
    </row>
    <row r="372" spans="1:23" x14ac:dyDescent="0.25">
      <c r="A372" t="s">
        <v>383</v>
      </c>
      <c r="B372" s="2">
        <v>45348</v>
      </c>
      <c r="C372" t="s">
        <v>547</v>
      </c>
      <c r="D372" t="s">
        <v>903</v>
      </c>
      <c r="E372" t="s">
        <v>537</v>
      </c>
      <c r="F372" t="s">
        <v>541</v>
      </c>
      <c r="G372" t="s">
        <v>546</v>
      </c>
      <c r="H372" t="s">
        <v>1042</v>
      </c>
      <c r="I372" s="3">
        <v>6394</v>
      </c>
      <c r="J372" s="4">
        <v>0.2</v>
      </c>
      <c r="K372" s="3">
        <v>5115.2</v>
      </c>
      <c r="L372" s="3">
        <v>3804.14</v>
      </c>
      <c r="M372" s="5">
        <v>3</v>
      </c>
      <c r="N372" s="3">
        <v>197</v>
      </c>
      <c r="O372" s="6">
        <v>0.3</v>
      </c>
      <c r="P372" s="3">
        <v>15345.599999999999</v>
      </c>
      <c r="Q372" s="3">
        <v>4001.14</v>
      </c>
      <c r="R372" s="3">
        <v>12003.42</v>
      </c>
      <c r="S372" s="3">
        <v>3342.1799999999985</v>
      </c>
      <c r="T372" s="4">
        <v>0.21779402564904601</v>
      </c>
      <c r="U372" s="4">
        <v>-8.2205974350954003E-2</v>
      </c>
      <c r="V372" t="s">
        <v>1054</v>
      </c>
      <c r="W372" t="s">
        <v>1056</v>
      </c>
    </row>
    <row r="373" spans="1:23" x14ac:dyDescent="0.25">
      <c r="A373" t="s">
        <v>384</v>
      </c>
      <c r="B373" s="2">
        <v>45327</v>
      </c>
      <c r="C373" t="s">
        <v>548</v>
      </c>
      <c r="D373" t="s">
        <v>904</v>
      </c>
      <c r="E373" t="s">
        <v>537</v>
      </c>
      <c r="F373" t="s">
        <v>541</v>
      </c>
      <c r="G373" t="s">
        <v>546</v>
      </c>
      <c r="H373" t="s">
        <v>1045</v>
      </c>
      <c r="I373" s="3">
        <v>6417</v>
      </c>
      <c r="J373" s="4">
        <v>0.09</v>
      </c>
      <c r="K373" s="3">
        <v>5839.47</v>
      </c>
      <c r="L373" s="3">
        <v>3265.78</v>
      </c>
      <c r="M373" s="5">
        <v>1</v>
      </c>
      <c r="N373" s="3">
        <v>90</v>
      </c>
      <c r="O373" s="6">
        <v>0.31</v>
      </c>
      <c r="P373" s="3">
        <v>5839.47</v>
      </c>
      <c r="Q373" s="3">
        <v>3355.78</v>
      </c>
      <c r="R373" s="3">
        <v>3355.78</v>
      </c>
      <c r="S373" s="3">
        <v>2483.69</v>
      </c>
      <c r="T373" s="4">
        <v>0.42532798353275197</v>
      </c>
      <c r="U373" s="4">
        <v>0.115327983532752</v>
      </c>
      <c r="V373" t="s">
        <v>1058</v>
      </c>
      <c r="W373" t="s">
        <v>1059</v>
      </c>
    </row>
    <row r="374" spans="1:23" x14ac:dyDescent="0.25">
      <c r="A374" t="s">
        <v>385</v>
      </c>
      <c r="B374" s="2">
        <v>45464</v>
      </c>
      <c r="C374" t="s">
        <v>550</v>
      </c>
      <c r="D374" t="s">
        <v>905</v>
      </c>
      <c r="E374" t="s">
        <v>535</v>
      </c>
      <c r="F374" t="s">
        <v>538</v>
      </c>
      <c r="G374" t="s">
        <v>545</v>
      </c>
      <c r="H374" t="s">
        <v>1043</v>
      </c>
      <c r="I374" s="3">
        <v>3253</v>
      </c>
      <c r="J374" s="4">
        <v>0.34</v>
      </c>
      <c r="K374" s="3">
        <v>2146.98</v>
      </c>
      <c r="L374" s="3">
        <v>2373.6999999999998</v>
      </c>
      <c r="M374" s="5">
        <v>3</v>
      </c>
      <c r="N374" s="3">
        <v>86</v>
      </c>
      <c r="O374" s="6">
        <v>0.3</v>
      </c>
      <c r="P374" s="3">
        <v>6440.9400000000005</v>
      </c>
      <c r="Q374" s="3">
        <v>2459.6999999999998</v>
      </c>
      <c r="R374" s="3">
        <v>7379.0999999999995</v>
      </c>
      <c r="S374" s="3">
        <v>-938.15999999999894</v>
      </c>
      <c r="T374" s="4">
        <v>-0.14565575832099001</v>
      </c>
      <c r="U374" s="4">
        <v>-0.44565575832099003</v>
      </c>
      <c r="V374" t="s">
        <v>1054</v>
      </c>
      <c r="W374" t="s">
        <v>1056</v>
      </c>
    </row>
    <row r="375" spans="1:23" x14ac:dyDescent="0.25">
      <c r="A375" t="s">
        <v>386</v>
      </c>
      <c r="B375" s="2">
        <v>45311</v>
      </c>
      <c r="C375" t="s">
        <v>548</v>
      </c>
      <c r="D375" t="s">
        <v>906</v>
      </c>
      <c r="E375" t="s">
        <v>535</v>
      </c>
      <c r="F375" t="s">
        <v>538</v>
      </c>
      <c r="G375" t="s">
        <v>546</v>
      </c>
      <c r="H375" t="s">
        <v>1045</v>
      </c>
      <c r="I375" s="3">
        <v>6951</v>
      </c>
      <c r="J375" s="4">
        <v>0.3</v>
      </c>
      <c r="K375" s="3">
        <v>4865.7</v>
      </c>
      <c r="L375" s="3">
        <v>3723.74</v>
      </c>
      <c r="M375" s="5">
        <v>3</v>
      </c>
      <c r="N375" s="3">
        <v>175</v>
      </c>
      <c r="O375" s="6">
        <v>0.38</v>
      </c>
      <c r="P375" s="3">
        <v>14597.099999999999</v>
      </c>
      <c r="Q375" s="3">
        <v>3898.74</v>
      </c>
      <c r="R375" s="3">
        <v>11696.22</v>
      </c>
      <c r="S375" s="3">
        <v>2900.8799999999992</v>
      </c>
      <c r="T375" s="4">
        <v>0.198729884703126</v>
      </c>
      <c r="U375" s="4">
        <v>-0.18127011529687401</v>
      </c>
      <c r="V375" t="s">
        <v>1054</v>
      </c>
      <c r="W375" t="s">
        <v>1056</v>
      </c>
    </row>
    <row r="376" spans="1:23" x14ac:dyDescent="0.25">
      <c r="A376" t="s">
        <v>387</v>
      </c>
      <c r="B376" s="2">
        <v>45356</v>
      </c>
      <c r="C376" t="s">
        <v>549</v>
      </c>
      <c r="D376" t="s">
        <v>907</v>
      </c>
      <c r="E376" t="s">
        <v>537</v>
      </c>
      <c r="F376" t="s">
        <v>543</v>
      </c>
      <c r="G376" t="s">
        <v>545</v>
      </c>
      <c r="H376" t="s">
        <v>1044</v>
      </c>
      <c r="I376" s="3">
        <v>5937</v>
      </c>
      <c r="J376" s="4">
        <v>0.08</v>
      </c>
      <c r="K376" s="3">
        <v>5462.04</v>
      </c>
      <c r="L376" s="3">
        <v>3663.34</v>
      </c>
      <c r="M376" s="5">
        <v>1</v>
      </c>
      <c r="N376" s="3">
        <v>40</v>
      </c>
      <c r="O376" s="6">
        <v>0.42</v>
      </c>
      <c r="P376" s="3">
        <v>5462.04</v>
      </c>
      <c r="Q376" s="3">
        <v>3703.34</v>
      </c>
      <c r="R376" s="3">
        <v>3703.34</v>
      </c>
      <c r="S376" s="3">
        <v>1758.6999999999998</v>
      </c>
      <c r="T376" s="4">
        <v>0.32198592467283299</v>
      </c>
      <c r="U376" s="4">
        <v>-9.8014075327166994E-2</v>
      </c>
      <c r="V376" t="s">
        <v>1054</v>
      </c>
      <c r="W376" t="s">
        <v>1059</v>
      </c>
    </row>
    <row r="377" spans="1:23" x14ac:dyDescent="0.25">
      <c r="A377" t="s">
        <v>388</v>
      </c>
      <c r="B377" s="2">
        <v>45299</v>
      </c>
      <c r="C377" t="s">
        <v>547</v>
      </c>
      <c r="D377" t="s">
        <v>908</v>
      </c>
      <c r="E377" t="s">
        <v>535</v>
      </c>
      <c r="F377" t="s">
        <v>540</v>
      </c>
      <c r="G377" t="s">
        <v>546</v>
      </c>
      <c r="H377" t="s">
        <v>1045</v>
      </c>
      <c r="I377" s="3">
        <v>2859</v>
      </c>
      <c r="J377" s="4">
        <v>0.21</v>
      </c>
      <c r="K377" s="3">
        <v>2258.61</v>
      </c>
      <c r="L377" s="3">
        <v>1791.68</v>
      </c>
      <c r="M377" s="5">
        <v>1</v>
      </c>
      <c r="N377" s="3">
        <v>141</v>
      </c>
      <c r="O377" s="6">
        <v>0.39</v>
      </c>
      <c r="P377" s="3">
        <v>2258.61</v>
      </c>
      <c r="Q377" s="3">
        <v>1932.68</v>
      </c>
      <c r="R377" s="3">
        <v>1932.68</v>
      </c>
      <c r="S377" s="3">
        <v>325.93000000000006</v>
      </c>
      <c r="T377" s="4">
        <v>0.144305568469103</v>
      </c>
      <c r="U377" s="4">
        <v>-0.24569443153089701</v>
      </c>
      <c r="V377" t="s">
        <v>1054</v>
      </c>
      <c r="W377" t="s">
        <v>1056</v>
      </c>
    </row>
    <row r="378" spans="1:23" x14ac:dyDescent="0.25">
      <c r="A378" t="s">
        <v>389</v>
      </c>
      <c r="B378" s="2">
        <v>45435</v>
      </c>
      <c r="C378" t="s">
        <v>549</v>
      </c>
      <c r="D378" t="s">
        <v>909</v>
      </c>
      <c r="E378" t="s">
        <v>535</v>
      </c>
      <c r="F378" t="s">
        <v>538</v>
      </c>
      <c r="G378" t="s">
        <v>545</v>
      </c>
      <c r="H378" t="s">
        <v>1043</v>
      </c>
      <c r="I378" s="3">
        <v>3029</v>
      </c>
      <c r="J378" s="4">
        <v>0.19</v>
      </c>
      <c r="K378" s="3">
        <v>2453.4899999999998</v>
      </c>
      <c r="L378" s="3">
        <v>1682.2</v>
      </c>
      <c r="M378" s="5">
        <v>2</v>
      </c>
      <c r="N378" s="3">
        <v>26</v>
      </c>
      <c r="O378" s="6">
        <v>0.32</v>
      </c>
      <c r="P378" s="3">
        <v>4906.9799999999996</v>
      </c>
      <c r="Q378" s="3">
        <v>1708.2</v>
      </c>
      <c r="R378" s="3">
        <v>3416.4</v>
      </c>
      <c r="S378" s="3">
        <v>1490.5799999999995</v>
      </c>
      <c r="T378" s="4">
        <v>0.30376728659990498</v>
      </c>
      <c r="U378" s="4">
        <v>-1.6232713400095002E-2</v>
      </c>
      <c r="V378" t="s">
        <v>1054</v>
      </c>
      <c r="W378" t="s">
        <v>1055</v>
      </c>
    </row>
    <row r="379" spans="1:23" x14ac:dyDescent="0.25">
      <c r="A379" t="s">
        <v>390</v>
      </c>
      <c r="B379" s="2">
        <v>45433</v>
      </c>
      <c r="C379" t="s">
        <v>550</v>
      </c>
      <c r="D379" t="s">
        <v>910</v>
      </c>
      <c r="E379" t="s">
        <v>535</v>
      </c>
      <c r="F379" t="s">
        <v>540</v>
      </c>
      <c r="G379" t="s">
        <v>545</v>
      </c>
      <c r="H379" t="s">
        <v>1044</v>
      </c>
      <c r="I379" s="3">
        <v>3595</v>
      </c>
      <c r="J379" s="4">
        <v>0.28999999999999998</v>
      </c>
      <c r="K379" s="3">
        <v>2552.4499999999998</v>
      </c>
      <c r="L379" s="3">
        <v>2254.0100000000002</v>
      </c>
      <c r="M379" s="5">
        <v>1</v>
      </c>
      <c r="N379" s="3">
        <v>165</v>
      </c>
      <c r="O379" s="6">
        <v>0.4</v>
      </c>
      <c r="P379" s="3">
        <v>2552.4499999999998</v>
      </c>
      <c r="Q379" s="3">
        <v>2419.0100000000002</v>
      </c>
      <c r="R379" s="3">
        <v>2419.0100000000002</v>
      </c>
      <c r="S379" s="3">
        <v>133.4399999999996</v>
      </c>
      <c r="T379" s="4">
        <v>5.2279182745989E-2</v>
      </c>
      <c r="U379" s="4">
        <v>-0.34772081725401099</v>
      </c>
      <c r="V379" t="s">
        <v>1054</v>
      </c>
      <c r="W379" t="s">
        <v>1056</v>
      </c>
    </row>
    <row r="380" spans="1:23" x14ac:dyDescent="0.25">
      <c r="A380" t="s">
        <v>391</v>
      </c>
      <c r="B380" s="2">
        <v>45406</v>
      </c>
      <c r="C380" t="s">
        <v>550</v>
      </c>
      <c r="D380" t="s">
        <v>911</v>
      </c>
      <c r="E380" t="s">
        <v>537</v>
      </c>
      <c r="F380" t="s">
        <v>543</v>
      </c>
      <c r="G380" t="s">
        <v>546</v>
      </c>
      <c r="H380" t="s">
        <v>1043</v>
      </c>
      <c r="I380" s="3">
        <v>920</v>
      </c>
      <c r="J380" s="4">
        <v>0.33</v>
      </c>
      <c r="K380" s="3">
        <v>616.4</v>
      </c>
      <c r="L380" s="3">
        <v>517.72</v>
      </c>
      <c r="M380" s="5">
        <v>2</v>
      </c>
      <c r="N380" s="3">
        <v>103</v>
      </c>
      <c r="O380" s="6">
        <v>0.31</v>
      </c>
      <c r="P380" s="3">
        <v>1232.8</v>
      </c>
      <c r="Q380" s="3">
        <v>620.72</v>
      </c>
      <c r="R380" s="3">
        <v>1241.44</v>
      </c>
      <c r="S380" s="3">
        <v>-8.6400000000001</v>
      </c>
      <c r="T380" s="4">
        <v>-7.0084360804673097E-3</v>
      </c>
      <c r="U380" s="4">
        <v>-0.31700843608046703</v>
      </c>
      <c r="V380" t="s">
        <v>1054</v>
      </c>
      <c r="W380" t="s">
        <v>1056</v>
      </c>
    </row>
    <row r="381" spans="1:23" x14ac:dyDescent="0.25">
      <c r="A381" t="s">
        <v>392</v>
      </c>
      <c r="B381" s="2">
        <v>45434</v>
      </c>
      <c r="C381" t="s">
        <v>548</v>
      </c>
      <c r="D381" t="s">
        <v>912</v>
      </c>
      <c r="E381" t="s">
        <v>535</v>
      </c>
      <c r="F381" t="s">
        <v>538</v>
      </c>
      <c r="G381" t="s">
        <v>545</v>
      </c>
      <c r="H381" t="s">
        <v>1044</v>
      </c>
      <c r="I381" s="3">
        <v>6821</v>
      </c>
      <c r="J381" s="4">
        <v>0.25</v>
      </c>
      <c r="K381" s="3">
        <v>5115.75</v>
      </c>
      <c r="L381" s="3">
        <v>4027.79</v>
      </c>
      <c r="M381" s="5">
        <v>3</v>
      </c>
      <c r="N381" s="3">
        <v>117</v>
      </c>
      <c r="O381" s="6">
        <v>0.3</v>
      </c>
      <c r="P381" s="3">
        <v>15347.25</v>
      </c>
      <c r="Q381" s="3">
        <v>4144.79</v>
      </c>
      <c r="R381" s="3">
        <v>12434.369999999999</v>
      </c>
      <c r="S381" s="3">
        <v>2912.880000000001</v>
      </c>
      <c r="T381" s="4">
        <v>0.18979817231099999</v>
      </c>
      <c r="U381" s="4">
        <v>-0.110201827689</v>
      </c>
      <c r="V381" t="s">
        <v>1054</v>
      </c>
      <c r="W381" t="s">
        <v>1056</v>
      </c>
    </row>
    <row r="382" spans="1:23" x14ac:dyDescent="0.25">
      <c r="A382" t="s">
        <v>393</v>
      </c>
      <c r="B382" s="2">
        <v>45383</v>
      </c>
      <c r="C382" t="s">
        <v>547</v>
      </c>
      <c r="D382" t="s">
        <v>913</v>
      </c>
      <c r="E382" t="s">
        <v>537</v>
      </c>
      <c r="F382" t="s">
        <v>542</v>
      </c>
      <c r="G382" t="s">
        <v>546</v>
      </c>
      <c r="H382" t="s">
        <v>1043</v>
      </c>
      <c r="I382" s="3">
        <v>5536</v>
      </c>
      <c r="J382" s="4">
        <v>0.1</v>
      </c>
      <c r="K382" s="3">
        <v>4982.3999999999996</v>
      </c>
      <c r="L382" s="3">
        <v>2532.67</v>
      </c>
      <c r="M382" s="5">
        <v>1</v>
      </c>
      <c r="N382" s="3">
        <v>107</v>
      </c>
      <c r="O382" s="6">
        <v>0.34</v>
      </c>
      <c r="P382" s="3">
        <v>4982.3999999999996</v>
      </c>
      <c r="Q382" s="3">
        <v>2639.67</v>
      </c>
      <c r="R382" s="3">
        <v>2639.67</v>
      </c>
      <c r="S382" s="3">
        <v>2342.7299999999996</v>
      </c>
      <c r="T382" s="4">
        <v>0.47020110789980701</v>
      </c>
      <c r="U382" s="4">
        <v>0.13020110789980699</v>
      </c>
      <c r="V382" t="s">
        <v>1058</v>
      </c>
      <c r="W382" t="s">
        <v>1055</v>
      </c>
    </row>
    <row r="383" spans="1:23" x14ac:dyDescent="0.25">
      <c r="A383" t="s">
        <v>394</v>
      </c>
      <c r="B383" s="2">
        <v>45389</v>
      </c>
      <c r="C383" t="s">
        <v>550</v>
      </c>
      <c r="D383" t="s">
        <v>914</v>
      </c>
      <c r="E383" t="s">
        <v>535</v>
      </c>
      <c r="F383" t="s">
        <v>540</v>
      </c>
      <c r="G383" t="s">
        <v>545</v>
      </c>
      <c r="H383" t="s">
        <v>1042</v>
      </c>
      <c r="I383" s="3">
        <v>121</v>
      </c>
      <c r="J383" s="4">
        <v>0.33</v>
      </c>
      <c r="K383" s="3">
        <v>81.069999999999993</v>
      </c>
      <c r="L383" s="3">
        <v>79.7</v>
      </c>
      <c r="M383" s="5">
        <v>2</v>
      </c>
      <c r="N383" s="3">
        <v>116</v>
      </c>
      <c r="O383" s="6">
        <v>0.35</v>
      </c>
      <c r="P383" s="3">
        <v>162.13999999999999</v>
      </c>
      <c r="Q383" s="3">
        <v>195.7</v>
      </c>
      <c r="R383" s="3">
        <v>391.4</v>
      </c>
      <c r="S383" s="3">
        <v>-229.26</v>
      </c>
      <c r="T383" s="4">
        <v>-1.4139632416430199</v>
      </c>
      <c r="U383" s="4">
        <v>-1.76396324164302</v>
      </c>
      <c r="V383" t="s">
        <v>1057</v>
      </c>
      <c r="W383" t="s">
        <v>1056</v>
      </c>
    </row>
    <row r="384" spans="1:23" x14ac:dyDescent="0.25">
      <c r="A384" t="s">
        <v>395</v>
      </c>
      <c r="B384" s="2">
        <v>45357</v>
      </c>
      <c r="C384" t="s">
        <v>548</v>
      </c>
      <c r="D384" t="s">
        <v>915</v>
      </c>
      <c r="E384" t="s">
        <v>536</v>
      </c>
      <c r="F384" t="s">
        <v>539</v>
      </c>
      <c r="G384" t="s">
        <v>545</v>
      </c>
      <c r="H384" t="s">
        <v>1042</v>
      </c>
      <c r="I384" s="3">
        <v>2603</v>
      </c>
      <c r="J384" s="4">
        <v>0.25</v>
      </c>
      <c r="K384" s="3">
        <v>1952.25</v>
      </c>
      <c r="L384" s="3">
        <v>1613.17</v>
      </c>
      <c r="M384" s="5">
        <v>2</v>
      </c>
      <c r="N384" s="3">
        <v>160</v>
      </c>
      <c r="O384" s="6">
        <v>0.34</v>
      </c>
      <c r="P384" s="3">
        <v>3904.5</v>
      </c>
      <c r="Q384" s="3">
        <v>1773.17</v>
      </c>
      <c r="R384" s="3">
        <v>3546.34</v>
      </c>
      <c r="S384" s="3">
        <v>358.15999999999985</v>
      </c>
      <c r="T384" s="4">
        <v>9.17300550646689E-2</v>
      </c>
      <c r="U384" s="4">
        <v>-0.248269944935331</v>
      </c>
      <c r="V384" t="s">
        <v>1054</v>
      </c>
      <c r="W384" t="s">
        <v>1056</v>
      </c>
    </row>
    <row r="385" spans="1:23" x14ac:dyDescent="0.25">
      <c r="A385" t="s">
        <v>396</v>
      </c>
      <c r="B385" s="2">
        <v>45323</v>
      </c>
      <c r="C385" t="s">
        <v>549</v>
      </c>
      <c r="D385" t="s">
        <v>916</v>
      </c>
      <c r="E385" t="s">
        <v>535</v>
      </c>
      <c r="F385" t="s">
        <v>540</v>
      </c>
      <c r="G385" t="s">
        <v>546</v>
      </c>
      <c r="H385" t="s">
        <v>1042</v>
      </c>
      <c r="I385" s="3">
        <v>1306</v>
      </c>
      <c r="J385" s="4">
        <v>0.13</v>
      </c>
      <c r="K385" s="3">
        <v>1136.22</v>
      </c>
      <c r="L385" s="3">
        <v>751.7</v>
      </c>
      <c r="M385" s="5">
        <v>1</v>
      </c>
      <c r="N385" s="3">
        <v>97</v>
      </c>
      <c r="O385" s="6">
        <v>0.34</v>
      </c>
      <c r="P385" s="3">
        <v>1136.22</v>
      </c>
      <c r="Q385" s="3">
        <v>848.7</v>
      </c>
      <c r="R385" s="3">
        <v>848.7</v>
      </c>
      <c r="S385" s="3">
        <v>287.52</v>
      </c>
      <c r="T385" s="4">
        <v>0.25304958546760298</v>
      </c>
      <c r="U385" s="4">
        <v>-8.6950414532397005E-2</v>
      </c>
      <c r="V385" t="s">
        <v>1054</v>
      </c>
      <c r="W385" t="s">
        <v>1055</v>
      </c>
    </row>
    <row r="386" spans="1:23" x14ac:dyDescent="0.25">
      <c r="A386" t="s">
        <v>397</v>
      </c>
      <c r="B386" s="2">
        <v>45377</v>
      </c>
      <c r="C386" t="s">
        <v>548</v>
      </c>
      <c r="D386" t="s">
        <v>917</v>
      </c>
      <c r="E386" t="s">
        <v>536</v>
      </c>
      <c r="F386" t="s">
        <v>544</v>
      </c>
      <c r="G386" t="s">
        <v>545</v>
      </c>
      <c r="H386" t="s">
        <v>1044</v>
      </c>
      <c r="I386" s="3">
        <v>322</v>
      </c>
      <c r="J386" s="4">
        <v>0.25</v>
      </c>
      <c r="K386" s="3">
        <v>241.5</v>
      </c>
      <c r="L386" s="3">
        <v>163.47999999999999</v>
      </c>
      <c r="M386" s="5">
        <v>2</v>
      </c>
      <c r="N386" s="3">
        <v>37</v>
      </c>
      <c r="O386" s="6">
        <v>0.39</v>
      </c>
      <c r="P386" s="3">
        <v>483</v>
      </c>
      <c r="Q386" s="3">
        <v>200.48</v>
      </c>
      <c r="R386" s="3">
        <v>400.96</v>
      </c>
      <c r="S386" s="3">
        <v>82.04000000000002</v>
      </c>
      <c r="T386" s="4">
        <v>0.16985507246376799</v>
      </c>
      <c r="U386" s="4">
        <v>-0.22014492753623199</v>
      </c>
      <c r="V386" t="s">
        <v>1054</v>
      </c>
      <c r="W386" t="s">
        <v>1056</v>
      </c>
    </row>
    <row r="387" spans="1:23" x14ac:dyDescent="0.25">
      <c r="A387" t="s">
        <v>398</v>
      </c>
      <c r="B387" s="2">
        <v>45342</v>
      </c>
      <c r="C387" t="s">
        <v>549</v>
      </c>
      <c r="D387" t="s">
        <v>918</v>
      </c>
      <c r="E387" t="s">
        <v>536</v>
      </c>
      <c r="F387" t="s">
        <v>544</v>
      </c>
      <c r="G387" t="s">
        <v>546</v>
      </c>
      <c r="H387" t="s">
        <v>1045</v>
      </c>
      <c r="I387" s="3">
        <v>7516</v>
      </c>
      <c r="J387" s="4">
        <v>0.15</v>
      </c>
      <c r="K387" s="3">
        <v>6388.6</v>
      </c>
      <c r="L387" s="3">
        <v>4409.53</v>
      </c>
      <c r="M387" s="5">
        <v>1</v>
      </c>
      <c r="N387" s="3">
        <v>67</v>
      </c>
      <c r="O387" s="6">
        <v>0.4</v>
      </c>
      <c r="P387" s="3">
        <v>6388.6</v>
      </c>
      <c r="Q387" s="3">
        <v>4476.53</v>
      </c>
      <c r="R387" s="3">
        <v>4476.53</v>
      </c>
      <c r="S387" s="3">
        <v>1912.0700000000006</v>
      </c>
      <c r="T387" s="4">
        <v>0.29929405503553203</v>
      </c>
      <c r="U387" s="4">
        <v>-0.100705944964468</v>
      </c>
      <c r="V387" t="s">
        <v>1054</v>
      </c>
      <c r="W387" t="s">
        <v>1055</v>
      </c>
    </row>
    <row r="388" spans="1:23" x14ac:dyDescent="0.25">
      <c r="A388" t="s">
        <v>399</v>
      </c>
      <c r="B388" s="2">
        <v>45444</v>
      </c>
      <c r="C388" t="s">
        <v>550</v>
      </c>
      <c r="D388" t="s">
        <v>919</v>
      </c>
      <c r="E388" t="s">
        <v>537</v>
      </c>
      <c r="F388" t="s">
        <v>541</v>
      </c>
      <c r="G388" t="s">
        <v>546</v>
      </c>
      <c r="H388" t="s">
        <v>1043</v>
      </c>
      <c r="I388" s="3">
        <v>5865</v>
      </c>
      <c r="J388" s="4">
        <v>0.18</v>
      </c>
      <c r="K388" s="3">
        <v>4809.3</v>
      </c>
      <c r="L388" s="3">
        <v>3098.56</v>
      </c>
      <c r="M388" s="5">
        <v>1</v>
      </c>
      <c r="N388" s="3">
        <v>57</v>
      </c>
      <c r="O388" s="6">
        <v>0.44</v>
      </c>
      <c r="P388" s="3">
        <v>4809.3</v>
      </c>
      <c r="Q388" s="3">
        <v>3155.56</v>
      </c>
      <c r="R388" s="3">
        <v>3155.56</v>
      </c>
      <c r="S388" s="3">
        <v>1653.7400000000002</v>
      </c>
      <c r="T388" s="4">
        <v>0.34386293223545999</v>
      </c>
      <c r="U388" s="4">
        <v>-9.6137067764539993E-2</v>
      </c>
      <c r="V388" t="s">
        <v>1054</v>
      </c>
      <c r="W388" t="s">
        <v>1055</v>
      </c>
    </row>
    <row r="389" spans="1:23" x14ac:dyDescent="0.25">
      <c r="A389" t="s">
        <v>400</v>
      </c>
      <c r="B389" s="2">
        <v>45354</v>
      </c>
      <c r="C389" t="s">
        <v>549</v>
      </c>
      <c r="D389" t="s">
        <v>920</v>
      </c>
      <c r="E389" t="s">
        <v>537</v>
      </c>
      <c r="F389" t="s">
        <v>543</v>
      </c>
      <c r="G389" t="s">
        <v>546</v>
      </c>
      <c r="H389" t="s">
        <v>1044</v>
      </c>
      <c r="I389" s="3">
        <v>3009</v>
      </c>
      <c r="J389" s="4">
        <v>0.26</v>
      </c>
      <c r="K389" s="3">
        <v>2226.66</v>
      </c>
      <c r="L389" s="3">
        <v>1600.44</v>
      </c>
      <c r="M389" s="5">
        <v>2</v>
      </c>
      <c r="N389" s="3">
        <v>128</v>
      </c>
      <c r="O389" s="6">
        <v>0.36</v>
      </c>
      <c r="P389" s="3">
        <v>4453.32</v>
      </c>
      <c r="Q389" s="3">
        <v>1728.44</v>
      </c>
      <c r="R389" s="3">
        <v>3456.88</v>
      </c>
      <c r="S389" s="3">
        <v>996.4399999999996</v>
      </c>
      <c r="T389" s="4">
        <v>0.22375216692265501</v>
      </c>
      <c r="U389" s="4">
        <v>-0.136247833077345</v>
      </c>
      <c r="V389" t="s">
        <v>1054</v>
      </c>
      <c r="W389" t="s">
        <v>1056</v>
      </c>
    </row>
    <row r="390" spans="1:23" x14ac:dyDescent="0.25">
      <c r="A390" t="s">
        <v>401</v>
      </c>
      <c r="B390" s="2">
        <v>45416</v>
      </c>
      <c r="C390" t="s">
        <v>550</v>
      </c>
      <c r="D390" t="s">
        <v>921</v>
      </c>
      <c r="E390" t="s">
        <v>537</v>
      </c>
      <c r="F390" t="s">
        <v>541</v>
      </c>
      <c r="G390" t="s">
        <v>546</v>
      </c>
      <c r="H390" t="s">
        <v>1043</v>
      </c>
      <c r="I390" s="3">
        <v>3099</v>
      </c>
      <c r="J390" s="4">
        <v>0.32</v>
      </c>
      <c r="K390" s="3">
        <v>2107.3200000000002</v>
      </c>
      <c r="L390" s="3">
        <v>1996.55</v>
      </c>
      <c r="M390" s="5">
        <v>2</v>
      </c>
      <c r="N390" s="3">
        <v>113</v>
      </c>
      <c r="O390" s="6">
        <v>0.31</v>
      </c>
      <c r="P390" s="3">
        <v>4214.6400000000003</v>
      </c>
      <c r="Q390" s="3">
        <v>2109.5500000000002</v>
      </c>
      <c r="R390" s="3">
        <v>4219.1000000000004</v>
      </c>
      <c r="S390" s="3">
        <v>-4.4600000000000364</v>
      </c>
      <c r="T390" s="4">
        <v>-1.0582161228479901E-3</v>
      </c>
      <c r="U390" s="4">
        <v>-0.31105821612284801</v>
      </c>
      <c r="V390" t="s">
        <v>1054</v>
      </c>
      <c r="W390" t="s">
        <v>1056</v>
      </c>
    </row>
    <row r="391" spans="1:23" x14ac:dyDescent="0.25">
      <c r="A391" t="s">
        <v>402</v>
      </c>
      <c r="B391" s="2">
        <v>45441</v>
      </c>
      <c r="C391" t="s">
        <v>550</v>
      </c>
      <c r="D391" t="s">
        <v>922</v>
      </c>
      <c r="E391" t="s">
        <v>535</v>
      </c>
      <c r="F391" t="s">
        <v>540</v>
      </c>
      <c r="G391" t="s">
        <v>545</v>
      </c>
      <c r="H391" t="s">
        <v>1045</v>
      </c>
      <c r="I391" s="3">
        <v>320</v>
      </c>
      <c r="J391" s="4">
        <v>0.19</v>
      </c>
      <c r="K391" s="3">
        <v>259.2</v>
      </c>
      <c r="L391" s="3">
        <v>227.04</v>
      </c>
      <c r="M391" s="5">
        <v>2</v>
      </c>
      <c r="N391" s="3">
        <v>53</v>
      </c>
      <c r="O391" s="6">
        <v>0.4</v>
      </c>
      <c r="P391" s="3">
        <v>518.4</v>
      </c>
      <c r="Q391" s="3">
        <v>280.03999999999996</v>
      </c>
      <c r="R391" s="3">
        <v>560.07999999999993</v>
      </c>
      <c r="S391" s="3">
        <v>-41.67999999999995</v>
      </c>
      <c r="T391" s="4">
        <v>-8.0401234567901103E-2</v>
      </c>
      <c r="U391" s="4">
        <v>-0.48040123456790101</v>
      </c>
      <c r="V391" t="s">
        <v>1054</v>
      </c>
      <c r="W391" t="s">
        <v>1055</v>
      </c>
    </row>
    <row r="392" spans="1:23" x14ac:dyDescent="0.25">
      <c r="A392" t="s">
        <v>403</v>
      </c>
      <c r="B392" s="2">
        <v>45349</v>
      </c>
      <c r="C392" t="s">
        <v>549</v>
      </c>
      <c r="D392" t="s">
        <v>923</v>
      </c>
      <c r="E392" t="s">
        <v>537</v>
      </c>
      <c r="F392" t="s">
        <v>541</v>
      </c>
      <c r="G392" t="s">
        <v>546</v>
      </c>
      <c r="H392" t="s">
        <v>1044</v>
      </c>
      <c r="I392" s="3">
        <v>6561</v>
      </c>
      <c r="J392" s="4">
        <v>0.13</v>
      </c>
      <c r="K392" s="3">
        <v>5708.07</v>
      </c>
      <c r="L392" s="3">
        <v>3327.63</v>
      </c>
      <c r="M392" s="5">
        <v>3</v>
      </c>
      <c r="N392" s="3">
        <v>167</v>
      </c>
      <c r="O392" s="6">
        <v>0.34</v>
      </c>
      <c r="P392" s="3">
        <v>17124.21</v>
      </c>
      <c r="Q392" s="3">
        <v>3494.63</v>
      </c>
      <c r="R392" s="3">
        <v>10483.89</v>
      </c>
      <c r="S392" s="3">
        <v>6640.32</v>
      </c>
      <c r="T392" s="4">
        <v>0.38777380095198599</v>
      </c>
      <c r="U392" s="4">
        <v>4.7773800951986002E-2</v>
      </c>
      <c r="V392" t="s">
        <v>1058</v>
      </c>
      <c r="W392" t="s">
        <v>1055</v>
      </c>
    </row>
    <row r="393" spans="1:23" x14ac:dyDescent="0.25">
      <c r="A393" t="s">
        <v>404</v>
      </c>
      <c r="B393" s="2">
        <v>45349</v>
      </c>
      <c r="C393" t="s">
        <v>550</v>
      </c>
      <c r="D393" t="s">
        <v>924</v>
      </c>
      <c r="E393" t="s">
        <v>535</v>
      </c>
      <c r="F393" t="s">
        <v>538</v>
      </c>
      <c r="G393" t="s">
        <v>546</v>
      </c>
      <c r="H393" t="s">
        <v>1045</v>
      </c>
      <c r="I393" s="3">
        <v>3602</v>
      </c>
      <c r="J393" s="4">
        <v>0.09</v>
      </c>
      <c r="K393" s="3">
        <v>3277.82</v>
      </c>
      <c r="L393" s="3">
        <v>2358.0300000000002</v>
      </c>
      <c r="M393" s="5">
        <v>3</v>
      </c>
      <c r="N393" s="3">
        <v>119</v>
      </c>
      <c r="O393" s="6">
        <v>0.35</v>
      </c>
      <c r="P393" s="3">
        <v>9833.4600000000009</v>
      </c>
      <c r="Q393" s="3">
        <v>2477.0300000000002</v>
      </c>
      <c r="R393" s="3">
        <v>7431.09</v>
      </c>
      <c r="S393" s="3">
        <v>2402.3700000000008</v>
      </c>
      <c r="T393" s="4">
        <v>0.244305666571075</v>
      </c>
      <c r="U393" s="4">
        <v>-0.10569433342892499</v>
      </c>
      <c r="V393" t="s">
        <v>1054</v>
      </c>
      <c r="W393" t="s">
        <v>1059</v>
      </c>
    </row>
    <row r="394" spans="1:23" x14ac:dyDescent="0.25">
      <c r="A394" t="s">
        <v>405</v>
      </c>
      <c r="B394" s="2">
        <v>45377</v>
      </c>
      <c r="C394" t="s">
        <v>547</v>
      </c>
      <c r="D394" t="s">
        <v>925</v>
      </c>
      <c r="E394" t="s">
        <v>535</v>
      </c>
      <c r="F394" t="s">
        <v>538</v>
      </c>
      <c r="G394" t="s">
        <v>546</v>
      </c>
      <c r="H394" t="s">
        <v>1044</v>
      </c>
      <c r="I394" s="3">
        <v>7329</v>
      </c>
      <c r="J394" s="4">
        <v>0.12</v>
      </c>
      <c r="K394" s="3">
        <v>6449.52</v>
      </c>
      <c r="L394" s="3">
        <v>3331.42</v>
      </c>
      <c r="M394" s="5">
        <v>2</v>
      </c>
      <c r="N394" s="3">
        <v>100</v>
      </c>
      <c r="O394" s="6">
        <v>0.3</v>
      </c>
      <c r="P394" s="3">
        <v>12899.04</v>
      </c>
      <c r="Q394" s="3">
        <v>3431.42</v>
      </c>
      <c r="R394" s="3">
        <v>6862.84</v>
      </c>
      <c r="S394" s="3">
        <v>6036.2000000000007</v>
      </c>
      <c r="T394" s="4">
        <v>0.46795730534985602</v>
      </c>
      <c r="U394" s="4">
        <v>0.16795730534985601</v>
      </c>
      <c r="V394" t="s">
        <v>1058</v>
      </c>
      <c r="W394" t="s">
        <v>1055</v>
      </c>
    </row>
    <row r="395" spans="1:23" x14ac:dyDescent="0.25">
      <c r="A395" t="s">
        <v>406</v>
      </c>
      <c r="B395" s="2">
        <v>45340</v>
      </c>
      <c r="C395" t="s">
        <v>549</v>
      </c>
      <c r="D395" t="s">
        <v>926</v>
      </c>
      <c r="E395" t="s">
        <v>537</v>
      </c>
      <c r="F395" t="s">
        <v>541</v>
      </c>
      <c r="G395" t="s">
        <v>545</v>
      </c>
      <c r="H395" t="s">
        <v>1043</v>
      </c>
      <c r="I395" s="3">
        <v>2235</v>
      </c>
      <c r="J395" s="4">
        <v>0.15</v>
      </c>
      <c r="K395" s="3">
        <v>1899.75</v>
      </c>
      <c r="L395" s="3">
        <v>1013</v>
      </c>
      <c r="M395" s="5">
        <v>1</v>
      </c>
      <c r="N395" s="3">
        <v>70</v>
      </c>
      <c r="O395" s="6">
        <v>0.3</v>
      </c>
      <c r="P395" s="3">
        <v>1899.75</v>
      </c>
      <c r="Q395" s="3">
        <v>1083</v>
      </c>
      <c r="R395" s="3">
        <v>1083</v>
      </c>
      <c r="S395" s="3">
        <v>816.75</v>
      </c>
      <c r="T395" s="4">
        <v>0.42992499013028002</v>
      </c>
      <c r="U395" s="4">
        <v>0.12992499013028</v>
      </c>
      <c r="V395" t="s">
        <v>1058</v>
      </c>
      <c r="W395" t="s">
        <v>1055</v>
      </c>
    </row>
    <row r="396" spans="1:23" x14ac:dyDescent="0.25">
      <c r="A396" t="s">
        <v>407</v>
      </c>
      <c r="B396" s="2">
        <v>45471</v>
      </c>
      <c r="C396" t="s">
        <v>549</v>
      </c>
      <c r="D396" t="s">
        <v>927</v>
      </c>
      <c r="E396" t="s">
        <v>536</v>
      </c>
      <c r="F396" t="s">
        <v>539</v>
      </c>
      <c r="G396" t="s">
        <v>546</v>
      </c>
      <c r="H396" t="s">
        <v>1043</v>
      </c>
      <c r="I396" s="3">
        <v>3982</v>
      </c>
      <c r="J396" s="4">
        <v>0.12</v>
      </c>
      <c r="K396" s="3">
        <v>3504.16</v>
      </c>
      <c r="L396" s="3">
        <v>2861.9</v>
      </c>
      <c r="M396" s="5">
        <v>1</v>
      </c>
      <c r="N396" s="3">
        <v>11</v>
      </c>
      <c r="O396" s="6">
        <v>0.4</v>
      </c>
      <c r="P396" s="3">
        <v>3504.16</v>
      </c>
      <c r="Q396" s="3">
        <v>2872.9</v>
      </c>
      <c r="R396" s="3">
        <v>2872.9</v>
      </c>
      <c r="S396" s="3">
        <v>631.25999999999976</v>
      </c>
      <c r="T396" s="4">
        <v>0.1801458837496</v>
      </c>
      <c r="U396" s="4">
        <v>-0.21985411625039999</v>
      </c>
      <c r="V396" t="s">
        <v>1054</v>
      </c>
      <c r="W396" t="s">
        <v>1055</v>
      </c>
    </row>
    <row r="397" spans="1:23" x14ac:dyDescent="0.25">
      <c r="A397" t="s">
        <v>408</v>
      </c>
      <c r="B397" s="2">
        <v>45461</v>
      </c>
      <c r="C397" t="s">
        <v>549</v>
      </c>
      <c r="D397" t="s">
        <v>928</v>
      </c>
      <c r="E397" t="s">
        <v>537</v>
      </c>
      <c r="F397" t="s">
        <v>541</v>
      </c>
      <c r="G397" t="s">
        <v>546</v>
      </c>
      <c r="H397" t="s">
        <v>1044</v>
      </c>
      <c r="I397" s="3">
        <v>1675</v>
      </c>
      <c r="J397" s="4">
        <v>0.28999999999999998</v>
      </c>
      <c r="K397" s="3">
        <v>1189.25</v>
      </c>
      <c r="L397" s="3">
        <v>1129.7</v>
      </c>
      <c r="M397" s="5">
        <v>1</v>
      </c>
      <c r="N397" s="3">
        <v>198</v>
      </c>
      <c r="O397" s="6">
        <v>0.42</v>
      </c>
      <c r="P397" s="3">
        <v>1189.25</v>
      </c>
      <c r="Q397" s="3">
        <v>1327.7</v>
      </c>
      <c r="R397" s="3">
        <v>1327.7</v>
      </c>
      <c r="S397" s="3">
        <v>-138.45000000000005</v>
      </c>
      <c r="T397" s="4">
        <v>-0.11641791044776099</v>
      </c>
      <c r="U397" s="4">
        <v>-0.53641791044776099</v>
      </c>
      <c r="V397" t="s">
        <v>1057</v>
      </c>
      <c r="W397" t="s">
        <v>1056</v>
      </c>
    </row>
    <row r="398" spans="1:23" x14ac:dyDescent="0.25">
      <c r="A398" t="s">
        <v>409</v>
      </c>
      <c r="B398" s="2">
        <v>45361</v>
      </c>
      <c r="C398" t="s">
        <v>548</v>
      </c>
      <c r="D398" t="s">
        <v>929</v>
      </c>
      <c r="E398" t="s">
        <v>537</v>
      </c>
      <c r="F398" t="s">
        <v>542</v>
      </c>
      <c r="G398" t="s">
        <v>545</v>
      </c>
      <c r="H398" t="s">
        <v>1045</v>
      </c>
      <c r="I398" s="3">
        <v>1769</v>
      </c>
      <c r="J398" s="4">
        <v>0.15</v>
      </c>
      <c r="K398" s="3">
        <v>1503.65</v>
      </c>
      <c r="L398" s="3">
        <v>822.77</v>
      </c>
      <c r="M398" s="5">
        <v>1</v>
      </c>
      <c r="N398" s="3">
        <v>61</v>
      </c>
      <c r="O398" s="6">
        <v>0.4</v>
      </c>
      <c r="P398" s="3">
        <v>1503.65</v>
      </c>
      <c r="Q398" s="3">
        <v>883.77</v>
      </c>
      <c r="R398" s="3">
        <v>883.77</v>
      </c>
      <c r="S398" s="3">
        <v>619.88000000000011</v>
      </c>
      <c r="T398" s="4">
        <v>0.41225019120140999</v>
      </c>
      <c r="U398" s="4">
        <v>1.225019120141E-2</v>
      </c>
      <c r="V398" t="s">
        <v>1058</v>
      </c>
      <c r="W398" t="s">
        <v>1055</v>
      </c>
    </row>
    <row r="399" spans="1:23" x14ac:dyDescent="0.25">
      <c r="A399" t="s">
        <v>410</v>
      </c>
      <c r="B399" s="2">
        <v>45306</v>
      </c>
      <c r="C399" t="s">
        <v>548</v>
      </c>
      <c r="D399" t="s">
        <v>930</v>
      </c>
      <c r="E399" t="s">
        <v>537</v>
      </c>
      <c r="F399" t="s">
        <v>542</v>
      </c>
      <c r="G399" t="s">
        <v>546</v>
      </c>
      <c r="H399" t="s">
        <v>1045</v>
      </c>
      <c r="I399" s="3">
        <v>3312</v>
      </c>
      <c r="J399" s="4">
        <v>0.26</v>
      </c>
      <c r="K399" s="3">
        <v>2450.88</v>
      </c>
      <c r="L399" s="3">
        <v>2382.4</v>
      </c>
      <c r="M399" s="5">
        <v>1</v>
      </c>
      <c r="N399" s="3">
        <v>88</v>
      </c>
      <c r="O399" s="6">
        <v>0.28999999999999998</v>
      </c>
      <c r="P399" s="3">
        <v>2450.88</v>
      </c>
      <c r="Q399" s="3">
        <v>2470.4</v>
      </c>
      <c r="R399" s="3">
        <v>2470.4</v>
      </c>
      <c r="S399" s="3">
        <v>-19.519999999999982</v>
      </c>
      <c r="T399" s="4">
        <v>-7.9644862253557807E-3</v>
      </c>
      <c r="U399" s="4">
        <v>-0.29796448622535598</v>
      </c>
      <c r="V399" t="s">
        <v>1054</v>
      </c>
      <c r="W399" t="s">
        <v>1056</v>
      </c>
    </row>
    <row r="400" spans="1:23" x14ac:dyDescent="0.25">
      <c r="A400" t="s">
        <v>411</v>
      </c>
      <c r="B400" s="2">
        <v>45345</v>
      </c>
      <c r="C400" t="s">
        <v>549</v>
      </c>
      <c r="D400" t="s">
        <v>931</v>
      </c>
      <c r="E400" t="s">
        <v>535</v>
      </c>
      <c r="F400" t="s">
        <v>538</v>
      </c>
      <c r="G400" t="s">
        <v>546</v>
      </c>
      <c r="H400" t="s">
        <v>1045</v>
      </c>
      <c r="I400" s="3">
        <v>4674</v>
      </c>
      <c r="J400" s="4">
        <v>0.22</v>
      </c>
      <c r="K400" s="3">
        <v>3645.72</v>
      </c>
      <c r="L400" s="3">
        <v>2322.09</v>
      </c>
      <c r="M400" s="5">
        <v>1</v>
      </c>
      <c r="N400" s="3">
        <v>175</v>
      </c>
      <c r="O400" s="6">
        <v>0.34</v>
      </c>
      <c r="P400" s="3">
        <v>3645.72</v>
      </c>
      <c r="Q400" s="3">
        <v>2497.09</v>
      </c>
      <c r="R400" s="3">
        <v>2497.09</v>
      </c>
      <c r="S400" s="3">
        <v>1148.6299999999997</v>
      </c>
      <c r="T400" s="4">
        <v>0.31506259394577701</v>
      </c>
      <c r="U400" s="4">
        <v>-2.4937406054223E-2</v>
      </c>
      <c r="V400" t="s">
        <v>1054</v>
      </c>
      <c r="W400" t="s">
        <v>1056</v>
      </c>
    </row>
    <row r="401" spans="1:23" x14ac:dyDescent="0.25">
      <c r="A401" t="s">
        <v>412</v>
      </c>
      <c r="B401" s="2">
        <v>45392</v>
      </c>
      <c r="C401" t="s">
        <v>550</v>
      </c>
      <c r="D401" t="s">
        <v>932</v>
      </c>
      <c r="E401" t="s">
        <v>537</v>
      </c>
      <c r="F401" t="s">
        <v>541</v>
      </c>
      <c r="G401" t="s">
        <v>546</v>
      </c>
      <c r="H401" t="s">
        <v>1042</v>
      </c>
      <c r="I401" s="3">
        <v>3566</v>
      </c>
      <c r="J401" s="4">
        <v>0.22</v>
      </c>
      <c r="K401" s="3">
        <v>2781.48</v>
      </c>
      <c r="L401" s="3">
        <v>2419.7600000000002</v>
      </c>
      <c r="M401" s="5">
        <v>1</v>
      </c>
      <c r="N401" s="3">
        <v>22</v>
      </c>
      <c r="O401" s="6">
        <v>0.33</v>
      </c>
      <c r="P401" s="3">
        <v>2781.48</v>
      </c>
      <c r="Q401" s="3">
        <v>2441.7600000000002</v>
      </c>
      <c r="R401" s="3">
        <v>2441.7600000000002</v>
      </c>
      <c r="S401" s="3">
        <v>339.7199999999998</v>
      </c>
      <c r="T401" s="4">
        <v>0.122136416583977</v>
      </c>
      <c r="U401" s="4">
        <v>-0.20786358341602301</v>
      </c>
      <c r="V401" t="s">
        <v>1054</v>
      </c>
      <c r="W401" t="s">
        <v>1056</v>
      </c>
    </row>
    <row r="402" spans="1:23" x14ac:dyDescent="0.25">
      <c r="A402" t="s">
        <v>413</v>
      </c>
      <c r="B402" s="2">
        <v>45299</v>
      </c>
      <c r="C402" t="s">
        <v>550</v>
      </c>
      <c r="D402" t="s">
        <v>933</v>
      </c>
      <c r="E402" t="s">
        <v>537</v>
      </c>
      <c r="F402" t="s">
        <v>542</v>
      </c>
      <c r="G402" t="s">
        <v>546</v>
      </c>
      <c r="H402" t="s">
        <v>1044</v>
      </c>
      <c r="I402" s="3">
        <v>7434</v>
      </c>
      <c r="J402" s="4">
        <v>0.23</v>
      </c>
      <c r="K402" s="3">
        <v>5724.18</v>
      </c>
      <c r="L402" s="3">
        <v>5435.24</v>
      </c>
      <c r="M402" s="5">
        <v>2</v>
      </c>
      <c r="N402" s="3">
        <v>29</v>
      </c>
      <c r="O402" s="6">
        <v>0.31</v>
      </c>
      <c r="P402" s="3">
        <v>11448.36</v>
      </c>
      <c r="Q402" s="3">
        <v>5464.24</v>
      </c>
      <c r="R402" s="3">
        <v>10928.48</v>
      </c>
      <c r="S402" s="3">
        <v>519.88000000000102</v>
      </c>
      <c r="T402" s="4">
        <v>4.5410871076730697E-2</v>
      </c>
      <c r="U402" s="4">
        <v>-0.26458912892326902</v>
      </c>
      <c r="V402" t="s">
        <v>1054</v>
      </c>
      <c r="W402" t="s">
        <v>1056</v>
      </c>
    </row>
    <row r="403" spans="1:23" x14ac:dyDescent="0.25">
      <c r="A403" t="s">
        <v>414</v>
      </c>
      <c r="B403" s="2">
        <v>45344</v>
      </c>
      <c r="C403" t="s">
        <v>549</v>
      </c>
      <c r="D403" t="s">
        <v>934</v>
      </c>
      <c r="E403" t="s">
        <v>537</v>
      </c>
      <c r="F403" t="s">
        <v>543</v>
      </c>
      <c r="G403" t="s">
        <v>546</v>
      </c>
      <c r="H403" t="s">
        <v>1043</v>
      </c>
      <c r="I403" s="3">
        <v>1535</v>
      </c>
      <c r="J403" s="4">
        <v>7.0000000000000007E-2</v>
      </c>
      <c r="K403" s="3">
        <v>1427.55</v>
      </c>
      <c r="L403" s="3">
        <v>883.09</v>
      </c>
      <c r="M403" s="5">
        <v>3</v>
      </c>
      <c r="N403" s="3">
        <v>128</v>
      </c>
      <c r="O403" s="6">
        <v>0.38</v>
      </c>
      <c r="P403" s="3">
        <v>4282.6499999999996</v>
      </c>
      <c r="Q403" s="3">
        <v>1011.09</v>
      </c>
      <c r="R403" s="3">
        <v>3033.27</v>
      </c>
      <c r="S403" s="3">
        <v>1249.3799999999997</v>
      </c>
      <c r="T403" s="4">
        <v>0.29173058736996998</v>
      </c>
      <c r="U403" s="4">
        <v>-8.8269412630030006E-2</v>
      </c>
      <c r="V403" t="s">
        <v>1054</v>
      </c>
      <c r="W403" t="s">
        <v>1059</v>
      </c>
    </row>
    <row r="404" spans="1:23" x14ac:dyDescent="0.25">
      <c r="A404" t="s">
        <v>415</v>
      </c>
      <c r="B404" s="2">
        <v>45351</v>
      </c>
      <c r="C404" t="s">
        <v>548</v>
      </c>
      <c r="D404" t="s">
        <v>827</v>
      </c>
      <c r="E404" t="s">
        <v>536</v>
      </c>
      <c r="F404" t="s">
        <v>544</v>
      </c>
      <c r="G404" t="s">
        <v>546</v>
      </c>
      <c r="H404" t="s">
        <v>1044</v>
      </c>
      <c r="I404" s="3">
        <v>1989</v>
      </c>
      <c r="J404" s="4">
        <v>0.22</v>
      </c>
      <c r="K404" s="3">
        <v>1551.42</v>
      </c>
      <c r="L404" s="3">
        <v>1135.6400000000001</v>
      </c>
      <c r="M404" s="5">
        <v>1</v>
      </c>
      <c r="N404" s="3">
        <v>185</v>
      </c>
      <c r="O404" s="6">
        <v>0.35</v>
      </c>
      <c r="P404" s="3">
        <v>1551.42</v>
      </c>
      <c r="Q404" s="3">
        <v>1320.64</v>
      </c>
      <c r="R404" s="3">
        <v>1320.64</v>
      </c>
      <c r="S404" s="3">
        <v>230.77999999999997</v>
      </c>
      <c r="T404" s="4">
        <v>0.14875404468164599</v>
      </c>
      <c r="U404" s="4">
        <v>-0.20124595531835399</v>
      </c>
      <c r="V404" t="s">
        <v>1054</v>
      </c>
      <c r="W404" t="s">
        <v>1056</v>
      </c>
    </row>
    <row r="405" spans="1:23" x14ac:dyDescent="0.25">
      <c r="A405" t="s">
        <v>416</v>
      </c>
      <c r="B405" s="2">
        <v>45399</v>
      </c>
      <c r="C405" t="s">
        <v>547</v>
      </c>
      <c r="D405" t="s">
        <v>935</v>
      </c>
      <c r="E405" t="s">
        <v>536</v>
      </c>
      <c r="F405" t="s">
        <v>544</v>
      </c>
      <c r="G405" t="s">
        <v>546</v>
      </c>
      <c r="H405" t="s">
        <v>1042</v>
      </c>
      <c r="I405" s="3">
        <v>3262</v>
      </c>
      <c r="J405" s="4">
        <v>0.21</v>
      </c>
      <c r="K405" s="3">
        <v>2576.98</v>
      </c>
      <c r="L405" s="3">
        <v>1994.17</v>
      </c>
      <c r="M405" s="5">
        <v>3</v>
      </c>
      <c r="N405" s="3">
        <v>174</v>
      </c>
      <c r="O405" s="6">
        <v>0.35</v>
      </c>
      <c r="P405" s="3">
        <v>7730.9400000000005</v>
      </c>
      <c r="Q405" s="3">
        <v>2168.17</v>
      </c>
      <c r="R405" s="3">
        <v>6504.51</v>
      </c>
      <c r="S405" s="3">
        <v>1226.4300000000003</v>
      </c>
      <c r="T405" s="4">
        <v>0.15863918229866</v>
      </c>
      <c r="U405" s="4">
        <v>-0.19136081770134</v>
      </c>
      <c r="V405" t="s">
        <v>1054</v>
      </c>
      <c r="W405" t="s">
        <v>1056</v>
      </c>
    </row>
    <row r="406" spans="1:23" x14ac:dyDescent="0.25">
      <c r="A406" t="s">
        <v>417</v>
      </c>
      <c r="B406" s="2">
        <v>45296</v>
      </c>
      <c r="C406" t="s">
        <v>549</v>
      </c>
      <c r="D406" t="s">
        <v>936</v>
      </c>
      <c r="E406" t="s">
        <v>536</v>
      </c>
      <c r="F406" t="s">
        <v>544</v>
      </c>
      <c r="G406" t="s">
        <v>545</v>
      </c>
      <c r="H406" t="s">
        <v>1042</v>
      </c>
      <c r="I406" s="3">
        <v>4574</v>
      </c>
      <c r="J406" s="4">
        <v>0.12</v>
      </c>
      <c r="K406" s="3">
        <v>4025.12</v>
      </c>
      <c r="L406" s="3">
        <v>2769.48</v>
      </c>
      <c r="M406" s="5">
        <v>3</v>
      </c>
      <c r="N406" s="3">
        <v>40</v>
      </c>
      <c r="O406" s="6">
        <v>0.32</v>
      </c>
      <c r="P406" s="3">
        <v>12075.36</v>
      </c>
      <c r="Q406" s="3">
        <v>2809.48</v>
      </c>
      <c r="R406" s="3">
        <v>8428.44</v>
      </c>
      <c r="S406" s="3">
        <v>3646.92</v>
      </c>
      <c r="T406" s="4">
        <v>0.30201335612354402</v>
      </c>
      <c r="U406" s="4">
        <v>-1.7986643876456002E-2</v>
      </c>
      <c r="V406" t="s">
        <v>1054</v>
      </c>
      <c r="W406" t="s">
        <v>1055</v>
      </c>
    </row>
    <row r="407" spans="1:23" x14ac:dyDescent="0.25">
      <c r="A407" t="s">
        <v>418</v>
      </c>
      <c r="B407" s="2">
        <v>45394</v>
      </c>
      <c r="C407" t="s">
        <v>548</v>
      </c>
      <c r="D407" t="s">
        <v>937</v>
      </c>
      <c r="E407" t="s">
        <v>536</v>
      </c>
      <c r="F407" t="s">
        <v>539</v>
      </c>
      <c r="G407" t="s">
        <v>545</v>
      </c>
      <c r="H407" t="s">
        <v>1045</v>
      </c>
      <c r="I407" s="3">
        <v>1011</v>
      </c>
      <c r="J407" s="4">
        <v>0.32</v>
      </c>
      <c r="K407" s="3">
        <v>687.48</v>
      </c>
      <c r="L407" s="3">
        <v>738.32</v>
      </c>
      <c r="M407" s="5">
        <v>3</v>
      </c>
      <c r="N407" s="3">
        <v>124</v>
      </c>
      <c r="O407" s="6">
        <v>0.39</v>
      </c>
      <c r="P407" s="3">
        <v>2062.44</v>
      </c>
      <c r="Q407" s="3">
        <v>862.32</v>
      </c>
      <c r="R407" s="3">
        <v>2586.96</v>
      </c>
      <c r="S407" s="3">
        <v>-524.52</v>
      </c>
      <c r="T407" s="4">
        <v>-0.25432012567638301</v>
      </c>
      <c r="U407" s="4">
        <v>-0.64432012567638297</v>
      </c>
      <c r="V407" t="s">
        <v>1057</v>
      </c>
      <c r="W407" t="s">
        <v>1056</v>
      </c>
    </row>
    <row r="408" spans="1:23" x14ac:dyDescent="0.25">
      <c r="A408" t="s">
        <v>419</v>
      </c>
      <c r="B408" s="2">
        <v>45297</v>
      </c>
      <c r="C408" t="s">
        <v>550</v>
      </c>
      <c r="D408" t="s">
        <v>938</v>
      </c>
      <c r="E408" t="s">
        <v>536</v>
      </c>
      <c r="F408" t="s">
        <v>544</v>
      </c>
      <c r="G408" t="s">
        <v>546</v>
      </c>
      <c r="H408" t="s">
        <v>1043</v>
      </c>
      <c r="I408" s="3">
        <v>5366</v>
      </c>
      <c r="J408" s="4">
        <v>0.28000000000000003</v>
      </c>
      <c r="K408" s="3">
        <v>3863.52</v>
      </c>
      <c r="L408" s="3">
        <v>3055.77</v>
      </c>
      <c r="M408" s="5">
        <v>3</v>
      </c>
      <c r="N408" s="3">
        <v>107</v>
      </c>
      <c r="O408" s="6">
        <v>0.43</v>
      </c>
      <c r="P408" s="3">
        <v>11590.56</v>
      </c>
      <c r="Q408" s="3">
        <v>3162.77</v>
      </c>
      <c r="R408" s="3">
        <v>9488.31</v>
      </c>
      <c r="S408" s="3">
        <v>2102.25</v>
      </c>
      <c r="T408" s="4">
        <v>0.18137605085517899</v>
      </c>
      <c r="U408" s="4">
        <v>-0.248623949144821</v>
      </c>
      <c r="V408" t="s">
        <v>1054</v>
      </c>
      <c r="W408" t="s">
        <v>1056</v>
      </c>
    </row>
    <row r="409" spans="1:23" x14ac:dyDescent="0.25">
      <c r="A409" t="s">
        <v>420</v>
      </c>
      <c r="B409" s="2">
        <v>45400</v>
      </c>
      <c r="C409" t="s">
        <v>550</v>
      </c>
      <c r="D409" t="s">
        <v>939</v>
      </c>
      <c r="E409" t="s">
        <v>535</v>
      </c>
      <c r="F409" t="s">
        <v>538</v>
      </c>
      <c r="G409" t="s">
        <v>545</v>
      </c>
      <c r="H409" t="s">
        <v>1045</v>
      </c>
      <c r="I409" s="3">
        <v>2591</v>
      </c>
      <c r="J409" s="4">
        <v>0.08</v>
      </c>
      <c r="K409" s="3">
        <v>2383.7199999999998</v>
      </c>
      <c r="L409" s="3">
        <v>1763.02</v>
      </c>
      <c r="M409" s="5">
        <v>2</v>
      </c>
      <c r="N409" s="3">
        <v>15</v>
      </c>
      <c r="O409" s="6">
        <v>0.42</v>
      </c>
      <c r="P409" s="3">
        <v>4767.4399999999996</v>
      </c>
      <c r="Q409" s="3">
        <v>1778.02</v>
      </c>
      <c r="R409" s="3">
        <v>3556.04</v>
      </c>
      <c r="S409" s="3">
        <v>1211.3999999999996</v>
      </c>
      <c r="T409" s="4">
        <v>0.25409863574580899</v>
      </c>
      <c r="U409" s="4">
        <v>-0.165901364254191</v>
      </c>
      <c r="V409" t="s">
        <v>1054</v>
      </c>
      <c r="W409" t="s">
        <v>1059</v>
      </c>
    </row>
    <row r="410" spans="1:23" x14ac:dyDescent="0.25">
      <c r="A410" t="s">
        <v>421</v>
      </c>
      <c r="B410" s="2">
        <v>45407</v>
      </c>
      <c r="C410" t="s">
        <v>547</v>
      </c>
      <c r="D410" t="s">
        <v>940</v>
      </c>
      <c r="E410" t="s">
        <v>537</v>
      </c>
      <c r="F410" t="s">
        <v>542</v>
      </c>
      <c r="G410" t="s">
        <v>545</v>
      </c>
      <c r="H410" t="s">
        <v>1043</v>
      </c>
      <c r="I410" s="3">
        <v>2721</v>
      </c>
      <c r="J410" s="4">
        <v>0.32</v>
      </c>
      <c r="K410" s="3">
        <v>1850.28</v>
      </c>
      <c r="L410" s="3">
        <v>1681.09</v>
      </c>
      <c r="M410" s="5">
        <v>3</v>
      </c>
      <c r="N410" s="3">
        <v>115</v>
      </c>
      <c r="O410" s="6">
        <v>0.4</v>
      </c>
      <c r="P410" s="3">
        <v>5550.84</v>
      </c>
      <c r="Q410" s="3">
        <v>1796.09</v>
      </c>
      <c r="R410" s="3">
        <v>5388.2699999999995</v>
      </c>
      <c r="S410" s="3">
        <v>162.57000000000062</v>
      </c>
      <c r="T410" s="4">
        <v>2.9287459195365101E-2</v>
      </c>
      <c r="U410" s="4">
        <v>-0.370712540804635</v>
      </c>
      <c r="V410" t="s">
        <v>1054</v>
      </c>
      <c r="W410" t="s">
        <v>1056</v>
      </c>
    </row>
    <row r="411" spans="1:23" x14ac:dyDescent="0.25">
      <c r="A411" t="s">
        <v>422</v>
      </c>
      <c r="B411" s="2">
        <v>45385</v>
      </c>
      <c r="C411" t="s">
        <v>547</v>
      </c>
      <c r="D411" t="s">
        <v>941</v>
      </c>
      <c r="E411" t="s">
        <v>536</v>
      </c>
      <c r="F411" t="s">
        <v>544</v>
      </c>
      <c r="G411" t="s">
        <v>545</v>
      </c>
      <c r="H411" t="s">
        <v>1045</v>
      </c>
      <c r="I411" s="3">
        <v>2513</v>
      </c>
      <c r="J411" s="4">
        <v>0.25</v>
      </c>
      <c r="K411" s="3">
        <v>1884.75</v>
      </c>
      <c r="L411" s="3">
        <v>1738.06</v>
      </c>
      <c r="M411" s="5">
        <v>1</v>
      </c>
      <c r="N411" s="3">
        <v>31</v>
      </c>
      <c r="O411" s="6">
        <v>0.35</v>
      </c>
      <c r="P411" s="3">
        <v>1884.75</v>
      </c>
      <c r="Q411" s="3">
        <v>1769.06</v>
      </c>
      <c r="R411" s="3">
        <v>1769.06</v>
      </c>
      <c r="S411" s="3">
        <v>115.69000000000005</v>
      </c>
      <c r="T411" s="4">
        <v>6.13821461732326E-2</v>
      </c>
      <c r="U411" s="4">
        <v>-0.28861785382676702</v>
      </c>
      <c r="V411" t="s">
        <v>1054</v>
      </c>
      <c r="W411" t="s">
        <v>1056</v>
      </c>
    </row>
    <row r="412" spans="1:23" x14ac:dyDescent="0.25">
      <c r="A412" t="s">
        <v>423</v>
      </c>
      <c r="B412" s="2">
        <v>45338</v>
      </c>
      <c r="C412" t="s">
        <v>547</v>
      </c>
      <c r="D412" t="s">
        <v>942</v>
      </c>
      <c r="E412" t="s">
        <v>536</v>
      </c>
      <c r="F412" t="s">
        <v>539</v>
      </c>
      <c r="G412" t="s">
        <v>545</v>
      </c>
      <c r="H412" t="s">
        <v>1044</v>
      </c>
      <c r="I412" s="3">
        <v>5562</v>
      </c>
      <c r="J412" s="4">
        <v>0.23</v>
      </c>
      <c r="K412" s="3">
        <v>4282.74</v>
      </c>
      <c r="L412" s="3">
        <v>3603.35</v>
      </c>
      <c r="M412" s="5">
        <v>1</v>
      </c>
      <c r="N412" s="3">
        <v>27</v>
      </c>
      <c r="O412" s="6">
        <v>0.33</v>
      </c>
      <c r="P412" s="3">
        <v>4282.74</v>
      </c>
      <c r="Q412" s="3">
        <v>3630.35</v>
      </c>
      <c r="R412" s="3">
        <v>3630.35</v>
      </c>
      <c r="S412" s="3">
        <v>652.38999999999987</v>
      </c>
      <c r="T412" s="4">
        <v>0.152330050388303</v>
      </c>
      <c r="U412" s="4">
        <v>-0.17766994961169699</v>
      </c>
      <c r="V412" t="s">
        <v>1054</v>
      </c>
      <c r="W412" t="s">
        <v>1056</v>
      </c>
    </row>
    <row r="413" spans="1:23" x14ac:dyDescent="0.25">
      <c r="A413" t="s">
        <v>424</v>
      </c>
      <c r="B413" s="2">
        <v>45390</v>
      </c>
      <c r="C413" t="s">
        <v>548</v>
      </c>
      <c r="D413" t="s">
        <v>943</v>
      </c>
      <c r="E413" t="s">
        <v>536</v>
      </c>
      <c r="F413" t="s">
        <v>544</v>
      </c>
      <c r="G413" t="s">
        <v>545</v>
      </c>
      <c r="H413" t="s">
        <v>1045</v>
      </c>
      <c r="I413" s="3">
        <v>7264</v>
      </c>
      <c r="J413" s="4">
        <v>0.2</v>
      </c>
      <c r="K413" s="3">
        <v>5811.2</v>
      </c>
      <c r="L413" s="3">
        <v>5267</v>
      </c>
      <c r="M413" s="5">
        <v>2</v>
      </c>
      <c r="N413" s="3">
        <v>34</v>
      </c>
      <c r="O413" s="6">
        <v>0.31</v>
      </c>
      <c r="P413" s="3">
        <v>11622.4</v>
      </c>
      <c r="Q413" s="3">
        <v>5301</v>
      </c>
      <c r="R413" s="3">
        <v>10602</v>
      </c>
      <c r="S413" s="3">
        <v>1020.3999999999996</v>
      </c>
      <c r="T413" s="4">
        <v>8.7795980176211402E-2</v>
      </c>
      <c r="U413" s="4">
        <v>-0.22220401982378901</v>
      </c>
      <c r="V413" t="s">
        <v>1054</v>
      </c>
      <c r="W413" t="s">
        <v>1056</v>
      </c>
    </row>
    <row r="414" spans="1:23" x14ac:dyDescent="0.25">
      <c r="A414" t="s">
        <v>425</v>
      </c>
      <c r="B414" s="2">
        <v>45346</v>
      </c>
      <c r="C414" t="s">
        <v>550</v>
      </c>
      <c r="D414" t="s">
        <v>944</v>
      </c>
      <c r="E414" t="s">
        <v>536</v>
      </c>
      <c r="F414" t="s">
        <v>539</v>
      </c>
      <c r="G414" t="s">
        <v>545</v>
      </c>
      <c r="H414" t="s">
        <v>1045</v>
      </c>
      <c r="I414" s="3">
        <v>3615</v>
      </c>
      <c r="J414" s="4">
        <v>0.17</v>
      </c>
      <c r="K414" s="3">
        <v>3000.45</v>
      </c>
      <c r="L414" s="3">
        <v>1735.47</v>
      </c>
      <c r="M414" s="5">
        <v>1</v>
      </c>
      <c r="N414" s="3">
        <v>178</v>
      </c>
      <c r="O414" s="6">
        <v>0.39</v>
      </c>
      <c r="P414" s="3">
        <v>3000.45</v>
      </c>
      <c r="Q414" s="3">
        <v>1913.47</v>
      </c>
      <c r="R414" s="3">
        <v>1913.47</v>
      </c>
      <c r="S414" s="3">
        <v>1086.9799999999998</v>
      </c>
      <c r="T414" s="4">
        <v>0.36227232581779401</v>
      </c>
      <c r="U414" s="4">
        <v>-2.7727674182206001E-2</v>
      </c>
      <c r="V414" t="s">
        <v>1054</v>
      </c>
      <c r="W414" t="s">
        <v>1055</v>
      </c>
    </row>
    <row r="415" spans="1:23" x14ac:dyDescent="0.25">
      <c r="A415" t="s">
        <v>426</v>
      </c>
      <c r="B415" s="2">
        <v>45459</v>
      </c>
      <c r="C415" t="s">
        <v>548</v>
      </c>
      <c r="D415" t="s">
        <v>945</v>
      </c>
      <c r="E415" t="s">
        <v>537</v>
      </c>
      <c r="F415" t="s">
        <v>543</v>
      </c>
      <c r="G415" t="s">
        <v>546</v>
      </c>
      <c r="H415" t="s">
        <v>1045</v>
      </c>
      <c r="I415" s="3">
        <v>6598</v>
      </c>
      <c r="J415" s="4">
        <v>0.33</v>
      </c>
      <c r="K415" s="3">
        <v>4420.66</v>
      </c>
      <c r="L415" s="3">
        <v>3572.03</v>
      </c>
      <c r="M415" s="5">
        <v>2</v>
      </c>
      <c r="N415" s="3">
        <v>135</v>
      </c>
      <c r="O415" s="6">
        <v>0.44</v>
      </c>
      <c r="P415" s="3">
        <v>8841.32</v>
      </c>
      <c r="Q415" s="3">
        <v>3707.03</v>
      </c>
      <c r="R415" s="3">
        <v>7414.06</v>
      </c>
      <c r="S415" s="3">
        <v>1427.2599999999993</v>
      </c>
      <c r="T415" s="4">
        <v>0.16143064610261801</v>
      </c>
      <c r="U415" s="4">
        <v>-0.27856935389738202</v>
      </c>
      <c r="V415" t="s">
        <v>1054</v>
      </c>
      <c r="W415" t="s">
        <v>1056</v>
      </c>
    </row>
    <row r="416" spans="1:23" x14ac:dyDescent="0.25">
      <c r="A416" t="s">
        <v>427</v>
      </c>
      <c r="B416" s="2">
        <v>45343</v>
      </c>
      <c r="C416" t="s">
        <v>548</v>
      </c>
      <c r="D416" t="s">
        <v>946</v>
      </c>
      <c r="E416" t="s">
        <v>537</v>
      </c>
      <c r="F416" t="s">
        <v>543</v>
      </c>
      <c r="G416" t="s">
        <v>546</v>
      </c>
      <c r="H416" t="s">
        <v>1045</v>
      </c>
      <c r="I416" s="3">
        <v>5924</v>
      </c>
      <c r="J416" s="4">
        <v>0.17</v>
      </c>
      <c r="K416" s="3">
        <v>4916.92</v>
      </c>
      <c r="L416" s="3">
        <v>2716.72</v>
      </c>
      <c r="M416" s="5">
        <v>2</v>
      </c>
      <c r="N416" s="3">
        <v>99</v>
      </c>
      <c r="O416" s="6">
        <v>0.41</v>
      </c>
      <c r="P416" s="3">
        <v>9833.84</v>
      </c>
      <c r="Q416" s="3">
        <v>2815.72</v>
      </c>
      <c r="R416" s="3">
        <v>5631.44</v>
      </c>
      <c r="S416" s="3">
        <v>4202.4000000000005</v>
      </c>
      <c r="T416" s="4">
        <v>0.42734069295412602</v>
      </c>
      <c r="U416" s="4">
        <v>1.7340692954126002E-2</v>
      </c>
      <c r="V416" t="s">
        <v>1058</v>
      </c>
      <c r="W416" t="s">
        <v>1055</v>
      </c>
    </row>
    <row r="417" spans="1:23" x14ac:dyDescent="0.25">
      <c r="A417" t="s">
        <v>428</v>
      </c>
      <c r="B417" s="2">
        <v>45435</v>
      </c>
      <c r="C417" t="s">
        <v>549</v>
      </c>
      <c r="D417" t="s">
        <v>947</v>
      </c>
      <c r="E417" t="s">
        <v>536</v>
      </c>
      <c r="F417" t="s">
        <v>539</v>
      </c>
      <c r="G417" t="s">
        <v>545</v>
      </c>
      <c r="H417" t="s">
        <v>1042</v>
      </c>
      <c r="I417" s="3">
        <v>1406</v>
      </c>
      <c r="J417" s="4">
        <v>0.22</v>
      </c>
      <c r="K417" s="3">
        <v>1096.68</v>
      </c>
      <c r="L417" s="3">
        <v>635.34</v>
      </c>
      <c r="M417" s="5">
        <v>3</v>
      </c>
      <c r="N417" s="3">
        <v>68</v>
      </c>
      <c r="O417" s="6">
        <v>0.4</v>
      </c>
      <c r="P417" s="3">
        <v>3290.04</v>
      </c>
      <c r="Q417" s="3">
        <v>703.34</v>
      </c>
      <c r="R417" s="3">
        <v>2110.02</v>
      </c>
      <c r="S417" s="3">
        <v>1180.02</v>
      </c>
      <c r="T417" s="4">
        <v>0.358664332348543</v>
      </c>
      <c r="U417" s="4">
        <v>-4.1335667651456999E-2</v>
      </c>
      <c r="V417" t="s">
        <v>1054</v>
      </c>
      <c r="W417" t="s">
        <v>1056</v>
      </c>
    </row>
    <row r="418" spans="1:23" x14ac:dyDescent="0.25">
      <c r="A418" t="s">
        <v>429</v>
      </c>
      <c r="B418" s="2">
        <v>45304</v>
      </c>
      <c r="C418" t="s">
        <v>548</v>
      </c>
      <c r="D418" t="s">
        <v>755</v>
      </c>
      <c r="E418" t="s">
        <v>536</v>
      </c>
      <c r="F418" t="s">
        <v>539</v>
      </c>
      <c r="G418" t="s">
        <v>546</v>
      </c>
      <c r="H418" t="s">
        <v>1044</v>
      </c>
      <c r="I418" s="3">
        <v>7193</v>
      </c>
      <c r="J418" s="4">
        <v>0.08</v>
      </c>
      <c r="K418" s="3">
        <v>6617.56</v>
      </c>
      <c r="L418" s="3">
        <v>4122.66</v>
      </c>
      <c r="M418" s="5">
        <v>1</v>
      </c>
      <c r="N418" s="3">
        <v>52</v>
      </c>
      <c r="O418" s="6">
        <v>0.32</v>
      </c>
      <c r="P418" s="3">
        <v>6617.56</v>
      </c>
      <c r="Q418" s="3">
        <v>4174.66</v>
      </c>
      <c r="R418" s="3">
        <v>4174.66</v>
      </c>
      <c r="S418" s="3">
        <v>2442.9000000000005</v>
      </c>
      <c r="T418" s="4">
        <v>0.36915418976178499</v>
      </c>
      <c r="U418" s="4">
        <v>4.9154189761784997E-2</v>
      </c>
      <c r="V418" t="s">
        <v>1058</v>
      </c>
      <c r="W418" t="s">
        <v>1059</v>
      </c>
    </row>
    <row r="419" spans="1:23" x14ac:dyDescent="0.25">
      <c r="A419" t="s">
        <v>430</v>
      </c>
      <c r="B419" s="2">
        <v>45405</v>
      </c>
      <c r="C419" t="s">
        <v>547</v>
      </c>
      <c r="D419" t="s">
        <v>948</v>
      </c>
      <c r="E419" t="s">
        <v>535</v>
      </c>
      <c r="F419" t="s">
        <v>538</v>
      </c>
      <c r="G419" t="s">
        <v>546</v>
      </c>
      <c r="H419" t="s">
        <v>1042</v>
      </c>
      <c r="I419" s="3">
        <v>2893</v>
      </c>
      <c r="J419" s="4">
        <v>7.0000000000000007E-2</v>
      </c>
      <c r="K419" s="3">
        <v>2690.49</v>
      </c>
      <c r="L419" s="3">
        <v>1845.55</v>
      </c>
      <c r="M419" s="5">
        <v>2</v>
      </c>
      <c r="N419" s="3">
        <v>110</v>
      </c>
      <c r="O419" s="6">
        <v>0.33</v>
      </c>
      <c r="P419" s="3">
        <v>5380.98</v>
      </c>
      <c r="Q419" s="3">
        <v>1955.55</v>
      </c>
      <c r="R419" s="3">
        <v>3911.1</v>
      </c>
      <c r="S419" s="3">
        <v>1469.8799999999997</v>
      </c>
      <c r="T419" s="4">
        <v>0.27316213775185899</v>
      </c>
      <c r="U419" s="4">
        <v>-5.6837862248140997E-2</v>
      </c>
      <c r="V419" t="s">
        <v>1054</v>
      </c>
      <c r="W419" t="s">
        <v>1059</v>
      </c>
    </row>
    <row r="420" spans="1:23" x14ac:dyDescent="0.25">
      <c r="A420" t="s">
        <v>431</v>
      </c>
      <c r="B420" s="2">
        <v>45415</v>
      </c>
      <c r="C420" t="s">
        <v>547</v>
      </c>
      <c r="D420" t="s">
        <v>949</v>
      </c>
      <c r="E420" t="s">
        <v>537</v>
      </c>
      <c r="F420" t="s">
        <v>541</v>
      </c>
      <c r="G420" t="s">
        <v>545</v>
      </c>
      <c r="H420" t="s">
        <v>1045</v>
      </c>
      <c r="I420" s="3">
        <v>3414</v>
      </c>
      <c r="J420" s="4">
        <v>0.27</v>
      </c>
      <c r="K420" s="3">
        <v>2492.2199999999998</v>
      </c>
      <c r="L420" s="3">
        <v>2032.41</v>
      </c>
      <c r="M420" s="5">
        <v>2</v>
      </c>
      <c r="N420" s="3">
        <v>184</v>
      </c>
      <c r="O420" s="6">
        <v>0.37</v>
      </c>
      <c r="P420" s="3">
        <v>4984.4399999999996</v>
      </c>
      <c r="Q420" s="3">
        <v>2216.41</v>
      </c>
      <c r="R420" s="3">
        <v>4432.82</v>
      </c>
      <c r="S420" s="3">
        <v>551.61999999999989</v>
      </c>
      <c r="T420" s="4">
        <v>0.11066840006099</v>
      </c>
      <c r="U420" s="4">
        <v>-0.25933159993901</v>
      </c>
      <c r="V420" t="s">
        <v>1054</v>
      </c>
      <c r="W420" t="s">
        <v>1056</v>
      </c>
    </row>
    <row r="421" spans="1:23" x14ac:dyDescent="0.25">
      <c r="A421" t="s">
        <v>432</v>
      </c>
      <c r="B421" s="2">
        <v>45397</v>
      </c>
      <c r="C421" t="s">
        <v>549</v>
      </c>
      <c r="D421" t="s">
        <v>950</v>
      </c>
      <c r="E421" t="s">
        <v>537</v>
      </c>
      <c r="F421" t="s">
        <v>542</v>
      </c>
      <c r="G421" t="s">
        <v>546</v>
      </c>
      <c r="H421" t="s">
        <v>1044</v>
      </c>
      <c r="I421" s="3">
        <v>7205</v>
      </c>
      <c r="J421" s="4">
        <v>0.21</v>
      </c>
      <c r="K421" s="3">
        <v>5691.95</v>
      </c>
      <c r="L421" s="3">
        <v>4828.59</v>
      </c>
      <c r="M421" s="5">
        <v>2</v>
      </c>
      <c r="N421" s="3">
        <v>72</v>
      </c>
      <c r="O421" s="6">
        <v>0.35</v>
      </c>
      <c r="P421" s="3">
        <v>11383.9</v>
      </c>
      <c r="Q421" s="3">
        <v>4900.59</v>
      </c>
      <c r="R421" s="3">
        <v>9801.18</v>
      </c>
      <c r="S421" s="3">
        <v>1582.7199999999993</v>
      </c>
      <c r="T421" s="4">
        <v>0.13903143913773</v>
      </c>
      <c r="U421" s="4">
        <v>-0.21096856086227</v>
      </c>
      <c r="V421" t="s">
        <v>1054</v>
      </c>
      <c r="W421" t="s">
        <v>1056</v>
      </c>
    </row>
    <row r="422" spans="1:23" x14ac:dyDescent="0.25">
      <c r="A422" t="s">
        <v>433</v>
      </c>
      <c r="B422" s="2">
        <v>45449</v>
      </c>
      <c r="C422" t="s">
        <v>550</v>
      </c>
      <c r="D422" t="s">
        <v>951</v>
      </c>
      <c r="E422" t="s">
        <v>537</v>
      </c>
      <c r="F422" t="s">
        <v>542</v>
      </c>
      <c r="G422" t="s">
        <v>546</v>
      </c>
      <c r="H422" t="s">
        <v>1045</v>
      </c>
      <c r="I422" s="3">
        <v>1860</v>
      </c>
      <c r="J422" s="4">
        <v>0.26</v>
      </c>
      <c r="K422" s="3">
        <v>1376.4</v>
      </c>
      <c r="L422" s="3">
        <v>944.94</v>
      </c>
      <c r="M422" s="5">
        <v>2</v>
      </c>
      <c r="N422" s="3">
        <v>71</v>
      </c>
      <c r="O422" s="6">
        <v>0.32</v>
      </c>
      <c r="P422" s="3">
        <v>2752.8</v>
      </c>
      <c r="Q422" s="3">
        <v>1015.94</v>
      </c>
      <c r="R422" s="3">
        <v>2031.88</v>
      </c>
      <c r="S422" s="3">
        <v>720.92000000000007</v>
      </c>
      <c r="T422" s="4">
        <v>0.26188607962801502</v>
      </c>
      <c r="U422" s="4">
        <v>-5.8113920371984998E-2</v>
      </c>
      <c r="V422" t="s">
        <v>1054</v>
      </c>
      <c r="W422" t="s">
        <v>1056</v>
      </c>
    </row>
    <row r="423" spans="1:23" x14ac:dyDescent="0.25">
      <c r="A423" t="s">
        <v>434</v>
      </c>
      <c r="B423" s="2">
        <v>45438</v>
      </c>
      <c r="C423" t="s">
        <v>547</v>
      </c>
      <c r="D423" t="s">
        <v>952</v>
      </c>
      <c r="E423" t="s">
        <v>536</v>
      </c>
      <c r="F423" t="s">
        <v>544</v>
      </c>
      <c r="G423" t="s">
        <v>546</v>
      </c>
      <c r="H423" t="s">
        <v>1044</v>
      </c>
      <c r="I423" s="3">
        <v>5719</v>
      </c>
      <c r="J423" s="4">
        <v>0.12</v>
      </c>
      <c r="K423" s="3">
        <v>5032.72</v>
      </c>
      <c r="L423" s="3">
        <v>3727.16</v>
      </c>
      <c r="M423" s="5">
        <v>1</v>
      </c>
      <c r="N423" s="3">
        <v>194</v>
      </c>
      <c r="O423" s="6">
        <v>0.37</v>
      </c>
      <c r="P423" s="3">
        <v>5032.72</v>
      </c>
      <c r="Q423" s="3">
        <v>3921.16</v>
      </c>
      <c r="R423" s="3">
        <v>3921.16</v>
      </c>
      <c r="S423" s="3">
        <v>1111.5600000000004</v>
      </c>
      <c r="T423" s="4">
        <v>0.22086664865122599</v>
      </c>
      <c r="U423" s="4">
        <v>-0.14913335134877401</v>
      </c>
      <c r="V423" t="s">
        <v>1054</v>
      </c>
      <c r="W423" t="s">
        <v>1055</v>
      </c>
    </row>
    <row r="424" spans="1:23" x14ac:dyDescent="0.25">
      <c r="A424" t="s">
        <v>435</v>
      </c>
      <c r="B424" s="2">
        <v>45436</v>
      </c>
      <c r="C424" t="s">
        <v>549</v>
      </c>
      <c r="D424" t="s">
        <v>953</v>
      </c>
      <c r="E424" t="s">
        <v>537</v>
      </c>
      <c r="F424" t="s">
        <v>542</v>
      </c>
      <c r="G424" t="s">
        <v>545</v>
      </c>
      <c r="H424" t="s">
        <v>1044</v>
      </c>
      <c r="I424" s="3">
        <v>3798</v>
      </c>
      <c r="J424" s="4">
        <v>7.0000000000000007E-2</v>
      </c>
      <c r="K424" s="3">
        <v>3532.14</v>
      </c>
      <c r="L424" s="3">
        <v>1748.91</v>
      </c>
      <c r="M424" s="5">
        <v>2</v>
      </c>
      <c r="N424" s="3">
        <v>53</v>
      </c>
      <c r="O424" s="6">
        <v>0.28999999999999998</v>
      </c>
      <c r="P424" s="3">
        <v>7064.28</v>
      </c>
      <c r="Q424" s="3">
        <v>1801.91</v>
      </c>
      <c r="R424" s="3">
        <v>3603.82</v>
      </c>
      <c r="S424" s="3">
        <v>3460.4599999999996</v>
      </c>
      <c r="T424" s="4">
        <v>0.48985317682764601</v>
      </c>
      <c r="U424" s="4">
        <v>0.199853176827646</v>
      </c>
      <c r="V424" t="s">
        <v>1058</v>
      </c>
      <c r="W424" t="s">
        <v>1059</v>
      </c>
    </row>
    <row r="425" spans="1:23" x14ac:dyDescent="0.25">
      <c r="A425" t="s">
        <v>436</v>
      </c>
      <c r="B425" s="2">
        <v>45411</v>
      </c>
      <c r="C425" t="s">
        <v>548</v>
      </c>
      <c r="D425" t="s">
        <v>954</v>
      </c>
      <c r="E425" t="s">
        <v>537</v>
      </c>
      <c r="F425" t="s">
        <v>541</v>
      </c>
      <c r="G425" t="s">
        <v>546</v>
      </c>
      <c r="H425" t="s">
        <v>1043</v>
      </c>
      <c r="I425" s="3">
        <v>2575</v>
      </c>
      <c r="J425" s="4">
        <v>0.16</v>
      </c>
      <c r="K425" s="3">
        <v>2163</v>
      </c>
      <c r="L425" s="3">
        <v>1747.14</v>
      </c>
      <c r="M425" s="5">
        <v>1</v>
      </c>
      <c r="N425" s="3">
        <v>94</v>
      </c>
      <c r="O425" s="6">
        <v>0.39</v>
      </c>
      <c r="P425" s="3">
        <v>2163</v>
      </c>
      <c r="Q425" s="3">
        <v>1841.14</v>
      </c>
      <c r="R425" s="3">
        <v>1841.14</v>
      </c>
      <c r="S425" s="3">
        <v>321.8599999999999</v>
      </c>
      <c r="T425" s="4">
        <v>0.14880258899676399</v>
      </c>
      <c r="U425" s="4">
        <v>-0.241197411003236</v>
      </c>
      <c r="V425" t="s">
        <v>1054</v>
      </c>
      <c r="W425" t="s">
        <v>1055</v>
      </c>
    </row>
    <row r="426" spans="1:23" x14ac:dyDescent="0.25">
      <c r="A426" t="s">
        <v>437</v>
      </c>
      <c r="B426" s="2">
        <v>45354</v>
      </c>
      <c r="C426" t="s">
        <v>550</v>
      </c>
      <c r="D426" t="s">
        <v>955</v>
      </c>
      <c r="E426" t="s">
        <v>535</v>
      </c>
      <c r="F426" t="s">
        <v>538</v>
      </c>
      <c r="G426" t="s">
        <v>546</v>
      </c>
      <c r="H426" t="s">
        <v>1043</v>
      </c>
      <c r="I426" s="3">
        <v>179</v>
      </c>
      <c r="J426" s="4">
        <v>0.24</v>
      </c>
      <c r="K426" s="3">
        <v>136.04</v>
      </c>
      <c r="L426" s="3">
        <v>116.28</v>
      </c>
      <c r="M426" s="5">
        <v>2</v>
      </c>
      <c r="N426" s="3">
        <v>105</v>
      </c>
      <c r="O426" s="6">
        <v>0.28000000000000003</v>
      </c>
      <c r="P426" s="3">
        <v>272.08</v>
      </c>
      <c r="Q426" s="3">
        <v>221.28</v>
      </c>
      <c r="R426" s="3">
        <v>442.56</v>
      </c>
      <c r="S426" s="3">
        <v>-170.48000000000002</v>
      </c>
      <c r="T426" s="4">
        <v>-0.62658041752425797</v>
      </c>
      <c r="U426" s="4">
        <v>-0.906580417524258</v>
      </c>
      <c r="V426" t="s">
        <v>1057</v>
      </c>
      <c r="W426" t="s">
        <v>1056</v>
      </c>
    </row>
    <row r="427" spans="1:23" x14ac:dyDescent="0.25">
      <c r="A427" t="s">
        <v>438</v>
      </c>
      <c r="B427" s="2">
        <v>45310</v>
      </c>
      <c r="C427" t="s">
        <v>548</v>
      </c>
      <c r="D427" t="s">
        <v>956</v>
      </c>
      <c r="E427" t="s">
        <v>535</v>
      </c>
      <c r="F427" t="s">
        <v>540</v>
      </c>
      <c r="G427" t="s">
        <v>546</v>
      </c>
      <c r="H427" t="s">
        <v>1044</v>
      </c>
      <c r="I427" s="3">
        <v>5579</v>
      </c>
      <c r="J427" s="4">
        <v>0.21</v>
      </c>
      <c r="K427" s="3">
        <v>4407.41</v>
      </c>
      <c r="L427" s="3">
        <v>2934.97</v>
      </c>
      <c r="M427" s="5">
        <v>1</v>
      </c>
      <c r="N427" s="3">
        <v>101</v>
      </c>
      <c r="O427" s="6">
        <v>0.39</v>
      </c>
      <c r="P427" s="3">
        <v>4407.41</v>
      </c>
      <c r="Q427" s="3">
        <v>3035.97</v>
      </c>
      <c r="R427" s="3">
        <v>3035.97</v>
      </c>
      <c r="S427" s="3">
        <v>1371.44</v>
      </c>
      <c r="T427" s="4">
        <v>0.311166875784191</v>
      </c>
      <c r="U427" s="4">
        <v>-7.8833124215809E-2</v>
      </c>
      <c r="V427" t="s">
        <v>1054</v>
      </c>
      <c r="W427" t="s">
        <v>1056</v>
      </c>
    </row>
    <row r="428" spans="1:23" x14ac:dyDescent="0.25">
      <c r="A428" t="s">
        <v>439</v>
      </c>
      <c r="B428" s="2">
        <v>45383</v>
      </c>
      <c r="C428" t="s">
        <v>550</v>
      </c>
      <c r="D428" t="s">
        <v>957</v>
      </c>
      <c r="E428" t="s">
        <v>537</v>
      </c>
      <c r="F428" t="s">
        <v>541</v>
      </c>
      <c r="G428" t="s">
        <v>545</v>
      </c>
      <c r="H428" t="s">
        <v>1042</v>
      </c>
      <c r="I428" s="3">
        <v>1181</v>
      </c>
      <c r="J428" s="4">
        <v>7.0000000000000007E-2</v>
      </c>
      <c r="K428" s="3">
        <v>1098.33</v>
      </c>
      <c r="L428" s="3">
        <v>633.42999999999995</v>
      </c>
      <c r="M428" s="5">
        <v>3</v>
      </c>
      <c r="N428" s="3">
        <v>59</v>
      </c>
      <c r="O428" s="6">
        <v>0.44</v>
      </c>
      <c r="P428" s="3">
        <v>3294.99</v>
      </c>
      <c r="Q428" s="3">
        <v>692.43</v>
      </c>
      <c r="R428" s="3">
        <v>2077.29</v>
      </c>
      <c r="S428" s="3">
        <v>1217.6999999999998</v>
      </c>
      <c r="T428" s="4">
        <v>0.36956106088334101</v>
      </c>
      <c r="U428" s="4">
        <v>-7.0438939116658994E-2</v>
      </c>
      <c r="V428" t="s">
        <v>1054</v>
      </c>
      <c r="W428" t="s">
        <v>1059</v>
      </c>
    </row>
    <row r="429" spans="1:23" x14ac:dyDescent="0.25">
      <c r="A429" t="s">
        <v>440</v>
      </c>
      <c r="B429" s="2">
        <v>45349</v>
      </c>
      <c r="C429" t="s">
        <v>548</v>
      </c>
      <c r="D429" t="s">
        <v>958</v>
      </c>
      <c r="E429" t="s">
        <v>536</v>
      </c>
      <c r="F429" t="s">
        <v>544</v>
      </c>
      <c r="G429" t="s">
        <v>546</v>
      </c>
      <c r="H429" t="s">
        <v>1043</v>
      </c>
      <c r="I429" s="3">
        <v>4801</v>
      </c>
      <c r="J429" s="4">
        <v>0.05</v>
      </c>
      <c r="K429" s="3">
        <v>4560.95</v>
      </c>
      <c r="L429" s="3">
        <v>2162.39</v>
      </c>
      <c r="M429" s="5">
        <v>2</v>
      </c>
      <c r="N429" s="3">
        <v>93</v>
      </c>
      <c r="O429" s="6">
        <v>0.3</v>
      </c>
      <c r="P429" s="3">
        <v>9121.9</v>
      </c>
      <c r="Q429" s="3">
        <v>2255.39</v>
      </c>
      <c r="R429" s="3">
        <v>4510.78</v>
      </c>
      <c r="S429" s="3">
        <v>4611.12</v>
      </c>
      <c r="T429" s="4">
        <v>0.50549995066817199</v>
      </c>
      <c r="U429" s="4">
        <v>0.205499950668172</v>
      </c>
      <c r="V429" t="s">
        <v>1058</v>
      </c>
      <c r="W429" t="s">
        <v>1059</v>
      </c>
    </row>
    <row r="430" spans="1:23" x14ac:dyDescent="0.25">
      <c r="A430" t="s">
        <v>441</v>
      </c>
      <c r="B430" s="2">
        <v>45381</v>
      </c>
      <c r="C430" t="s">
        <v>549</v>
      </c>
      <c r="D430" t="s">
        <v>959</v>
      </c>
      <c r="E430" t="s">
        <v>535</v>
      </c>
      <c r="F430" t="s">
        <v>538</v>
      </c>
      <c r="G430" t="s">
        <v>545</v>
      </c>
      <c r="H430" t="s">
        <v>1045</v>
      </c>
      <c r="I430" s="3">
        <v>894</v>
      </c>
      <c r="J430" s="4">
        <v>0.25</v>
      </c>
      <c r="K430" s="3">
        <v>670.5</v>
      </c>
      <c r="L430" s="3">
        <v>577.23</v>
      </c>
      <c r="M430" s="5">
        <v>1</v>
      </c>
      <c r="N430" s="3">
        <v>56</v>
      </c>
      <c r="O430" s="6">
        <v>0.39</v>
      </c>
      <c r="P430" s="3">
        <v>670.5</v>
      </c>
      <c r="Q430" s="3">
        <v>633.23</v>
      </c>
      <c r="R430" s="3">
        <v>633.23</v>
      </c>
      <c r="S430" s="3">
        <v>37.269999999999982</v>
      </c>
      <c r="T430" s="4">
        <v>5.5585384041759903E-2</v>
      </c>
      <c r="U430" s="4">
        <v>-0.33441461595824001</v>
      </c>
      <c r="V430" t="s">
        <v>1054</v>
      </c>
      <c r="W430" t="s">
        <v>1056</v>
      </c>
    </row>
    <row r="431" spans="1:23" x14ac:dyDescent="0.25">
      <c r="A431" t="s">
        <v>442</v>
      </c>
      <c r="B431" s="2">
        <v>45408</v>
      </c>
      <c r="C431" t="s">
        <v>549</v>
      </c>
      <c r="D431" t="s">
        <v>960</v>
      </c>
      <c r="E431" t="s">
        <v>537</v>
      </c>
      <c r="F431" t="s">
        <v>542</v>
      </c>
      <c r="G431" t="s">
        <v>545</v>
      </c>
      <c r="H431" t="s">
        <v>1044</v>
      </c>
      <c r="I431" s="3">
        <v>5722</v>
      </c>
      <c r="J431" s="4">
        <v>0.35</v>
      </c>
      <c r="K431" s="3">
        <v>3719.3</v>
      </c>
      <c r="L431" s="3">
        <v>2889.81</v>
      </c>
      <c r="M431" s="5">
        <v>2</v>
      </c>
      <c r="N431" s="3">
        <v>98</v>
      </c>
      <c r="O431" s="6">
        <v>0.35</v>
      </c>
      <c r="P431" s="3">
        <v>7438.6</v>
      </c>
      <c r="Q431" s="3">
        <v>2987.81</v>
      </c>
      <c r="R431" s="3">
        <v>5975.62</v>
      </c>
      <c r="S431" s="3">
        <v>1462.9800000000005</v>
      </c>
      <c r="T431" s="4">
        <v>0.19667410534240301</v>
      </c>
      <c r="U431" s="4">
        <v>-0.15332589465759699</v>
      </c>
      <c r="V431" t="s">
        <v>1054</v>
      </c>
      <c r="W431" t="s">
        <v>1056</v>
      </c>
    </row>
    <row r="432" spans="1:23" x14ac:dyDescent="0.25">
      <c r="A432" t="s">
        <v>443</v>
      </c>
      <c r="B432" s="2">
        <v>45353</v>
      </c>
      <c r="C432" t="s">
        <v>550</v>
      </c>
      <c r="D432" t="s">
        <v>961</v>
      </c>
      <c r="E432" t="s">
        <v>537</v>
      </c>
      <c r="F432" t="s">
        <v>542</v>
      </c>
      <c r="G432" t="s">
        <v>546</v>
      </c>
      <c r="H432" t="s">
        <v>1043</v>
      </c>
      <c r="I432" s="3">
        <v>5857</v>
      </c>
      <c r="J432" s="4">
        <v>0.06</v>
      </c>
      <c r="K432" s="3">
        <v>5505.58</v>
      </c>
      <c r="L432" s="3">
        <v>3745.04</v>
      </c>
      <c r="M432" s="5">
        <v>3</v>
      </c>
      <c r="N432" s="3">
        <v>74</v>
      </c>
      <c r="O432" s="6">
        <v>0.37</v>
      </c>
      <c r="P432" s="3">
        <v>16516.739999999998</v>
      </c>
      <c r="Q432" s="3">
        <v>3819.04</v>
      </c>
      <c r="R432" s="3">
        <v>11457.119999999999</v>
      </c>
      <c r="S432" s="3">
        <v>5059.619999999999</v>
      </c>
      <c r="T432" s="4">
        <v>0.30633284776535802</v>
      </c>
      <c r="U432" s="4">
        <v>-6.3667152234642005E-2</v>
      </c>
      <c r="V432" t="s">
        <v>1054</v>
      </c>
      <c r="W432" t="s">
        <v>1059</v>
      </c>
    </row>
    <row r="433" spans="1:23" x14ac:dyDescent="0.25">
      <c r="A433" t="s">
        <v>444</v>
      </c>
      <c r="B433" s="2">
        <v>45314</v>
      </c>
      <c r="C433" t="s">
        <v>550</v>
      </c>
      <c r="D433" t="s">
        <v>962</v>
      </c>
      <c r="E433" t="s">
        <v>537</v>
      </c>
      <c r="F433" t="s">
        <v>541</v>
      </c>
      <c r="G433" t="s">
        <v>545</v>
      </c>
      <c r="H433" t="s">
        <v>1043</v>
      </c>
      <c r="I433" s="3">
        <v>7411</v>
      </c>
      <c r="J433" s="4">
        <v>7.0000000000000007E-2</v>
      </c>
      <c r="K433" s="3">
        <v>6892.23</v>
      </c>
      <c r="L433" s="3">
        <v>5314.54</v>
      </c>
      <c r="M433" s="5">
        <v>1</v>
      </c>
      <c r="N433" s="3">
        <v>165</v>
      </c>
      <c r="O433" s="6">
        <v>0.28000000000000003</v>
      </c>
      <c r="P433" s="3">
        <v>6892.23</v>
      </c>
      <c r="Q433" s="3">
        <v>5479.54</v>
      </c>
      <c r="R433" s="3">
        <v>5479.54</v>
      </c>
      <c r="S433" s="3">
        <v>1412.6899999999996</v>
      </c>
      <c r="T433" s="4">
        <v>0.20496849350645599</v>
      </c>
      <c r="U433" s="4">
        <v>-7.5031506493543995E-2</v>
      </c>
      <c r="V433" t="s">
        <v>1054</v>
      </c>
      <c r="W433" t="s">
        <v>1059</v>
      </c>
    </row>
    <row r="434" spans="1:23" x14ac:dyDescent="0.25">
      <c r="A434" t="s">
        <v>445</v>
      </c>
      <c r="B434" s="2">
        <v>45418</v>
      </c>
      <c r="C434" t="s">
        <v>550</v>
      </c>
      <c r="D434" t="s">
        <v>963</v>
      </c>
      <c r="E434" t="s">
        <v>537</v>
      </c>
      <c r="F434" t="s">
        <v>542</v>
      </c>
      <c r="G434" t="s">
        <v>546</v>
      </c>
      <c r="H434" t="s">
        <v>1043</v>
      </c>
      <c r="I434" s="3">
        <v>5297</v>
      </c>
      <c r="J434" s="4">
        <v>0.31</v>
      </c>
      <c r="K434" s="3">
        <v>3654.93</v>
      </c>
      <c r="L434" s="3">
        <v>2623.11</v>
      </c>
      <c r="M434" s="5">
        <v>1</v>
      </c>
      <c r="N434" s="3">
        <v>45</v>
      </c>
      <c r="O434" s="6">
        <v>0.33</v>
      </c>
      <c r="P434" s="3">
        <v>3654.93</v>
      </c>
      <c r="Q434" s="3">
        <v>2668.11</v>
      </c>
      <c r="R434" s="3">
        <v>2668.11</v>
      </c>
      <c r="S434" s="3">
        <v>986.81999999999971</v>
      </c>
      <c r="T434" s="4">
        <v>0.26999696300613102</v>
      </c>
      <c r="U434" s="4">
        <v>-6.0003036993868997E-2</v>
      </c>
      <c r="V434" t="s">
        <v>1054</v>
      </c>
      <c r="W434" t="s">
        <v>1056</v>
      </c>
    </row>
    <row r="435" spans="1:23" x14ac:dyDescent="0.25">
      <c r="A435" t="s">
        <v>446</v>
      </c>
      <c r="B435" s="2">
        <v>45428</v>
      </c>
      <c r="C435" t="s">
        <v>547</v>
      </c>
      <c r="D435" t="s">
        <v>964</v>
      </c>
      <c r="E435" t="s">
        <v>536</v>
      </c>
      <c r="F435" t="s">
        <v>544</v>
      </c>
      <c r="G435" t="s">
        <v>545</v>
      </c>
      <c r="H435" t="s">
        <v>1045</v>
      </c>
      <c r="I435" s="3">
        <v>1169</v>
      </c>
      <c r="J435" s="4">
        <v>0.25</v>
      </c>
      <c r="K435" s="3">
        <v>876.75</v>
      </c>
      <c r="L435" s="3">
        <v>764.4</v>
      </c>
      <c r="M435" s="5">
        <v>2</v>
      </c>
      <c r="N435" s="3">
        <v>27</v>
      </c>
      <c r="O435" s="6">
        <v>0.33</v>
      </c>
      <c r="P435" s="3">
        <v>1753.5</v>
      </c>
      <c r="Q435" s="3">
        <v>791.4</v>
      </c>
      <c r="R435" s="3">
        <v>1582.8</v>
      </c>
      <c r="S435" s="3">
        <v>170.70000000000005</v>
      </c>
      <c r="T435" s="4">
        <v>9.7348160821214696E-2</v>
      </c>
      <c r="U435" s="4">
        <v>-0.23265183917878501</v>
      </c>
      <c r="V435" t="s">
        <v>1054</v>
      </c>
      <c r="W435" t="s">
        <v>1056</v>
      </c>
    </row>
    <row r="436" spans="1:23" x14ac:dyDescent="0.25">
      <c r="A436" t="s">
        <v>447</v>
      </c>
      <c r="B436" s="2">
        <v>45431</v>
      </c>
      <c r="C436" t="s">
        <v>549</v>
      </c>
      <c r="D436" t="s">
        <v>965</v>
      </c>
      <c r="E436" t="s">
        <v>535</v>
      </c>
      <c r="F436" t="s">
        <v>540</v>
      </c>
      <c r="G436" t="s">
        <v>546</v>
      </c>
      <c r="H436" t="s">
        <v>1042</v>
      </c>
      <c r="I436" s="3">
        <v>2758</v>
      </c>
      <c r="J436" s="4">
        <v>0.24</v>
      </c>
      <c r="K436" s="3">
        <v>2096.08</v>
      </c>
      <c r="L436" s="3">
        <v>1732.13</v>
      </c>
      <c r="M436" s="5">
        <v>1</v>
      </c>
      <c r="N436" s="3">
        <v>149</v>
      </c>
      <c r="O436" s="6">
        <v>0.39</v>
      </c>
      <c r="P436" s="3">
        <v>2096.08</v>
      </c>
      <c r="Q436" s="3">
        <v>1881.13</v>
      </c>
      <c r="R436" s="3">
        <v>1881.13</v>
      </c>
      <c r="S436" s="3">
        <v>214.94999999999982</v>
      </c>
      <c r="T436" s="4">
        <v>0.102548566848593</v>
      </c>
      <c r="U436" s="4">
        <v>-0.28745143315140698</v>
      </c>
      <c r="V436" t="s">
        <v>1054</v>
      </c>
      <c r="W436" t="s">
        <v>1056</v>
      </c>
    </row>
    <row r="437" spans="1:23" x14ac:dyDescent="0.25">
      <c r="A437" t="s">
        <v>448</v>
      </c>
      <c r="B437" s="2">
        <v>45420</v>
      </c>
      <c r="C437" t="s">
        <v>550</v>
      </c>
      <c r="D437" t="s">
        <v>966</v>
      </c>
      <c r="E437" t="s">
        <v>535</v>
      </c>
      <c r="F437" t="s">
        <v>540</v>
      </c>
      <c r="G437" t="s">
        <v>546</v>
      </c>
      <c r="H437" t="s">
        <v>1042</v>
      </c>
      <c r="I437" s="3">
        <v>3522</v>
      </c>
      <c r="J437" s="4">
        <v>0.3</v>
      </c>
      <c r="K437" s="3">
        <v>2465.4</v>
      </c>
      <c r="L437" s="3">
        <v>2555.2800000000002</v>
      </c>
      <c r="M437" s="5">
        <v>1</v>
      </c>
      <c r="N437" s="3">
        <v>107</v>
      </c>
      <c r="O437" s="6">
        <v>0.3</v>
      </c>
      <c r="P437" s="3">
        <v>2465.4</v>
      </c>
      <c r="Q437" s="3">
        <v>2662.28</v>
      </c>
      <c r="R437" s="3">
        <v>2662.28</v>
      </c>
      <c r="S437" s="3">
        <v>-196.88000000000011</v>
      </c>
      <c r="T437" s="4">
        <v>-7.9857223979881597E-2</v>
      </c>
      <c r="U437" s="4">
        <v>-0.37985722397988197</v>
      </c>
      <c r="V437" t="s">
        <v>1054</v>
      </c>
      <c r="W437" t="s">
        <v>1056</v>
      </c>
    </row>
    <row r="438" spans="1:23" x14ac:dyDescent="0.25">
      <c r="A438" t="s">
        <v>449</v>
      </c>
      <c r="B438" s="2">
        <v>45349</v>
      </c>
      <c r="C438" t="s">
        <v>549</v>
      </c>
      <c r="D438" t="s">
        <v>967</v>
      </c>
      <c r="E438" t="s">
        <v>536</v>
      </c>
      <c r="F438" t="s">
        <v>544</v>
      </c>
      <c r="G438" t="s">
        <v>545</v>
      </c>
      <c r="H438" t="s">
        <v>1044</v>
      </c>
      <c r="I438" s="3">
        <v>4188</v>
      </c>
      <c r="J438" s="4">
        <v>0.05</v>
      </c>
      <c r="K438" s="3">
        <v>3978.6</v>
      </c>
      <c r="L438" s="3">
        <v>2779.33</v>
      </c>
      <c r="M438" s="5">
        <v>3</v>
      </c>
      <c r="N438" s="3">
        <v>26</v>
      </c>
      <c r="O438" s="6">
        <v>0.31</v>
      </c>
      <c r="P438" s="3">
        <v>11935.8</v>
      </c>
      <c r="Q438" s="3">
        <v>2805.33</v>
      </c>
      <c r="R438" s="3">
        <v>8415.99</v>
      </c>
      <c r="S438" s="3">
        <v>3519.8099999999995</v>
      </c>
      <c r="T438" s="4">
        <v>0.29489518926255498</v>
      </c>
      <c r="U438" s="4">
        <v>-1.5104810737445001E-2</v>
      </c>
      <c r="V438" t="s">
        <v>1054</v>
      </c>
      <c r="W438" t="s">
        <v>1059</v>
      </c>
    </row>
    <row r="439" spans="1:23" x14ac:dyDescent="0.25">
      <c r="A439" t="s">
        <v>450</v>
      </c>
      <c r="B439" s="2">
        <v>45413</v>
      </c>
      <c r="C439" t="s">
        <v>549</v>
      </c>
      <c r="D439" t="s">
        <v>968</v>
      </c>
      <c r="E439" t="s">
        <v>536</v>
      </c>
      <c r="F439" t="s">
        <v>544</v>
      </c>
      <c r="G439" t="s">
        <v>545</v>
      </c>
      <c r="H439" t="s">
        <v>1042</v>
      </c>
      <c r="I439" s="3">
        <v>2388</v>
      </c>
      <c r="J439" s="4">
        <v>0.32</v>
      </c>
      <c r="K439" s="3">
        <v>1623.84</v>
      </c>
      <c r="L439" s="3">
        <v>1470.85</v>
      </c>
      <c r="M439" s="5">
        <v>3</v>
      </c>
      <c r="N439" s="3">
        <v>162</v>
      </c>
      <c r="O439" s="6">
        <v>0.34</v>
      </c>
      <c r="P439" s="3">
        <v>4871.5199999999995</v>
      </c>
      <c r="Q439" s="3">
        <v>1632.85</v>
      </c>
      <c r="R439" s="3">
        <v>4898.5499999999993</v>
      </c>
      <c r="S439" s="3">
        <v>-27.029999999999745</v>
      </c>
      <c r="T439" s="4">
        <v>-5.5485762144053099E-3</v>
      </c>
      <c r="U439" s="4">
        <v>-0.34554857621440499</v>
      </c>
      <c r="V439" t="s">
        <v>1054</v>
      </c>
      <c r="W439" t="s">
        <v>1056</v>
      </c>
    </row>
    <row r="440" spans="1:23" x14ac:dyDescent="0.25">
      <c r="A440" t="s">
        <v>451</v>
      </c>
      <c r="B440" s="2">
        <v>45292</v>
      </c>
      <c r="C440" t="s">
        <v>549</v>
      </c>
      <c r="D440" t="s">
        <v>969</v>
      </c>
      <c r="E440" t="s">
        <v>536</v>
      </c>
      <c r="F440" t="s">
        <v>539</v>
      </c>
      <c r="G440" t="s">
        <v>546</v>
      </c>
      <c r="H440" t="s">
        <v>1042</v>
      </c>
      <c r="I440" s="3">
        <v>7133</v>
      </c>
      <c r="J440" s="4">
        <v>0.08</v>
      </c>
      <c r="K440" s="3">
        <v>6562.36</v>
      </c>
      <c r="L440" s="3">
        <v>3588.39</v>
      </c>
      <c r="M440" s="5">
        <v>3</v>
      </c>
      <c r="N440" s="3">
        <v>63</v>
      </c>
      <c r="O440" s="6">
        <v>0.37</v>
      </c>
      <c r="P440" s="3">
        <v>19687.079999999998</v>
      </c>
      <c r="Q440" s="3">
        <v>3651.39</v>
      </c>
      <c r="R440" s="3">
        <v>10954.17</v>
      </c>
      <c r="S440" s="3">
        <v>8732.909999999998</v>
      </c>
      <c r="T440" s="4">
        <v>0.44358584411705498</v>
      </c>
      <c r="U440" s="4">
        <v>7.3585844117055002E-2</v>
      </c>
      <c r="V440" t="s">
        <v>1058</v>
      </c>
      <c r="W440" t="s">
        <v>1059</v>
      </c>
    </row>
    <row r="441" spans="1:23" x14ac:dyDescent="0.25">
      <c r="A441" t="s">
        <v>452</v>
      </c>
      <c r="B441" s="2">
        <v>45325</v>
      </c>
      <c r="C441" t="s">
        <v>550</v>
      </c>
      <c r="D441" t="s">
        <v>970</v>
      </c>
      <c r="E441" t="s">
        <v>536</v>
      </c>
      <c r="F441" t="s">
        <v>544</v>
      </c>
      <c r="G441" t="s">
        <v>546</v>
      </c>
      <c r="H441" t="s">
        <v>1044</v>
      </c>
      <c r="I441" s="3">
        <v>2155</v>
      </c>
      <c r="J441" s="4">
        <v>0.19</v>
      </c>
      <c r="K441" s="3">
        <v>1745.55</v>
      </c>
      <c r="L441" s="3">
        <v>1175.53</v>
      </c>
      <c r="M441" s="5">
        <v>2</v>
      </c>
      <c r="N441" s="3">
        <v>166</v>
      </c>
      <c r="O441" s="6">
        <v>0.38</v>
      </c>
      <c r="P441" s="3">
        <v>3491.1</v>
      </c>
      <c r="Q441" s="3">
        <v>1341.53</v>
      </c>
      <c r="R441" s="3">
        <v>2683.06</v>
      </c>
      <c r="S441" s="3">
        <v>808.04</v>
      </c>
      <c r="T441" s="4">
        <v>0.23145713385465899</v>
      </c>
      <c r="U441" s="4">
        <v>-0.14854286614534101</v>
      </c>
      <c r="V441" t="s">
        <v>1054</v>
      </c>
      <c r="W441" t="s">
        <v>1055</v>
      </c>
    </row>
    <row r="442" spans="1:23" x14ac:dyDescent="0.25">
      <c r="A442" t="s">
        <v>453</v>
      </c>
      <c r="B442" s="2">
        <v>45387</v>
      </c>
      <c r="C442" t="s">
        <v>548</v>
      </c>
      <c r="D442" t="s">
        <v>971</v>
      </c>
      <c r="E442" t="s">
        <v>536</v>
      </c>
      <c r="F442" t="s">
        <v>539</v>
      </c>
      <c r="G442" t="s">
        <v>545</v>
      </c>
      <c r="H442" t="s">
        <v>1045</v>
      </c>
      <c r="I442" s="3">
        <v>5644</v>
      </c>
      <c r="J442" s="4">
        <v>0.09</v>
      </c>
      <c r="K442" s="3">
        <v>5136.04</v>
      </c>
      <c r="L442" s="3">
        <v>3509.4</v>
      </c>
      <c r="M442" s="5">
        <v>1</v>
      </c>
      <c r="N442" s="3">
        <v>29</v>
      </c>
      <c r="O442" s="6">
        <v>0.42</v>
      </c>
      <c r="P442" s="3">
        <v>5136.04</v>
      </c>
      <c r="Q442" s="3">
        <v>3538.4</v>
      </c>
      <c r="R442" s="3">
        <v>3538.4</v>
      </c>
      <c r="S442" s="3">
        <v>1597.6399999999999</v>
      </c>
      <c r="T442" s="4">
        <v>0.31106455557199703</v>
      </c>
      <c r="U442" s="4">
        <v>-0.108935444428003</v>
      </c>
      <c r="V442" t="s">
        <v>1054</v>
      </c>
      <c r="W442" t="s">
        <v>1059</v>
      </c>
    </row>
    <row r="443" spans="1:23" x14ac:dyDescent="0.25">
      <c r="A443" t="s">
        <v>454</v>
      </c>
      <c r="B443" s="2">
        <v>45417</v>
      </c>
      <c r="C443" t="s">
        <v>550</v>
      </c>
      <c r="D443" t="s">
        <v>972</v>
      </c>
      <c r="E443" t="s">
        <v>537</v>
      </c>
      <c r="F443" t="s">
        <v>541</v>
      </c>
      <c r="G443" t="s">
        <v>546</v>
      </c>
      <c r="H443" t="s">
        <v>1044</v>
      </c>
      <c r="I443" s="3">
        <v>702</v>
      </c>
      <c r="J443" s="4">
        <v>0.25</v>
      </c>
      <c r="K443" s="3">
        <v>526.5</v>
      </c>
      <c r="L443" s="3">
        <v>477.54</v>
      </c>
      <c r="M443" s="5">
        <v>3</v>
      </c>
      <c r="N443" s="3">
        <v>61</v>
      </c>
      <c r="O443" s="6">
        <v>0.38</v>
      </c>
      <c r="P443" s="3">
        <v>1579.5</v>
      </c>
      <c r="Q443" s="3">
        <v>538.54</v>
      </c>
      <c r="R443" s="3">
        <v>1615.62</v>
      </c>
      <c r="S443" s="3">
        <v>-36.119999999999891</v>
      </c>
      <c r="T443" s="4">
        <v>-2.28679962013295E-2</v>
      </c>
      <c r="U443" s="4">
        <v>-0.40286799620133001</v>
      </c>
      <c r="V443" t="s">
        <v>1054</v>
      </c>
      <c r="W443" t="s">
        <v>1056</v>
      </c>
    </row>
    <row r="444" spans="1:23" x14ac:dyDescent="0.25">
      <c r="A444" t="s">
        <v>455</v>
      </c>
      <c r="B444" s="2">
        <v>45409</v>
      </c>
      <c r="C444" t="s">
        <v>549</v>
      </c>
      <c r="D444" t="s">
        <v>973</v>
      </c>
      <c r="E444" t="s">
        <v>536</v>
      </c>
      <c r="F444" t="s">
        <v>539</v>
      </c>
      <c r="G444" t="s">
        <v>546</v>
      </c>
      <c r="H444" t="s">
        <v>1043</v>
      </c>
      <c r="I444" s="3">
        <v>907</v>
      </c>
      <c r="J444" s="4">
        <v>0.08</v>
      </c>
      <c r="K444" s="3">
        <v>834.44</v>
      </c>
      <c r="L444" s="3">
        <v>538.35</v>
      </c>
      <c r="M444" s="5">
        <v>1</v>
      </c>
      <c r="N444" s="3">
        <v>52</v>
      </c>
      <c r="O444" s="6">
        <v>0.37</v>
      </c>
      <c r="P444" s="3">
        <v>834.44</v>
      </c>
      <c r="Q444" s="3">
        <v>590.35</v>
      </c>
      <c r="R444" s="3">
        <v>590.35</v>
      </c>
      <c r="S444" s="3">
        <v>244.09000000000003</v>
      </c>
      <c r="T444" s="4">
        <v>0.29251953405877001</v>
      </c>
      <c r="U444" s="4">
        <v>-7.7480465941229995E-2</v>
      </c>
      <c r="V444" t="s">
        <v>1054</v>
      </c>
      <c r="W444" t="s">
        <v>1059</v>
      </c>
    </row>
    <row r="445" spans="1:23" x14ac:dyDescent="0.25">
      <c r="A445" t="s">
        <v>456</v>
      </c>
      <c r="B445" s="2">
        <v>45339</v>
      </c>
      <c r="C445" t="s">
        <v>548</v>
      </c>
      <c r="D445" t="s">
        <v>974</v>
      </c>
      <c r="E445" t="s">
        <v>536</v>
      </c>
      <c r="F445" t="s">
        <v>544</v>
      </c>
      <c r="G445" t="s">
        <v>545</v>
      </c>
      <c r="H445" t="s">
        <v>1044</v>
      </c>
      <c r="I445" s="3">
        <v>4112</v>
      </c>
      <c r="J445" s="4">
        <v>7.0000000000000007E-2</v>
      </c>
      <c r="K445" s="3">
        <v>3824.16</v>
      </c>
      <c r="L445" s="3">
        <v>1909.73</v>
      </c>
      <c r="M445" s="5">
        <v>3</v>
      </c>
      <c r="N445" s="3">
        <v>51</v>
      </c>
      <c r="O445" s="6">
        <v>0.44</v>
      </c>
      <c r="P445" s="3">
        <v>11472.48</v>
      </c>
      <c r="Q445" s="3">
        <v>1960.73</v>
      </c>
      <c r="R445" s="3">
        <v>5882.1900000000005</v>
      </c>
      <c r="S445" s="3">
        <v>5590.2899999999991</v>
      </c>
      <c r="T445" s="4">
        <v>0.48727825195598501</v>
      </c>
      <c r="U445" s="4">
        <v>4.7278251955985E-2</v>
      </c>
      <c r="V445" t="s">
        <v>1058</v>
      </c>
      <c r="W445" t="s">
        <v>1059</v>
      </c>
    </row>
    <row r="446" spans="1:23" x14ac:dyDescent="0.25">
      <c r="A446" t="s">
        <v>457</v>
      </c>
      <c r="B446" s="2">
        <v>45380</v>
      </c>
      <c r="C446" t="s">
        <v>549</v>
      </c>
      <c r="D446" t="s">
        <v>975</v>
      </c>
      <c r="E446" t="s">
        <v>536</v>
      </c>
      <c r="F446" t="s">
        <v>539</v>
      </c>
      <c r="G446" t="s">
        <v>546</v>
      </c>
      <c r="H446" t="s">
        <v>1042</v>
      </c>
      <c r="I446" s="3">
        <v>4887</v>
      </c>
      <c r="J446" s="4">
        <v>0.25</v>
      </c>
      <c r="K446" s="3">
        <v>3665.25</v>
      </c>
      <c r="L446" s="3">
        <v>2424.81</v>
      </c>
      <c r="M446" s="5">
        <v>3</v>
      </c>
      <c r="N446" s="3">
        <v>108</v>
      </c>
      <c r="O446" s="6">
        <v>0.3</v>
      </c>
      <c r="P446" s="3">
        <v>10995.75</v>
      </c>
      <c r="Q446" s="3">
        <v>2532.81</v>
      </c>
      <c r="R446" s="3">
        <v>7598.43</v>
      </c>
      <c r="S446" s="3">
        <v>3397.3199999999997</v>
      </c>
      <c r="T446" s="4">
        <v>0.30896664620421499</v>
      </c>
      <c r="U446" s="4">
        <v>8.9666462042150008E-3</v>
      </c>
      <c r="V446" t="s">
        <v>1058</v>
      </c>
      <c r="W446" t="s">
        <v>1056</v>
      </c>
    </row>
    <row r="447" spans="1:23" x14ac:dyDescent="0.25">
      <c r="A447" t="s">
        <v>458</v>
      </c>
      <c r="B447" s="2">
        <v>45408</v>
      </c>
      <c r="C447" t="s">
        <v>548</v>
      </c>
      <c r="D447" t="s">
        <v>976</v>
      </c>
      <c r="E447" t="s">
        <v>536</v>
      </c>
      <c r="F447" t="s">
        <v>539</v>
      </c>
      <c r="G447" t="s">
        <v>546</v>
      </c>
      <c r="H447" t="s">
        <v>1045</v>
      </c>
      <c r="I447" s="3">
        <v>7883</v>
      </c>
      <c r="J447" s="4">
        <v>0.28000000000000003</v>
      </c>
      <c r="K447" s="3">
        <v>5675.76</v>
      </c>
      <c r="L447" s="3">
        <v>4345.04</v>
      </c>
      <c r="M447" s="5">
        <v>1</v>
      </c>
      <c r="N447" s="3">
        <v>60</v>
      </c>
      <c r="O447" s="6">
        <v>0.37</v>
      </c>
      <c r="P447" s="3">
        <v>5675.76</v>
      </c>
      <c r="Q447" s="3">
        <v>4405.04</v>
      </c>
      <c r="R447" s="3">
        <v>4405.04</v>
      </c>
      <c r="S447" s="3">
        <v>1270.7200000000003</v>
      </c>
      <c r="T447" s="4">
        <v>0.223885435606862</v>
      </c>
      <c r="U447" s="4">
        <v>-0.146114564393138</v>
      </c>
      <c r="V447" t="s">
        <v>1054</v>
      </c>
      <c r="W447" t="s">
        <v>1056</v>
      </c>
    </row>
    <row r="448" spans="1:23" x14ac:dyDescent="0.25">
      <c r="A448" t="s">
        <v>459</v>
      </c>
      <c r="B448" s="2">
        <v>45420</v>
      </c>
      <c r="C448" t="s">
        <v>547</v>
      </c>
      <c r="D448" t="s">
        <v>977</v>
      </c>
      <c r="E448" t="s">
        <v>535</v>
      </c>
      <c r="F448" t="s">
        <v>540</v>
      </c>
      <c r="G448" t="s">
        <v>545</v>
      </c>
      <c r="H448" t="s">
        <v>1043</v>
      </c>
      <c r="I448" s="3">
        <v>2213</v>
      </c>
      <c r="J448" s="4">
        <v>0.25</v>
      </c>
      <c r="K448" s="3">
        <v>1659.75</v>
      </c>
      <c r="L448" s="3">
        <v>1258.71</v>
      </c>
      <c r="M448" s="5">
        <v>3</v>
      </c>
      <c r="N448" s="3">
        <v>58</v>
      </c>
      <c r="O448" s="6">
        <v>0.36</v>
      </c>
      <c r="P448" s="3">
        <v>4979.25</v>
      </c>
      <c r="Q448" s="3">
        <v>1316.71</v>
      </c>
      <c r="R448" s="3">
        <v>3950.13</v>
      </c>
      <c r="S448" s="3">
        <v>1029.1199999999999</v>
      </c>
      <c r="T448" s="4">
        <v>0.20668172917608099</v>
      </c>
      <c r="U448" s="4">
        <v>-0.153318270823919</v>
      </c>
      <c r="V448" t="s">
        <v>1054</v>
      </c>
      <c r="W448" t="s">
        <v>1056</v>
      </c>
    </row>
    <row r="449" spans="1:23" x14ac:dyDescent="0.25">
      <c r="A449" t="s">
        <v>460</v>
      </c>
      <c r="B449" s="2">
        <v>45307</v>
      </c>
      <c r="C449" t="s">
        <v>548</v>
      </c>
      <c r="D449" t="s">
        <v>978</v>
      </c>
      <c r="E449" t="s">
        <v>537</v>
      </c>
      <c r="F449" t="s">
        <v>542</v>
      </c>
      <c r="G449" t="s">
        <v>545</v>
      </c>
      <c r="H449" t="s">
        <v>1043</v>
      </c>
      <c r="I449" s="3">
        <v>7757</v>
      </c>
      <c r="J449" s="4">
        <v>0.22</v>
      </c>
      <c r="K449" s="3">
        <v>6050.46</v>
      </c>
      <c r="L449" s="3">
        <v>4294.95</v>
      </c>
      <c r="M449" s="5">
        <v>2</v>
      </c>
      <c r="N449" s="3">
        <v>162</v>
      </c>
      <c r="O449" s="6">
        <v>0.36</v>
      </c>
      <c r="P449" s="3">
        <v>12100.92</v>
      </c>
      <c r="Q449" s="3">
        <v>4456.95</v>
      </c>
      <c r="R449" s="3">
        <v>8913.9</v>
      </c>
      <c r="S449" s="3">
        <v>3187.0200000000004</v>
      </c>
      <c r="T449" s="4">
        <v>0.26337005781378597</v>
      </c>
      <c r="U449" s="4">
        <v>-9.6629942186213999E-2</v>
      </c>
      <c r="V449" t="s">
        <v>1054</v>
      </c>
      <c r="W449" t="s">
        <v>1056</v>
      </c>
    </row>
    <row r="450" spans="1:23" x14ac:dyDescent="0.25">
      <c r="A450" t="s">
        <v>461</v>
      </c>
      <c r="B450" s="2">
        <v>45360</v>
      </c>
      <c r="C450" t="s">
        <v>548</v>
      </c>
      <c r="D450" t="s">
        <v>979</v>
      </c>
      <c r="E450" t="s">
        <v>537</v>
      </c>
      <c r="F450" t="s">
        <v>543</v>
      </c>
      <c r="G450" t="s">
        <v>545</v>
      </c>
      <c r="H450" t="s">
        <v>1045</v>
      </c>
      <c r="I450" s="3">
        <v>3060</v>
      </c>
      <c r="J450" s="4">
        <v>0.19</v>
      </c>
      <c r="K450" s="3">
        <v>2478.6</v>
      </c>
      <c r="L450" s="3">
        <v>1702.64</v>
      </c>
      <c r="M450" s="5">
        <v>1</v>
      </c>
      <c r="N450" s="3">
        <v>102</v>
      </c>
      <c r="O450" s="6">
        <v>0.3</v>
      </c>
      <c r="P450" s="3">
        <v>2478.6</v>
      </c>
      <c r="Q450" s="3">
        <v>1804.64</v>
      </c>
      <c r="R450" s="3">
        <v>1804.64</v>
      </c>
      <c r="S450" s="3">
        <v>673.95999999999981</v>
      </c>
      <c r="T450" s="4">
        <v>0.27191156297910102</v>
      </c>
      <c r="U450" s="4">
        <v>-2.8088437020898999E-2</v>
      </c>
      <c r="V450" t="s">
        <v>1054</v>
      </c>
      <c r="W450" t="s">
        <v>1055</v>
      </c>
    </row>
    <row r="451" spans="1:23" x14ac:dyDescent="0.25">
      <c r="A451" t="s">
        <v>462</v>
      </c>
      <c r="B451" s="2">
        <v>45313</v>
      </c>
      <c r="C451" t="s">
        <v>550</v>
      </c>
      <c r="D451" t="s">
        <v>980</v>
      </c>
      <c r="E451" t="s">
        <v>536</v>
      </c>
      <c r="F451" t="s">
        <v>544</v>
      </c>
      <c r="G451" t="s">
        <v>545</v>
      </c>
      <c r="H451" t="s">
        <v>1045</v>
      </c>
      <c r="I451" s="3">
        <v>6769</v>
      </c>
      <c r="J451" s="4">
        <v>0.19</v>
      </c>
      <c r="K451" s="3">
        <v>5482.89</v>
      </c>
      <c r="L451" s="3">
        <v>3852.13</v>
      </c>
      <c r="M451" s="5">
        <v>3</v>
      </c>
      <c r="N451" s="3">
        <v>73</v>
      </c>
      <c r="O451" s="6">
        <v>0.35</v>
      </c>
      <c r="P451" s="3">
        <v>16448.670000000002</v>
      </c>
      <c r="Q451" s="3">
        <v>3925.13</v>
      </c>
      <c r="R451" s="3">
        <v>11775.39</v>
      </c>
      <c r="S451" s="3">
        <v>4673.2800000000025</v>
      </c>
      <c r="T451" s="4">
        <v>0.28411294043834601</v>
      </c>
      <c r="U451" s="4">
        <v>-6.5887059561653999E-2</v>
      </c>
      <c r="V451" t="s">
        <v>1054</v>
      </c>
      <c r="W451" t="s">
        <v>1055</v>
      </c>
    </row>
    <row r="452" spans="1:23" x14ac:dyDescent="0.25">
      <c r="A452" t="s">
        <v>463</v>
      </c>
      <c r="B452" s="2">
        <v>45384</v>
      </c>
      <c r="C452" t="s">
        <v>550</v>
      </c>
      <c r="D452" t="s">
        <v>686</v>
      </c>
      <c r="E452" t="s">
        <v>537</v>
      </c>
      <c r="F452" t="s">
        <v>542</v>
      </c>
      <c r="G452" t="s">
        <v>546</v>
      </c>
      <c r="H452" t="s">
        <v>1043</v>
      </c>
      <c r="I452" s="3">
        <v>4795</v>
      </c>
      <c r="J452" s="4">
        <v>0.13</v>
      </c>
      <c r="K452" s="3">
        <v>4171.6499999999996</v>
      </c>
      <c r="L452" s="3">
        <v>2913.33</v>
      </c>
      <c r="M452" s="5">
        <v>2</v>
      </c>
      <c r="N452" s="3">
        <v>59</v>
      </c>
      <c r="O452" s="6">
        <v>0.43</v>
      </c>
      <c r="P452" s="3">
        <v>8343.2999999999993</v>
      </c>
      <c r="Q452" s="3">
        <v>2972.33</v>
      </c>
      <c r="R452" s="3">
        <v>5944.66</v>
      </c>
      <c r="S452" s="3">
        <v>2398.6399999999994</v>
      </c>
      <c r="T452" s="4">
        <v>0.28749295842172801</v>
      </c>
      <c r="U452" s="4">
        <v>-0.14250704157827199</v>
      </c>
      <c r="V452" t="s">
        <v>1054</v>
      </c>
      <c r="W452" t="s">
        <v>1055</v>
      </c>
    </row>
    <row r="453" spans="1:23" x14ac:dyDescent="0.25">
      <c r="A453" t="s">
        <v>464</v>
      </c>
      <c r="B453" s="2">
        <v>45367</v>
      </c>
      <c r="C453" t="s">
        <v>547</v>
      </c>
      <c r="D453" t="s">
        <v>981</v>
      </c>
      <c r="E453" t="s">
        <v>535</v>
      </c>
      <c r="F453" t="s">
        <v>538</v>
      </c>
      <c r="G453" t="s">
        <v>545</v>
      </c>
      <c r="H453" t="s">
        <v>1042</v>
      </c>
      <c r="I453" s="3">
        <v>962</v>
      </c>
      <c r="J453" s="4">
        <v>0.24</v>
      </c>
      <c r="K453" s="3">
        <v>731.12</v>
      </c>
      <c r="L453" s="3">
        <v>634.4</v>
      </c>
      <c r="M453" s="5">
        <v>1</v>
      </c>
      <c r="N453" s="3">
        <v>13</v>
      </c>
      <c r="O453" s="6">
        <v>0.28999999999999998</v>
      </c>
      <c r="P453" s="3">
        <v>731.12</v>
      </c>
      <c r="Q453" s="3">
        <v>647.4</v>
      </c>
      <c r="R453" s="3">
        <v>647.4</v>
      </c>
      <c r="S453" s="3">
        <v>83.720000000000027</v>
      </c>
      <c r="T453" s="4">
        <v>0.114509246088193</v>
      </c>
      <c r="U453" s="4">
        <v>-0.17549075391180699</v>
      </c>
      <c r="V453" t="s">
        <v>1054</v>
      </c>
      <c r="W453" t="s">
        <v>1056</v>
      </c>
    </row>
    <row r="454" spans="1:23" x14ac:dyDescent="0.25">
      <c r="A454" t="s">
        <v>465</v>
      </c>
      <c r="B454" s="2">
        <v>45445</v>
      </c>
      <c r="C454" t="s">
        <v>548</v>
      </c>
      <c r="D454" t="s">
        <v>982</v>
      </c>
      <c r="E454" t="s">
        <v>535</v>
      </c>
      <c r="F454" t="s">
        <v>540</v>
      </c>
      <c r="G454" t="s">
        <v>546</v>
      </c>
      <c r="H454" t="s">
        <v>1042</v>
      </c>
      <c r="I454" s="3">
        <v>4100</v>
      </c>
      <c r="J454" s="4">
        <v>0.14000000000000001</v>
      </c>
      <c r="K454" s="3">
        <v>3526</v>
      </c>
      <c r="L454" s="3">
        <v>2496.86</v>
      </c>
      <c r="M454" s="5">
        <v>3</v>
      </c>
      <c r="N454" s="3">
        <v>52</v>
      </c>
      <c r="O454" s="6">
        <v>0.38</v>
      </c>
      <c r="P454" s="3">
        <v>10578</v>
      </c>
      <c r="Q454" s="3">
        <v>2548.86</v>
      </c>
      <c r="R454" s="3">
        <v>7646.58</v>
      </c>
      <c r="S454" s="3">
        <v>2931.42</v>
      </c>
      <c r="T454" s="4">
        <v>0.27712422007941001</v>
      </c>
      <c r="U454" s="4">
        <v>-0.10287577992058999</v>
      </c>
      <c r="V454" t="s">
        <v>1054</v>
      </c>
      <c r="W454" t="s">
        <v>1055</v>
      </c>
    </row>
    <row r="455" spans="1:23" x14ac:dyDescent="0.25">
      <c r="A455" t="s">
        <v>466</v>
      </c>
      <c r="B455" s="2">
        <v>45435</v>
      </c>
      <c r="C455" t="s">
        <v>549</v>
      </c>
      <c r="D455" t="s">
        <v>983</v>
      </c>
      <c r="E455" t="s">
        <v>537</v>
      </c>
      <c r="F455" t="s">
        <v>542</v>
      </c>
      <c r="G455" t="s">
        <v>546</v>
      </c>
      <c r="H455" t="s">
        <v>1044</v>
      </c>
      <c r="I455" s="3">
        <v>7404</v>
      </c>
      <c r="J455" s="4">
        <v>0.16</v>
      </c>
      <c r="K455" s="3">
        <v>6219.36</v>
      </c>
      <c r="L455" s="3">
        <v>4696.51</v>
      </c>
      <c r="M455" s="5">
        <v>2</v>
      </c>
      <c r="N455" s="3">
        <v>48</v>
      </c>
      <c r="O455" s="6">
        <v>0.41</v>
      </c>
      <c r="P455" s="3">
        <v>12438.72</v>
      </c>
      <c r="Q455" s="3">
        <v>4744.51</v>
      </c>
      <c r="R455" s="3">
        <v>9489.02</v>
      </c>
      <c r="S455" s="3">
        <v>2949.6999999999989</v>
      </c>
      <c r="T455" s="4">
        <v>0.23713854801780199</v>
      </c>
      <c r="U455" s="4">
        <v>-0.17286145198219799</v>
      </c>
      <c r="V455" t="s">
        <v>1054</v>
      </c>
      <c r="W455" t="s">
        <v>1055</v>
      </c>
    </row>
    <row r="456" spans="1:23" x14ac:dyDescent="0.25">
      <c r="A456" t="s">
        <v>467</v>
      </c>
      <c r="B456" s="2">
        <v>45470</v>
      </c>
      <c r="C456" t="s">
        <v>550</v>
      </c>
      <c r="D456" t="s">
        <v>984</v>
      </c>
      <c r="E456" t="s">
        <v>535</v>
      </c>
      <c r="F456" t="s">
        <v>538</v>
      </c>
      <c r="G456" t="s">
        <v>546</v>
      </c>
      <c r="H456" t="s">
        <v>1044</v>
      </c>
      <c r="I456" s="3">
        <v>5235</v>
      </c>
      <c r="J456" s="4">
        <v>0.24</v>
      </c>
      <c r="K456" s="3">
        <v>3978.6</v>
      </c>
      <c r="L456" s="3">
        <v>3657.15</v>
      </c>
      <c r="M456" s="5">
        <v>2</v>
      </c>
      <c r="N456" s="3">
        <v>27</v>
      </c>
      <c r="O456" s="6">
        <v>0.33</v>
      </c>
      <c r="P456" s="3">
        <v>7957.2</v>
      </c>
      <c r="Q456" s="3">
        <v>3684.15</v>
      </c>
      <c r="R456" s="3">
        <v>7368.3</v>
      </c>
      <c r="S456" s="3">
        <v>588.89999999999964</v>
      </c>
      <c r="T456" s="4">
        <v>7.4008445181722199E-2</v>
      </c>
      <c r="U456" s="4">
        <v>-0.25599155481827801</v>
      </c>
      <c r="V456" t="s">
        <v>1054</v>
      </c>
      <c r="W456" t="s">
        <v>1056</v>
      </c>
    </row>
    <row r="457" spans="1:23" x14ac:dyDescent="0.25">
      <c r="A457" t="s">
        <v>468</v>
      </c>
      <c r="B457" s="2">
        <v>45377</v>
      </c>
      <c r="C457" t="s">
        <v>548</v>
      </c>
      <c r="D457" t="s">
        <v>954</v>
      </c>
      <c r="E457" t="s">
        <v>535</v>
      </c>
      <c r="F457" t="s">
        <v>540</v>
      </c>
      <c r="G457" t="s">
        <v>545</v>
      </c>
      <c r="H457" t="s">
        <v>1044</v>
      </c>
      <c r="I457" s="3">
        <v>5259</v>
      </c>
      <c r="J457" s="4">
        <v>0.1</v>
      </c>
      <c r="K457" s="3">
        <v>4733.1000000000004</v>
      </c>
      <c r="L457" s="3">
        <v>3505.75</v>
      </c>
      <c r="M457" s="5">
        <v>2</v>
      </c>
      <c r="N457" s="3">
        <v>161</v>
      </c>
      <c r="O457" s="6">
        <v>0.36</v>
      </c>
      <c r="P457" s="3">
        <v>9466.2000000000007</v>
      </c>
      <c r="Q457" s="3">
        <v>3666.75</v>
      </c>
      <c r="R457" s="3">
        <v>7333.5</v>
      </c>
      <c r="S457" s="3">
        <v>2132.7000000000007</v>
      </c>
      <c r="T457" s="4">
        <v>0.225296317424098</v>
      </c>
      <c r="U457" s="4">
        <v>-0.13470368257590201</v>
      </c>
      <c r="V457" t="s">
        <v>1054</v>
      </c>
      <c r="W457" t="s">
        <v>1055</v>
      </c>
    </row>
    <row r="458" spans="1:23" x14ac:dyDescent="0.25">
      <c r="A458" t="s">
        <v>469</v>
      </c>
      <c r="B458" s="2">
        <v>45320</v>
      </c>
      <c r="C458" t="s">
        <v>550</v>
      </c>
      <c r="D458" t="s">
        <v>985</v>
      </c>
      <c r="E458" t="s">
        <v>537</v>
      </c>
      <c r="F458" t="s">
        <v>542</v>
      </c>
      <c r="G458" t="s">
        <v>545</v>
      </c>
      <c r="H458" t="s">
        <v>1045</v>
      </c>
      <c r="I458" s="3">
        <v>6139</v>
      </c>
      <c r="J458" s="4">
        <v>0.28999999999999998</v>
      </c>
      <c r="K458" s="3">
        <v>4358.6899999999996</v>
      </c>
      <c r="L458" s="3">
        <v>4513.1499999999996</v>
      </c>
      <c r="M458" s="5">
        <v>3</v>
      </c>
      <c r="N458" s="3">
        <v>164</v>
      </c>
      <c r="O458" s="6">
        <v>0.45</v>
      </c>
      <c r="P458" s="3">
        <v>13076.07</v>
      </c>
      <c r="Q458" s="3">
        <v>4677.1499999999996</v>
      </c>
      <c r="R458" s="3">
        <v>14031.449999999999</v>
      </c>
      <c r="S458" s="3">
        <v>-955.3799999999992</v>
      </c>
      <c r="T458" s="4">
        <v>-7.3063236889982897E-2</v>
      </c>
      <c r="U458" s="4">
        <v>-0.52306323688998302</v>
      </c>
      <c r="V458" t="s">
        <v>1057</v>
      </c>
      <c r="W458" t="s">
        <v>1056</v>
      </c>
    </row>
    <row r="459" spans="1:23" x14ac:dyDescent="0.25">
      <c r="A459" t="s">
        <v>470</v>
      </c>
      <c r="B459" s="2">
        <v>45360</v>
      </c>
      <c r="C459" t="s">
        <v>547</v>
      </c>
      <c r="D459" t="s">
        <v>986</v>
      </c>
      <c r="E459" t="s">
        <v>536</v>
      </c>
      <c r="F459" t="s">
        <v>539</v>
      </c>
      <c r="G459" t="s">
        <v>546</v>
      </c>
      <c r="H459" t="s">
        <v>1045</v>
      </c>
      <c r="I459" s="3">
        <v>320</v>
      </c>
      <c r="J459" s="4">
        <v>0.23</v>
      </c>
      <c r="K459" s="3">
        <v>246.4</v>
      </c>
      <c r="L459" s="3">
        <v>146.31</v>
      </c>
      <c r="M459" s="5">
        <v>2</v>
      </c>
      <c r="N459" s="3">
        <v>181</v>
      </c>
      <c r="O459" s="6">
        <v>0.3</v>
      </c>
      <c r="P459" s="3">
        <v>492.8</v>
      </c>
      <c r="Q459" s="3">
        <v>327.31</v>
      </c>
      <c r="R459" s="3">
        <v>654.62</v>
      </c>
      <c r="S459" s="3">
        <v>-161.82</v>
      </c>
      <c r="T459" s="4">
        <v>-0.32836850649350602</v>
      </c>
      <c r="U459" s="4">
        <v>-0.62836850649350595</v>
      </c>
      <c r="V459" t="s">
        <v>1057</v>
      </c>
      <c r="W459" t="s">
        <v>1056</v>
      </c>
    </row>
    <row r="460" spans="1:23" x14ac:dyDescent="0.25">
      <c r="A460" t="s">
        <v>471</v>
      </c>
      <c r="B460" s="2">
        <v>45338</v>
      </c>
      <c r="C460" t="s">
        <v>549</v>
      </c>
      <c r="D460" t="s">
        <v>987</v>
      </c>
      <c r="E460" t="s">
        <v>536</v>
      </c>
      <c r="F460" t="s">
        <v>544</v>
      </c>
      <c r="G460" t="s">
        <v>545</v>
      </c>
      <c r="H460" t="s">
        <v>1043</v>
      </c>
      <c r="I460" s="3">
        <v>6557</v>
      </c>
      <c r="J460" s="4">
        <v>0.06</v>
      </c>
      <c r="K460" s="3">
        <v>6163.58</v>
      </c>
      <c r="L460" s="3">
        <v>4564.63</v>
      </c>
      <c r="M460" s="5">
        <v>3</v>
      </c>
      <c r="N460" s="3">
        <v>77</v>
      </c>
      <c r="O460" s="6">
        <v>0.38</v>
      </c>
      <c r="P460" s="3">
        <v>18490.739999999998</v>
      </c>
      <c r="Q460" s="3">
        <v>4641.63</v>
      </c>
      <c r="R460" s="3">
        <v>13924.89</v>
      </c>
      <c r="S460" s="3">
        <v>4565.8499999999985</v>
      </c>
      <c r="T460" s="4">
        <v>0.24692629932604099</v>
      </c>
      <c r="U460" s="4">
        <v>-0.13307370067395899</v>
      </c>
      <c r="V460" t="s">
        <v>1054</v>
      </c>
      <c r="W460" t="s">
        <v>1059</v>
      </c>
    </row>
    <row r="461" spans="1:23" x14ac:dyDescent="0.25">
      <c r="A461" t="s">
        <v>472</v>
      </c>
      <c r="B461" s="2">
        <v>45385</v>
      </c>
      <c r="C461" t="s">
        <v>549</v>
      </c>
      <c r="D461" t="s">
        <v>988</v>
      </c>
      <c r="E461" t="s">
        <v>537</v>
      </c>
      <c r="F461" t="s">
        <v>542</v>
      </c>
      <c r="G461" t="s">
        <v>546</v>
      </c>
      <c r="H461" t="s">
        <v>1042</v>
      </c>
      <c r="I461" s="3">
        <v>4528</v>
      </c>
      <c r="J461" s="4">
        <v>0.24</v>
      </c>
      <c r="K461" s="3">
        <v>3441.28</v>
      </c>
      <c r="L461" s="3">
        <v>3103.14</v>
      </c>
      <c r="M461" s="5">
        <v>1</v>
      </c>
      <c r="N461" s="3">
        <v>194</v>
      </c>
      <c r="O461" s="6">
        <v>0.35</v>
      </c>
      <c r="P461" s="3">
        <v>3441.28</v>
      </c>
      <c r="Q461" s="3">
        <v>3297.14</v>
      </c>
      <c r="R461" s="3">
        <v>3297.14</v>
      </c>
      <c r="S461" s="3">
        <v>144.14000000000033</v>
      </c>
      <c r="T461" s="4">
        <v>4.1885577459550002E-2</v>
      </c>
      <c r="U461" s="4">
        <v>-0.30811442254045002</v>
      </c>
      <c r="V461" t="s">
        <v>1054</v>
      </c>
      <c r="W461" t="s">
        <v>1056</v>
      </c>
    </row>
    <row r="462" spans="1:23" x14ac:dyDescent="0.25">
      <c r="A462" t="s">
        <v>473</v>
      </c>
      <c r="B462" s="2">
        <v>45435</v>
      </c>
      <c r="C462" t="s">
        <v>548</v>
      </c>
      <c r="D462" t="s">
        <v>989</v>
      </c>
      <c r="E462" t="s">
        <v>536</v>
      </c>
      <c r="F462" t="s">
        <v>544</v>
      </c>
      <c r="G462" t="s">
        <v>545</v>
      </c>
      <c r="H462" t="s">
        <v>1042</v>
      </c>
      <c r="I462" s="3">
        <v>4324</v>
      </c>
      <c r="J462" s="4">
        <v>0.24</v>
      </c>
      <c r="K462" s="3">
        <v>3286.24</v>
      </c>
      <c r="L462" s="3">
        <v>2687.29</v>
      </c>
      <c r="M462" s="5">
        <v>2</v>
      </c>
      <c r="N462" s="3">
        <v>182</v>
      </c>
      <c r="O462" s="6">
        <v>0.28999999999999998</v>
      </c>
      <c r="P462" s="3">
        <v>6572.48</v>
      </c>
      <c r="Q462" s="3">
        <v>2869.29</v>
      </c>
      <c r="R462" s="3">
        <v>5738.58</v>
      </c>
      <c r="S462" s="3">
        <v>833.89999999999964</v>
      </c>
      <c r="T462" s="4">
        <v>0.12687752568284699</v>
      </c>
      <c r="U462" s="4">
        <v>-0.16312247431715299</v>
      </c>
      <c r="V462" t="s">
        <v>1054</v>
      </c>
      <c r="W462" t="s">
        <v>1056</v>
      </c>
    </row>
    <row r="463" spans="1:23" x14ac:dyDescent="0.25">
      <c r="A463" t="s">
        <v>474</v>
      </c>
      <c r="B463" s="2">
        <v>45467</v>
      </c>
      <c r="C463" t="s">
        <v>547</v>
      </c>
      <c r="D463" t="s">
        <v>990</v>
      </c>
      <c r="E463" t="s">
        <v>535</v>
      </c>
      <c r="F463" t="s">
        <v>538</v>
      </c>
      <c r="G463" t="s">
        <v>546</v>
      </c>
      <c r="H463" t="s">
        <v>1043</v>
      </c>
      <c r="I463" s="3">
        <v>3372</v>
      </c>
      <c r="J463" s="4">
        <v>0.25</v>
      </c>
      <c r="K463" s="3">
        <v>2529</v>
      </c>
      <c r="L463" s="3">
        <v>1598.43</v>
      </c>
      <c r="M463" s="5">
        <v>3</v>
      </c>
      <c r="N463" s="3">
        <v>166</v>
      </c>
      <c r="O463" s="6">
        <v>0.31</v>
      </c>
      <c r="P463" s="3">
        <v>7587</v>
      </c>
      <c r="Q463" s="3">
        <v>1764.43</v>
      </c>
      <c r="R463" s="3">
        <v>5293.29</v>
      </c>
      <c r="S463" s="3">
        <v>2293.71</v>
      </c>
      <c r="T463" s="4">
        <v>0.30232107552392201</v>
      </c>
      <c r="U463" s="4">
        <v>-7.6789244760779897E-3</v>
      </c>
      <c r="V463" t="s">
        <v>1054</v>
      </c>
      <c r="W463" t="s">
        <v>1056</v>
      </c>
    </row>
    <row r="464" spans="1:23" x14ac:dyDescent="0.25">
      <c r="A464" t="s">
        <v>475</v>
      </c>
      <c r="B464" s="2">
        <v>45376</v>
      </c>
      <c r="C464" t="s">
        <v>548</v>
      </c>
      <c r="D464" t="s">
        <v>991</v>
      </c>
      <c r="E464" t="s">
        <v>537</v>
      </c>
      <c r="F464" t="s">
        <v>542</v>
      </c>
      <c r="G464" t="s">
        <v>546</v>
      </c>
      <c r="H464" t="s">
        <v>1042</v>
      </c>
      <c r="I464" s="3">
        <v>2720</v>
      </c>
      <c r="J464" s="4">
        <v>0.31</v>
      </c>
      <c r="K464" s="3">
        <v>1876.8</v>
      </c>
      <c r="L464" s="3">
        <v>2001.17</v>
      </c>
      <c r="M464" s="5">
        <v>3</v>
      </c>
      <c r="N464" s="3">
        <v>76</v>
      </c>
      <c r="O464" s="6">
        <v>0.31</v>
      </c>
      <c r="P464" s="3">
        <v>5630.4</v>
      </c>
      <c r="Q464" s="3">
        <v>2077.17</v>
      </c>
      <c r="R464" s="3">
        <v>6231.51</v>
      </c>
      <c r="S464" s="3">
        <v>-601.11000000000058</v>
      </c>
      <c r="T464" s="4">
        <v>-0.106761508951407</v>
      </c>
      <c r="U464" s="4">
        <v>-0.41676150895140701</v>
      </c>
      <c r="V464" t="s">
        <v>1054</v>
      </c>
      <c r="W464" t="s">
        <v>1056</v>
      </c>
    </row>
    <row r="465" spans="1:23" x14ac:dyDescent="0.25">
      <c r="A465" t="s">
        <v>476</v>
      </c>
      <c r="B465" s="2">
        <v>45330</v>
      </c>
      <c r="C465" t="s">
        <v>548</v>
      </c>
      <c r="D465" t="s">
        <v>827</v>
      </c>
      <c r="E465" t="s">
        <v>536</v>
      </c>
      <c r="F465" t="s">
        <v>539</v>
      </c>
      <c r="G465" t="s">
        <v>546</v>
      </c>
      <c r="H465" t="s">
        <v>1044</v>
      </c>
      <c r="I465" s="3">
        <v>3137</v>
      </c>
      <c r="J465" s="4">
        <v>0.22</v>
      </c>
      <c r="K465" s="3">
        <v>2446.86</v>
      </c>
      <c r="L465" s="3">
        <v>2237.9699999999998</v>
      </c>
      <c r="M465" s="5">
        <v>2</v>
      </c>
      <c r="N465" s="3">
        <v>69</v>
      </c>
      <c r="O465" s="6">
        <v>0.44</v>
      </c>
      <c r="P465" s="3">
        <v>4893.72</v>
      </c>
      <c r="Q465" s="3">
        <v>2306.9699999999998</v>
      </c>
      <c r="R465" s="3">
        <v>4613.9399999999996</v>
      </c>
      <c r="S465" s="3">
        <v>279.78000000000065</v>
      </c>
      <c r="T465" s="4">
        <v>5.7171231701037398E-2</v>
      </c>
      <c r="U465" s="4">
        <v>-0.38282876829896301</v>
      </c>
      <c r="V465" t="s">
        <v>1054</v>
      </c>
      <c r="W465" t="s">
        <v>1056</v>
      </c>
    </row>
    <row r="466" spans="1:23" x14ac:dyDescent="0.25">
      <c r="A466" t="s">
        <v>477</v>
      </c>
      <c r="B466" s="2">
        <v>45391</v>
      </c>
      <c r="C466" t="s">
        <v>550</v>
      </c>
      <c r="D466" t="s">
        <v>992</v>
      </c>
      <c r="E466" t="s">
        <v>536</v>
      </c>
      <c r="F466" t="s">
        <v>539</v>
      </c>
      <c r="G466" t="s">
        <v>545</v>
      </c>
      <c r="H466" t="s">
        <v>1043</v>
      </c>
      <c r="I466" s="3">
        <v>3529</v>
      </c>
      <c r="J466" s="4">
        <v>0.21</v>
      </c>
      <c r="K466" s="3">
        <v>2787.91</v>
      </c>
      <c r="L466" s="3">
        <v>2065.73</v>
      </c>
      <c r="M466" s="5">
        <v>3</v>
      </c>
      <c r="N466" s="3">
        <v>19</v>
      </c>
      <c r="O466" s="6">
        <v>0.38</v>
      </c>
      <c r="P466" s="3">
        <v>8363.73</v>
      </c>
      <c r="Q466" s="3">
        <v>2084.73</v>
      </c>
      <c r="R466" s="3">
        <v>6254.1900000000005</v>
      </c>
      <c r="S466" s="3">
        <v>2109.5399999999991</v>
      </c>
      <c r="T466" s="4">
        <v>0.25222478487469102</v>
      </c>
      <c r="U466" s="4">
        <v>-0.12777521512530901</v>
      </c>
      <c r="V466" t="s">
        <v>1054</v>
      </c>
      <c r="W466" t="s">
        <v>1056</v>
      </c>
    </row>
    <row r="467" spans="1:23" x14ac:dyDescent="0.25">
      <c r="A467" t="s">
        <v>478</v>
      </c>
      <c r="B467" s="2">
        <v>45324</v>
      </c>
      <c r="C467" t="s">
        <v>550</v>
      </c>
      <c r="D467" t="s">
        <v>993</v>
      </c>
      <c r="E467" t="s">
        <v>535</v>
      </c>
      <c r="F467" t="s">
        <v>540</v>
      </c>
      <c r="G467" t="s">
        <v>546</v>
      </c>
      <c r="H467" t="s">
        <v>1045</v>
      </c>
      <c r="I467" s="3">
        <v>1773</v>
      </c>
      <c r="J467" s="4">
        <v>0.09</v>
      </c>
      <c r="K467" s="3">
        <v>1613.43</v>
      </c>
      <c r="L467" s="3">
        <v>1073.67</v>
      </c>
      <c r="M467" s="5">
        <v>1</v>
      </c>
      <c r="N467" s="3">
        <v>178</v>
      </c>
      <c r="O467" s="6">
        <v>0.28999999999999998</v>
      </c>
      <c r="P467" s="3">
        <v>1613.43</v>
      </c>
      <c r="Q467" s="3">
        <v>1251.67</v>
      </c>
      <c r="R467" s="3">
        <v>1251.67</v>
      </c>
      <c r="S467" s="3">
        <v>361.76</v>
      </c>
      <c r="T467" s="4">
        <v>0.224217970410864</v>
      </c>
      <c r="U467" s="4">
        <v>-6.5782029589135996E-2</v>
      </c>
      <c r="V467" t="s">
        <v>1054</v>
      </c>
      <c r="W467" t="s">
        <v>1059</v>
      </c>
    </row>
    <row r="468" spans="1:23" x14ac:dyDescent="0.25">
      <c r="A468" t="s">
        <v>479</v>
      </c>
      <c r="B468" s="2">
        <v>45392</v>
      </c>
      <c r="C468" t="s">
        <v>548</v>
      </c>
      <c r="D468" t="s">
        <v>994</v>
      </c>
      <c r="E468" t="s">
        <v>536</v>
      </c>
      <c r="F468" t="s">
        <v>539</v>
      </c>
      <c r="G468" t="s">
        <v>546</v>
      </c>
      <c r="H468" t="s">
        <v>1043</v>
      </c>
      <c r="I468" s="3">
        <v>1214</v>
      </c>
      <c r="J468" s="4">
        <v>0.08</v>
      </c>
      <c r="K468" s="3">
        <v>1116.8800000000001</v>
      </c>
      <c r="L468" s="3">
        <v>650.41999999999996</v>
      </c>
      <c r="M468" s="5">
        <v>3</v>
      </c>
      <c r="N468" s="3">
        <v>68</v>
      </c>
      <c r="O468" s="6">
        <v>0.39</v>
      </c>
      <c r="P468" s="3">
        <v>3350.6400000000003</v>
      </c>
      <c r="Q468" s="3">
        <v>718.42</v>
      </c>
      <c r="R468" s="3">
        <v>2155.2599999999998</v>
      </c>
      <c r="S468" s="3">
        <v>1195.3800000000006</v>
      </c>
      <c r="T468" s="4">
        <v>0.35676169328844698</v>
      </c>
      <c r="U468" s="4">
        <v>-3.3238306711552999E-2</v>
      </c>
      <c r="V468" t="s">
        <v>1054</v>
      </c>
      <c r="W468" t="s">
        <v>1059</v>
      </c>
    </row>
    <row r="469" spans="1:23" x14ac:dyDescent="0.25">
      <c r="A469" t="s">
        <v>480</v>
      </c>
      <c r="B469" s="2">
        <v>45314</v>
      </c>
      <c r="C469" t="s">
        <v>548</v>
      </c>
      <c r="D469" t="s">
        <v>995</v>
      </c>
      <c r="E469" t="s">
        <v>536</v>
      </c>
      <c r="F469" t="s">
        <v>544</v>
      </c>
      <c r="G469" t="s">
        <v>546</v>
      </c>
      <c r="H469" t="s">
        <v>1042</v>
      </c>
      <c r="I469" s="3">
        <v>4613</v>
      </c>
      <c r="J469" s="4">
        <v>0.22</v>
      </c>
      <c r="K469" s="3">
        <v>3598.14</v>
      </c>
      <c r="L469" s="3">
        <v>2106.6</v>
      </c>
      <c r="M469" s="5">
        <v>2</v>
      </c>
      <c r="N469" s="3">
        <v>76</v>
      </c>
      <c r="O469" s="6">
        <v>0.38</v>
      </c>
      <c r="P469" s="3">
        <v>7196.28</v>
      </c>
      <c r="Q469" s="3">
        <v>2182.6</v>
      </c>
      <c r="R469" s="3">
        <v>4365.2</v>
      </c>
      <c r="S469" s="3">
        <v>2831.08</v>
      </c>
      <c r="T469" s="4">
        <v>0.39340881677755701</v>
      </c>
      <c r="U469" s="4">
        <v>1.3408816777557E-2</v>
      </c>
      <c r="V469" t="s">
        <v>1058</v>
      </c>
      <c r="W469" t="s">
        <v>1056</v>
      </c>
    </row>
    <row r="470" spans="1:23" x14ac:dyDescent="0.25">
      <c r="A470" t="s">
        <v>481</v>
      </c>
      <c r="B470" s="2">
        <v>45301</v>
      </c>
      <c r="C470" t="s">
        <v>547</v>
      </c>
      <c r="D470" t="s">
        <v>996</v>
      </c>
      <c r="E470" t="s">
        <v>536</v>
      </c>
      <c r="F470" t="s">
        <v>544</v>
      </c>
      <c r="G470" t="s">
        <v>546</v>
      </c>
      <c r="H470" t="s">
        <v>1045</v>
      </c>
      <c r="I470" s="3">
        <v>4293</v>
      </c>
      <c r="J470" s="4">
        <v>0.1</v>
      </c>
      <c r="K470" s="3">
        <v>3863.7</v>
      </c>
      <c r="L470" s="3">
        <v>2958.97</v>
      </c>
      <c r="M470" s="5">
        <v>2</v>
      </c>
      <c r="N470" s="3">
        <v>75</v>
      </c>
      <c r="O470" s="6">
        <v>0.37</v>
      </c>
      <c r="P470" s="3">
        <v>7727.4</v>
      </c>
      <c r="Q470" s="3">
        <v>3033.97</v>
      </c>
      <c r="R470" s="3">
        <v>6067.94</v>
      </c>
      <c r="S470" s="3">
        <v>1659.46</v>
      </c>
      <c r="T470" s="4">
        <v>0.214750109998188</v>
      </c>
      <c r="U470" s="4">
        <v>-0.155249890001812</v>
      </c>
      <c r="V470" t="s">
        <v>1054</v>
      </c>
      <c r="W470" t="s">
        <v>1055</v>
      </c>
    </row>
    <row r="471" spans="1:23" x14ac:dyDescent="0.25">
      <c r="A471" t="s">
        <v>482</v>
      </c>
      <c r="B471" s="2">
        <v>45360</v>
      </c>
      <c r="C471" t="s">
        <v>549</v>
      </c>
      <c r="D471" t="s">
        <v>997</v>
      </c>
      <c r="E471" t="s">
        <v>536</v>
      </c>
      <c r="F471" t="s">
        <v>539</v>
      </c>
      <c r="G471" t="s">
        <v>546</v>
      </c>
      <c r="H471" t="s">
        <v>1043</v>
      </c>
      <c r="I471" s="3">
        <v>3232</v>
      </c>
      <c r="J471" s="4">
        <v>0.15</v>
      </c>
      <c r="K471" s="3">
        <v>2747.2</v>
      </c>
      <c r="L471" s="3">
        <v>2213.04</v>
      </c>
      <c r="M471" s="5">
        <v>3</v>
      </c>
      <c r="N471" s="3">
        <v>44</v>
      </c>
      <c r="O471" s="6">
        <v>0.32</v>
      </c>
      <c r="P471" s="3">
        <v>8241.5999999999985</v>
      </c>
      <c r="Q471" s="3">
        <v>2257.04</v>
      </c>
      <c r="R471" s="3">
        <v>6771.12</v>
      </c>
      <c r="S471" s="3">
        <v>1470.4799999999987</v>
      </c>
      <c r="T471" s="4">
        <v>0.178421665695981</v>
      </c>
      <c r="U471" s="4">
        <v>-0.141578334304019</v>
      </c>
      <c r="V471" t="s">
        <v>1054</v>
      </c>
      <c r="W471" t="s">
        <v>1055</v>
      </c>
    </row>
    <row r="472" spans="1:23" x14ac:dyDescent="0.25">
      <c r="A472" t="s">
        <v>483</v>
      </c>
      <c r="B472" s="2">
        <v>45391</v>
      </c>
      <c r="C472" t="s">
        <v>547</v>
      </c>
      <c r="D472" t="s">
        <v>676</v>
      </c>
      <c r="E472" t="s">
        <v>537</v>
      </c>
      <c r="F472" t="s">
        <v>543</v>
      </c>
      <c r="G472" t="s">
        <v>546</v>
      </c>
      <c r="H472" t="s">
        <v>1045</v>
      </c>
      <c r="I472" s="3">
        <v>4850</v>
      </c>
      <c r="J472" s="4">
        <v>0.17</v>
      </c>
      <c r="K472" s="3">
        <v>4025.5</v>
      </c>
      <c r="L472" s="3">
        <v>3605.81</v>
      </c>
      <c r="M472" s="5">
        <v>2</v>
      </c>
      <c r="N472" s="3">
        <v>160</v>
      </c>
      <c r="O472" s="6">
        <v>0.31</v>
      </c>
      <c r="P472" s="3">
        <v>8051</v>
      </c>
      <c r="Q472" s="3">
        <v>3765.81</v>
      </c>
      <c r="R472" s="3">
        <v>7531.62</v>
      </c>
      <c r="S472" s="3">
        <v>519.38000000000011</v>
      </c>
      <c r="T472" s="4">
        <v>6.4511240839647294E-2</v>
      </c>
      <c r="U472" s="4">
        <v>-0.24548875916035301</v>
      </c>
      <c r="V472" t="s">
        <v>1054</v>
      </c>
      <c r="W472" t="s">
        <v>1055</v>
      </c>
    </row>
    <row r="473" spans="1:23" x14ac:dyDescent="0.25">
      <c r="A473" t="s">
        <v>484</v>
      </c>
      <c r="B473" s="2">
        <v>45325</v>
      </c>
      <c r="C473" t="s">
        <v>549</v>
      </c>
      <c r="D473" t="s">
        <v>998</v>
      </c>
      <c r="E473" t="s">
        <v>536</v>
      </c>
      <c r="F473" t="s">
        <v>544</v>
      </c>
      <c r="G473" t="s">
        <v>545</v>
      </c>
      <c r="H473" t="s">
        <v>1045</v>
      </c>
      <c r="I473" s="3">
        <v>3012</v>
      </c>
      <c r="J473" s="4">
        <v>0.21</v>
      </c>
      <c r="K473" s="3">
        <v>2379.48</v>
      </c>
      <c r="L473" s="3">
        <v>1416.82</v>
      </c>
      <c r="M473" s="5">
        <v>1</v>
      </c>
      <c r="N473" s="3">
        <v>135</v>
      </c>
      <c r="O473" s="6">
        <v>0.44</v>
      </c>
      <c r="P473" s="3">
        <v>2379.48</v>
      </c>
      <c r="Q473" s="3">
        <v>1551.82</v>
      </c>
      <c r="R473" s="3">
        <v>1551.82</v>
      </c>
      <c r="S473" s="3">
        <v>827.66000000000008</v>
      </c>
      <c r="T473" s="4">
        <v>0.34783229949400701</v>
      </c>
      <c r="U473" s="4">
        <v>-9.2167700505993003E-2</v>
      </c>
      <c r="V473" t="s">
        <v>1054</v>
      </c>
      <c r="W473" t="s">
        <v>1056</v>
      </c>
    </row>
    <row r="474" spans="1:23" x14ac:dyDescent="0.25">
      <c r="A474" t="s">
        <v>485</v>
      </c>
      <c r="B474" s="2">
        <v>45471</v>
      </c>
      <c r="C474" t="s">
        <v>548</v>
      </c>
      <c r="D474" t="s">
        <v>999</v>
      </c>
      <c r="E474" t="s">
        <v>537</v>
      </c>
      <c r="F474" t="s">
        <v>541</v>
      </c>
      <c r="G474" t="s">
        <v>546</v>
      </c>
      <c r="H474" t="s">
        <v>1043</v>
      </c>
      <c r="I474" s="3">
        <v>3966</v>
      </c>
      <c r="J474" s="4">
        <v>0.24</v>
      </c>
      <c r="K474" s="3">
        <v>3014.16</v>
      </c>
      <c r="L474" s="3">
        <v>2461.16</v>
      </c>
      <c r="M474" s="5">
        <v>3</v>
      </c>
      <c r="N474" s="3">
        <v>159</v>
      </c>
      <c r="O474" s="6">
        <v>0.35</v>
      </c>
      <c r="P474" s="3">
        <v>9042.48</v>
      </c>
      <c r="Q474" s="3">
        <v>2620.16</v>
      </c>
      <c r="R474" s="3">
        <v>7860.48</v>
      </c>
      <c r="S474" s="3">
        <v>1182</v>
      </c>
      <c r="T474" s="4">
        <v>0.13071635215117999</v>
      </c>
      <c r="U474" s="4">
        <v>-0.21928364784882001</v>
      </c>
      <c r="V474" t="s">
        <v>1054</v>
      </c>
      <c r="W474" t="s">
        <v>1056</v>
      </c>
    </row>
    <row r="475" spans="1:23" x14ac:dyDescent="0.25">
      <c r="A475" t="s">
        <v>486</v>
      </c>
      <c r="B475" s="2">
        <v>45429</v>
      </c>
      <c r="C475" t="s">
        <v>550</v>
      </c>
      <c r="D475" t="s">
        <v>1000</v>
      </c>
      <c r="E475" t="s">
        <v>536</v>
      </c>
      <c r="F475" t="s">
        <v>539</v>
      </c>
      <c r="G475" t="s">
        <v>545</v>
      </c>
      <c r="H475" t="s">
        <v>1042</v>
      </c>
      <c r="I475" s="3">
        <v>4230</v>
      </c>
      <c r="J475" s="4">
        <v>0.35</v>
      </c>
      <c r="K475" s="3">
        <v>2749.5</v>
      </c>
      <c r="L475" s="3">
        <v>2167.85</v>
      </c>
      <c r="M475" s="5">
        <v>3</v>
      </c>
      <c r="N475" s="3">
        <v>160</v>
      </c>
      <c r="O475" s="6">
        <v>0.39</v>
      </c>
      <c r="P475" s="3">
        <v>8248.5</v>
      </c>
      <c r="Q475" s="3">
        <v>2327.85</v>
      </c>
      <c r="R475" s="3">
        <v>6983.5499999999993</v>
      </c>
      <c r="S475" s="3">
        <v>1264.9500000000007</v>
      </c>
      <c r="T475" s="4">
        <v>0.153355155482815</v>
      </c>
      <c r="U475" s="4">
        <v>-0.23664484451718501</v>
      </c>
      <c r="V475" t="s">
        <v>1054</v>
      </c>
      <c r="W475" t="s">
        <v>1056</v>
      </c>
    </row>
    <row r="476" spans="1:23" x14ac:dyDescent="0.25">
      <c r="A476" t="s">
        <v>487</v>
      </c>
      <c r="B476" s="2">
        <v>45438</v>
      </c>
      <c r="C476" t="s">
        <v>550</v>
      </c>
      <c r="D476" t="s">
        <v>1001</v>
      </c>
      <c r="E476" t="s">
        <v>536</v>
      </c>
      <c r="F476" t="s">
        <v>544</v>
      </c>
      <c r="G476" t="s">
        <v>545</v>
      </c>
      <c r="H476" t="s">
        <v>1043</v>
      </c>
      <c r="I476" s="3">
        <v>6024</v>
      </c>
      <c r="J476" s="4">
        <v>0.12</v>
      </c>
      <c r="K476" s="3">
        <v>5301.12</v>
      </c>
      <c r="L476" s="3">
        <v>3896.15</v>
      </c>
      <c r="M476" s="5">
        <v>3</v>
      </c>
      <c r="N476" s="3">
        <v>112</v>
      </c>
      <c r="O476" s="6">
        <v>0.33</v>
      </c>
      <c r="P476" s="3">
        <v>15903.36</v>
      </c>
      <c r="Q476" s="3">
        <v>4008.15</v>
      </c>
      <c r="R476" s="3">
        <v>12024.45</v>
      </c>
      <c r="S476" s="3">
        <v>3878.91</v>
      </c>
      <c r="T476" s="4">
        <v>0.24390506157189401</v>
      </c>
      <c r="U476" s="4">
        <v>-8.6094938428106005E-2</v>
      </c>
      <c r="V476" t="s">
        <v>1054</v>
      </c>
      <c r="W476" t="s">
        <v>1055</v>
      </c>
    </row>
    <row r="477" spans="1:23" x14ac:dyDescent="0.25">
      <c r="A477" t="s">
        <v>488</v>
      </c>
      <c r="B477" s="2">
        <v>45387</v>
      </c>
      <c r="C477" t="s">
        <v>549</v>
      </c>
      <c r="D477" t="s">
        <v>632</v>
      </c>
      <c r="E477" t="s">
        <v>536</v>
      </c>
      <c r="F477" t="s">
        <v>539</v>
      </c>
      <c r="G477" t="s">
        <v>546</v>
      </c>
      <c r="H477" t="s">
        <v>1044</v>
      </c>
      <c r="I477" s="3">
        <v>1123</v>
      </c>
      <c r="J477" s="4">
        <v>0.06</v>
      </c>
      <c r="K477" s="3">
        <v>1055.6199999999999</v>
      </c>
      <c r="L477" s="3">
        <v>740.96</v>
      </c>
      <c r="M477" s="5">
        <v>1</v>
      </c>
      <c r="N477" s="3">
        <v>100</v>
      </c>
      <c r="O477" s="6">
        <v>0.41</v>
      </c>
      <c r="P477" s="3">
        <v>1055.6199999999999</v>
      </c>
      <c r="Q477" s="3">
        <v>840.96</v>
      </c>
      <c r="R477" s="3">
        <v>840.96</v>
      </c>
      <c r="S477" s="3">
        <v>214.65999999999985</v>
      </c>
      <c r="T477" s="4">
        <v>0.203349690229438</v>
      </c>
      <c r="U477" s="4">
        <v>-0.20665030977056201</v>
      </c>
      <c r="V477" t="s">
        <v>1054</v>
      </c>
      <c r="W477" t="s">
        <v>1059</v>
      </c>
    </row>
    <row r="478" spans="1:23" x14ac:dyDescent="0.25">
      <c r="A478" t="s">
        <v>489</v>
      </c>
      <c r="B478" s="2">
        <v>45292</v>
      </c>
      <c r="C478" t="s">
        <v>550</v>
      </c>
      <c r="D478" t="s">
        <v>1002</v>
      </c>
      <c r="E478" t="s">
        <v>536</v>
      </c>
      <c r="F478" t="s">
        <v>539</v>
      </c>
      <c r="G478" t="s">
        <v>546</v>
      </c>
      <c r="H478" t="s">
        <v>1045</v>
      </c>
      <c r="I478" s="3">
        <v>5758</v>
      </c>
      <c r="J478" s="4">
        <v>0.18</v>
      </c>
      <c r="K478" s="3">
        <v>4721.5600000000004</v>
      </c>
      <c r="L478" s="3">
        <v>3139.21</v>
      </c>
      <c r="M478" s="5">
        <v>1</v>
      </c>
      <c r="N478" s="3">
        <v>126</v>
      </c>
      <c r="O478" s="6">
        <v>0.4</v>
      </c>
      <c r="P478" s="3">
        <v>4721.5600000000004</v>
      </c>
      <c r="Q478" s="3">
        <v>3265.21</v>
      </c>
      <c r="R478" s="3">
        <v>3265.21</v>
      </c>
      <c r="S478" s="3">
        <v>1456.3500000000004</v>
      </c>
      <c r="T478" s="4">
        <v>0.308446784537314</v>
      </c>
      <c r="U478" s="4">
        <v>-9.1553215462685994E-2</v>
      </c>
      <c r="V478" t="s">
        <v>1054</v>
      </c>
      <c r="W478" t="s">
        <v>1055</v>
      </c>
    </row>
    <row r="479" spans="1:23" x14ac:dyDescent="0.25">
      <c r="A479" t="s">
        <v>490</v>
      </c>
      <c r="B479" s="2">
        <v>45360</v>
      </c>
      <c r="C479" t="s">
        <v>547</v>
      </c>
      <c r="D479" t="s">
        <v>1003</v>
      </c>
      <c r="E479" t="s">
        <v>537</v>
      </c>
      <c r="F479" t="s">
        <v>543</v>
      </c>
      <c r="G479" t="s">
        <v>546</v>
      </c>
      <c r="H479" t="s">
        <v>1045</v>
      </c>
      <c r="I479" s="3">
        <v>7214</v>
      </c>
      <c r="J479" s="4">
        <v>0.27</v>
      </c>
      <c r="K479" s="3">
        <v>5266.22</v>
      </c>
      <c r="L479" s="3">
        <v>3298.12</v>
      </c>
      <c r="M479" s="5">
        <v>2</v>
      </c>
      <c r="N479" s="3">
        <v>151</v>
      </c>
      <c r="O479" s="6">
        <v>0.44</v>
      </c>
      <c r="P479" s="3">
        <v>10532.44</v>
      </c>
      <c r="Q479" s="3">
        <v>3449.12</v>
      </c>
      <c r="R479" s="3">
        <v>6898.24</v>
      </c>
      <c r="S479" s="3">
        <v>3634.2000000000007</v>
      </c>
      <c r="T479" s="4">
        <v>0.34504825092760999</v>
      </c>
      <c r="U479" s="4">
        <v>-9.4951749072389999E-2</v>
      </c>
      <c r="V479" t="s">
        <v>1054</v>
      </c>
      <c r="W479" t="s">
        <v>1056</v>
      </c>
    </row>
    <row r="480" spans="1:23" x14ac:dyDescent="0.25">
      <c r="A480" t="s">
        <v>491</v>
      </c>
      <c r="B480" s="2">
        <v>45295</v>
      </c>
      <c r="C480" t="s">
        <v>547</v>
      </c>
      <c r="D480" t="s">
        <v>1004</v>
      </c>
      <c r="E480" t="s">
        <v>535</v>
      </c>
      <c r="F480" t="s">
        <v>540</v>
      </c>
      <c r="G480" t="s">
        <v>546</v>
      </c>
      <c r="H480" t="s">
        <v>1043</v>
      </c>
      <c r="I480" s="3">
        <v>6129</v>
      </c>
      <c r="J480" s="4">
        <v>0.22</v>
      </c>
      <c r="K480" s="3">
        <v>4780.62</v>
      </c>
      <c r="L480" s="3">
        <v>3507.07</v>
      </c>
      <c r="M480" s="5">
        <v>2</v>
      </c>
      <c r="N480" s="3">
        <v>44</v>
      </c>
      <c r="O480" s="6">
        <v>0.39</v>
      </c>
      <c r="P480" s="3">
        <v>9561.24</v>
      </c>
      <c r="Q480" s="3">
        <v>3551.07</v>
      </c>
      <c r="R480" s="3">
        <v>7102.14</v>
      </c>
      <c r="S480" s="3">
        <v>2459.0999999999995</v>
      </c>
      <c r="T480" s="4">
        <v>0.25719467349423297</v>
      </c>
      <c r="U480" s="4">
        <v>-0.13280532650576701</v>
      </c>
      <c r="V480" t="s">
        <v>1054</v>
      </c>
      <c r="W480" t="s">
        <v>1056</v>
      </c>
    </row>
    <row r="481" spans="1:23" x14ac:dyDescent="0.25">
      <c r="A481" t="s">
        <v>492</v>
      </c>
      <c r="B481" s="2">
        <v>45307</v>
      </c>
      <c r="C481" t="s">
        <v>549</v>
      </c>
      <c r="D481" t="s">
        <v>1005</v>
      </c>
      <c r="E481" t="s">
        <v>535</v>
      </c>
      <c r="F481" t="s">
        <v>540</v>
      </c>
      <c r="G481" t="s">
        <v>546</v>
      </c>
      <c r="H481" t="s">
        <v>1043</v>
      </c>
      <c r="I481" s="3">
        <v>4490</v>
      </c>
      <c r="J481" s="4">
        <v>0.14000000000000001</v>
      </c>
      <c r="K481" s="3">
        <v>3861.4</v>
      </c>
      <c r="L481" s="3">
        <v>2865.03</v>
      </c>
      <c r="M481" s="5">
        <v>3</v>
      </c>
      <c r="N481" s="3">
        <v>160</v>
      </c>
      <c r="O481" s="6">
        <v>0.38</v>
      </c>
      <c r="P481" s="3">
        <v>11584.2</v>
      </c>
      <c r="Q481" s="3">
        <v>3025.03</v>
      </c>
      <c r="R481" s="3">
        <v>9075.09</v>
      </c>
      <c r="S481" s="3">
        <v>2509.1100000000006</v>
      </c>
      <c r="T481" s="4">
        <v>0.21659760708551301</v>
      </c>
      <c r="U481" s="4">
        <v>-0.16340239291448699</v>
      </c>
      <c r="V481" t="s">
        <v>1054</v>
      </c>
      <c r="W481" t="s">
        <v>1055</v>
      </c>
    </row>
    <row r="482" spans="1:23" x14ac:dyDescent="0.25">
      <c r="A482" t="s">
        <v>493</v>
      </c>
      <c r="B482" s="2">
        <v>45315</v>
      </c>
      <c r="C482" t="s">
        <v>547</v>
      </c>
      <c r="D482" t="s">
        <v>1006</v>
      </c>
      <c r="E482" t="s">
        <v>536</v>
      </c>
      <c r="F482" t="s">
        <v>539</v>
      </c>
      <c r="G482" t="s">
        <v>546</v>
      </c>
      <c r="H482" t="s">
        <v>1045</v>
      </c>
      <c r="I482" s="3">
        <v>3027</v>
      </c>
      <c r="J482" s="4">
        <v>0.1</v>
      </c>
      <c r="K482" s="3">
        <v>2724.3</v>
      </c>
      <c r="L482" s="3">
        <v>2080.1799999999998</v>
      </c>
      <c r="M482" s="5">
        <v>2</v>
      </c>
      <c r="N482" s="3">
        <v>155</v>
      </c>
      <c r="O482" s="6">
        <v>0.35</v>
      </c>
      <c r="P482" s="3">
        <v>5448.6</v>
      </c>
      <c r="Q482" s="3">
        <v>2235.1799999999998</v>
      </c>
      <c r="R482" s="3">
        <v>4470.3599999999997</v>
      </c>
      <c r="S482" s="3">
        <v>978.24000000000069</v>
      </c>
      <c r="T482" s="4">
        <v>0.17953969827111599</v>
      </c>
      <c r="U482" s="4">
        <v>-0.17046030172888399</v>
      </c>
      <c r="V482" t="s">
        <v>1054</v>
      </c>
      <c r="W482" t="s">
        <v>1055</v>
      </c>
    </row>
    <row r="483" spans="1:23" x14ac:dyDescent="0.25">
      <c r="A483" t="s">
        <v>494</v>
      </c>
      <c r="B483" s="2">
        <v>45371</v>
      </c>
      <c r="C483" t="s">
        <v>550</v>
      </c>
      <c r="D483" t="s">
        <v>1007</v>
      </c>
      <c r="E483" t="s">
        <v>537</v>
      </c>
      <c r="F483" t="s">
        <v>542</v>
      </c>
      <c r="G483" t="s">
        <v>546</v>
      </c>
      <c r="H483" t="s">
        <v>1045</v>
      </c>
      <c r="I483" s="3">
        <v>6241</v>
      </c>
      <c r="J483" s="4">
        <v>0.1</v>
      </c>
      <c r="K483" s="3">
        <v>5616.9</v>
      </c>
      <c r="L483" s="3">
        <v>4162.26</v>
      </c>
      <c r="M483" s="5">
        <v>2</v>
      </c>
      <c r="N483" s="3">
        <v>19</v>
      </c>
      <c r="O483" s="6">
        <v>0.4</v>
      </c>
      <c r="P483" s="3">
        <v>11233.8</v>
      </c>
      <c r="Q483" s="3">
        <v>4181.26</v>
      </c>
      <c r="R483" s="3">
        <v>8362.52</v>
      </c>
      <c r="S483" s="3">
        <v>2871.2799999999988</v>
      </c>
      <c r="T483" s="4">
        <v>0.25559294272641497</v>
      </c>
      <c r="U483" s="4">
        <v>-0.14440705727358499</v>
      </c>
      <c r="V483" t="s">
        <v>1054</v>
      </c>
      <c r="W483" t="s">
        <v>1055</v>
      </c>
    </row>
    <row r="484" spans="1:23" x14ac:dyDescent="0.25">
      <c r="A484" t="s">
        <v>495</v>
      </c>
      <c r="B484" s="2">
        <v>45293</v>
      </c>
      <c r="C484" t="s">
        <v>548</v>
      </c>
      <c r="D484" t="s">
        <v>930</v>
      </c>
      <c r="E484" t="s">
        <v>535</v>
      </c>
      <c r="F484" t="s">
        <v>540</v>
      </c>
      <c r="G484" t="s">
        <v>546</v>
      </c>
      <c r="H484" t="s">
        <v>1044</v>
      </c>
      <c r="I484" s="3">
        <v>1241</v>
      </c>
      <c r="J484" s="4">
        <v>0.25</v>
      </c>
      <c r="K484" s="3">
        <v>930.75</v>
      </c>
      <c r="L484" s="3">
        <v>855.79</v>
      </c>
      <c r="M484" s="5">
        <v>1</v>
      </c>
      <c r="N484" s="3">
        <v>141</v>
      </c>
      <c r="O484" s="6">
        <v>0.28000000000000003</v>
      </c>
      <c r="P484" s="3">
        <v>930.75</v>
      </c>
      <c r="Q484" s="3">
        <v>996.79</v>
      </c>
      <c r="R484" s="3">
        <v>996.79</v>
      </c>
      <c r="S484" s="3">
        <v>-66.039999999999964</v>
      </c>
      <c r="T484" s="4">
        <v>-7.0953532097770597E-2</v>
      </c>
      <c r="U484" s="4">
        <v>-0.35095353209777103</v>
      </c>
      <c r="V484" t="s">
        <v>1054</v>
      </c>
      <c r="W484" t="s">
        <v>1056</v>
      </c>
    </row>
    <row r="485" spans="1:23" x14ac:dyDescent="0.25">
      <c r="A485" t="s">
        <v>496</v>
      </c>
      <c r="B485" s="2">
        <v>45419</v>
      </c>
      <c r="C485" t="s">
        <v>547</v>
      </c>
      <c r="D485" t="s">
        <v>1008</v>
      </c>
      <c r="E485" t="s">
        <v>535</v>
      </c>
      <c r="F485" t="s">
        <v>538</v>
      </c>
      <c r="G485" t="s">
        <v>546</v>
      </c>
      <c r="H485" t="s">
        <v>1042</v>
      </c>
      <c r="I485" s="3">
        <v>6272</v>
      </c>
      <c r="J485" s="4">
        <v>0.25</v>
      </c>
      <c r="K485" s="3">
        <v>4704</v>
      </c>
      <c r="L485" s="3">
        <v>4100.13</v>
      </c>
      <c r="M485" s="5">
        <v>2</v>
      </c>
      <c r="N485" s="3">
        <v>22</v>
      </c>
      <c r="O485" s="6">
        <v>0.41</v>
      </c>
      <c r="P485" s="3">
        <v>9408</v>
      </c>
      <c r="Q485" s="3">
        <v>4122.13</v>
      </c>
      <c r="R485" s="3">
        <v>8244.26</v>
      </c>
      <c r="S485" s="3">
        <v>1163.7399999999998</v>
      </c>
      <c r="T485" s="4">
        <v>0.123696853741497</v>
      </c>
      <c r="U485" s="4">
        <v>-0.28630314625850301</v>
      </c>
      <c r="V485" t="s">
        <v>1054</v>
      </c>
      <c r="W485" t="s">
        <v>1056</v>
      </c>
    </row>
    <row r="486" spans="1:23" x14ac:dyDescent="0.25">
      <c r="A486" t="s">
        <v>497</v>
      </c>
      <c r="B486" s="2">
        <v>45451</v>
      </c>
      <c r="C486" t="s">
        <v>549</v>
      </c>
      <c r="D486" t="s">
        <v>1009</v>
      </c>
      <c r="E486" t="s">
        <v>536</v>
      </c>
      <c r="F486" t="s">
        <v>539</v>
      </c>
      <c r="G486" t="s">
        <v>545</v>
      </c>
      <c r="H486" t="s">
        <v>1044</v>
      </c>
      <c r="I486" s="3">
        <v>7583</v>
      </c>
      <c r="J486" s="4">
        <v>7.0000000000000007E-2</v>
      </c>
      <c r="K486" s="3">
        <v>7052.19</v>
      </c>
      <c r="L486" s="3">
        <v>3725.44</v>
      </c>
      <c r="M486" s="5">
        <v>3</v>
      </c>
      <c r="N486" s="3">
        <v>20</v>
      </c>
      <c r="O486" s="6">
        <v>0.43</v>
      </c>
      <c r="P486" s="3">
        <v>21156.57</v>
      </c>
      <c r="Q486" s="3">
        <v>3745.44</v>
      </c>
      <c r="R486" s="3">
        <v>11236.32</v>
      </c>
      <c r="S486" s="3">
        <v>9920.25</v>
      </c>
      <c r="T486" s="4">
        <v>0.46889689585788202</v>
      </c>
      <c r="U486" s="4">
        <v>3.8896895857882002E-2</v>
      </c>
      <c r="V486" t="s">
        <v>1058</v>
      </c>
      <c r="W486" t="s">
        <v>1059</v>
      </c>
    </row>
    <row r="487" spans="1:23" x14ac:dyDescent="0.25">
      <c r="A487" t="s">
        <v>498</v>
      </c>
      <c r="B487" s="2">
        <v>45375</v>
      </c>
      <c r="C487" t="s">
        <v>549</v>
      </c>
      <c r="D487" t="s">
        <v>1010</v>
      </c>
      <c r="E487" t="s">
        <v>535</v>
      </c>
      <c r="F487" t="s">
        <v>538</v>
      </c>
      <c r="G487" t="s">
        <v>546</v>
      </c>
      <c r="H487" t="s">
        <v>1045</v>
      </c>
      <c r="I487" s="3">
        <v>5243</v>
      </c>
      <c r="J487" s="4">
        <v>0.32</v>
      </c>
      <c r="K487" s="3">
        <v>3565.24</v>
      </c>
      <c r="L487" s="3">
        <v>2422.7199999999998</v>
      </c>
      <c r="M487" s="5">
        <v>2</v>
      </c>
      <c r="N487" s="3">
        <v>139</v>
      </c>
      <c r="O487" s="6">
        <v>0.35</v>
      </c>
      <c r="P487" s="3">
        <v>7130.48</v>
      </c>
      <c r="Q487" s="3">
        <v>2561.7199999999998</v>
      </c>
      <c r="R487" s="3">
        <v>5123.4399999999996</v>
      </c>
      <c r="S487" s="3">
        <v>2007.04</v>
      </c>
      <c r="T487" s="4">
        <v>0.28147333699835098</v>
      </c>
      <c r="U487" s="4">
        <v>-6.8526663001649002E-2</v>
      </c>
      <c r="V487" t="s">
        <v>1054</v>
      </c>
      <c r="W487" t="s">
        <v>1056</v>
      </c>
    </row>
    <row r="488" spans="1:23" x14ac:dyDescent="0.25">
      <c r="A488" t="s">
        <v>499</v>
      </c>
      <c r="B488" s="2">
        <v>45443</v>
      </c>
      <c r="C488" t="s">
        <v>549</v>
      </c>
      <c r="D488" t="s">
        <v>1011</v>
      </c>
      <c r="E488" t="s">
        <v>536</v>
      </c>
      <c r="F488" t="s">
        <v>544</v>
      </c>
      <c r="G488" t="s">
        <v>545</v>
      </c>
      <c r="H488" t="s">
        <v>1044</v>
      </c>
      <c r="I488" s="3">
        <v>3790</v>
      </c>
      <c r="J488" s="4">
        <v>0.14000000000000001</v>
      </c>
      <c r="K488" s="3">
        <v>3259.4</v>
      </c>
      <c r="L488" s="3">
        <v>2594.5100000000002</v>
      </c>
      <c r="M488" s="5">
        <v>3</v>
      </c>
      <c r="N488" s="3">
        <v>98</v>
      </c>
      <c r="O488" s="6">
        <v>0.44</v>
      </c>
      <c r="P488" s="3">
        <v>9778.2000000000007</v>
      </c>
      <c r="Q488" s="3">
        <v>2692.51</v>
      </c>
      <c r="R488" s="3">
        <v>8077.5300000000007</v>
      </c>
      <c r="S488" s="3">
        <v>1700.67</v>
      </c>
      <c r="T488" s="4">
        <v>0.173924648708351</v>
      </c>
      <c r="U488" s="4">
        <v>-0.266075351291649</v>
      </c>
      <c r="V488" t="s">
        <v>1054</v>
      </c>
      <c r="W488" t="s">
        <v>1055</v>
      </c>
    </row>
    <row r="489" spans="1:23" x14ac:dyDescent="0.25">
      <c r="A489" t="s">
        <v>500</v>
      </c>
      <c r="B489" s="2">
        <v>45431</v>
      </c>
      <c r="C489" t="s">
        <v>547</v>
      </c>
      <c r="D489" t="s">
        <v>565</v>
      </c>
      <c r="E489" t="s">
        <v>536</v>
      </c>
      <c r="F489" t="s">
        <v>539</v>
      </c>
      <c r="G489" t="s">
        <v>545</v>
      </c>
      <c r="H489" t="s">
        <v>1045</v>
      </c>
      <c r="I489" s="3">
        <v>5803</v>
      </c>
      <c r="J489" s="4">
        <v>0.22</v>
      </c>
      <c r="K489" s="3">
        <v>4526.34</v>
      </c>
      <c r="L489" s="3">
        <v>2971.4</v>
      </c>
      <c r="M489" s="5">
        <v>3</v>
      </c>
      <c r="N489" s="3">
        <v>79</v>
      </c>
      <c r="O489" s="6">
        <v>0.33</v>
      </c>
      <c r="P489" s="3">
        <v>13579.02</v>
      </c>
      <c r="Q489" s="3">
        <v>3050.4</v>
      </c>
      <c r="R489" s="3">
        <v>9151.2000000000007</v>
      </c>
      <c r="S489" s="3">
        <v>4427.82</v>
      </c>
      <c r="T489" s="4">
        <v>0.32607802330359598</v>
      </c>
      <c r="U489" s="4">
        <v>-3.9219766964040401E-3</v>
      </c>
      <c r="V489" t="s">
        <v>1054</v>
      </c>
      <c r="W489" t="s">
        <v>1056</v>
      </c>
    </row>
    <row r="490" spans="1:23" x14ac:dyDescent="0.25">
      <c r="A490" t="s">
        <v>501</v>
      </c>
      <c r="B490" s="2">
        <v>45469</v>
      </c>
      <c r="C490" t="s">
        <v>549</v>
      </c>
      <c r="D490" t="s">
        <v>1012</v>
      </c>
      <c r="E490" t="s">
        <v>536</v>
      </c>
      <c r="F490" t="s">
        <v>544</v>
      </c>
      <c r="G490" t="s">
        <v>545</v>
      </c>
      <c r="H490" t="s">
        <v>1044</v>
      </c>
      <c r="I490" s="3">
        <v>5895</v>
      </c>
      <c r="J490" s="4">
        <v>0.17</v>
      </c>
      <c r="K490" s="3">
        <v>4892.8500000000004</v>
      </c>
      <c r="L490" s="3">
        <v>3128.76</v>
      </c>
      <c r="M490" s="5">
        <v>2</v>
      </c>
      <c r="N490" s="3">
        <v>120</v>
      </c>
      <c r="O490" s="6">
        <v>0.41</v>
      </c>
      <c r="P490" s="3">
        <v>9785.7000000000007</v>
      </c>
      <c r="Q490" s="3">
        <v>3248.76</v>
      </c>
      <c r="R490" s="3">
        <v>6497.52</v>
      </c>
      <c r="S490" s="3">
        <v>3288.1800000000003</v>
      </c>
      <c r="T490" s="4">
        <v>0.33601888469910202</v>
      </c>
      <c r="U490" s="4">
        <v>-7.3981115300898001E-2</v>
      </c>
      <c r="V490" t="s">
        <v>1054</v>
      </c>
      <c r="W490" t="s">
        <v>1055</v>
      </c>
    </row>
    <row r="491" spans="1:23" x14ac:dyDescent="0.25">
      <c r="A491" t="s">
        <v>502</v>
      </c>
      <c r="B491" s="2">
        <v>45454</v>
      </c>
      <c r="C491" t="s">
        <v>548</v>
      </c>
      <c r="D491" t="s">
        <v>1013</v>
      </c>
      <c r="E491" t="s">
        <v>535</v>
      </c>
      <c r="F491" t="s">
        <v>538</v>
      </c>
      <c r="G491" t="s">
        <v>545</v>
      </c>
      <c r="H491" t="s">
        <v>1044</v>
      </c>
      <c r="I491" s="3">
        <v>7764</v>
      </c>
      <c r="J491" s="4">
        <v>0.3</v>
      </c>
      <c r="K491" s="3">
        <v>5434.8</v>
      </c>
      <c r="L491" s="3">
        <v>3919.61</v>
      </c>
      <c r="M491" s="5">
        <v>3</v>
      </c>
      <c r="N491" s="3">
        <v>111</v>
      </c>
      <c r="O491" s="6">
        <v>0.28000000000000003</v>
      </c>
      <c r="P491" s="3">
        <v>16304.400000000001</v>
      </c>
      <c r="Q491" s="3">
        <v>4030.61</v>
      </c>
      <c r="R491" s="3">
        <v>12091.83</v>
      </c>
      <c r="S491" s="3">
        <v>4212.5700000000015</v>
      </c>
      <c r="T491" s="4">
        <v>0.258370133215574</v>
      </c>
      <c r="U491" s="4">
        <v>-2.1629866784426001E-2</v>
      </c>
      <c r="V491" t="s">
        <v>1054</v>
      </c>
      <c r="W491" t="s">
        <v>1056</v>
      </c>
    </row>
    <row r="492" spans="1:23" x14ac:dyDescent="0.25">
      <c r="A492" t="s">
        <v>503</v>
      </c>
      <c r="B492" s="2">
        <v>45415</v>
      </c>
      <c r="C492" t="s">
        <v>548</v>
      </c>
      <c r="D492" t="s">
        <v>1014</v>
      </c>
      <c r="E492" t="s">
        <v>535</v>
      </c>
      <c r="F492" t="s">
        <v>538</v>
      </c>
      <c r="G492" t="s">
        <v>546</v>
      </c>
      <c r="H492" t="s">
        <v>1044</v>
      </c>
      <c r="I492" s="3">
        <v>3705</v>
      </c>
      <c r="J492" s="4">
        <v>7.0000000000000007E-2</v>
      </c>
      <c r="K492" s="3">
        <v>3445.65</v>
      </c>
      <c r="L492" s="3">
        <v>2334.11</v>
      </c>
      <c r="M492" s="5">
        <v>2</v>
      </c>
      <c r="N492" s="3">
        <v>92</v>
      </c>
      <c r="O492" s="6">
        <v>0.37</v>
      </c>
      <c r="P492" s="3">
        <v>6891.3</v>
      </c>
      <c r="Q492" s="3">
        <v>2426.11</v>
      </c>
      <c r="R492" s="3">
        <v>4852.22</v>
      </c>
      <c r="S492" s="3">
        <v>2039.08</v>
      </c>
      <c r="T492" s="4">
        <v>0.29589192169837297</v>
      </c>
      <c r="U492" s="4">
        <v>-7.4108078301626995E-2</v>
      </c>
      <c r="V492" t="s">
        <v>1054</v>
      </c>
      <c r="W492" t="s">
        <v>1059</v>
      </c>
    </row>
    <row r="493" spans="1:23" x14ac:dyDescent="0.25">
      <c r="A493" t="s">
        <v>504</v>
      </c>
      <c r="B493" s="2">
        <v>45324</v>
      </c>
      <c r="C493" t="s">
        <v>548</v>
      </c>
      <c r="D493" t="s">
        <v>929</v>
      </c>
      <c r="E493" t="s">
        <v>535</v>
      </c>
      <c r="F493" t="s">
        <v>540</v>
      </c>
      <c r="G493" t="s">
        <v>545</v>
      </c>
      <c r="H493" t="s">
        <v>1042</v>
      </c>
      <c r="I493" s="3">
        <v>4042</v>
      </c>
      <c r="J493" s="4">
        <v>0.32</v>
      </c>
      <c r="K493" s="3">
        <v>2748.56</v>
      </c>
      <c r="L493" s="3">
        <v>1937.14</v>
      </c>
      <c r="M493" s="5">
        <v>1</v>
      </c>
      <c r="N493" s="3">
        <v>143</v>
      </c>
      <c r="O493" s="6">
        <v>0.34</v>
      </c>
      <c r="P493" s="3">
        <v>2748.56</v>
      </c>
      <c r="Q493" s="3">
        <v>2080.1400000000003</v>
      </c>
      <c r="R493" s="3">
        <v>2080.1400000000003</v>
      </c>
      <c r="S493" s="3">
        <v>668.41999999999962</v>
      </c>
      <c r="T493" s="4">
        <v>0.243189160869692</v>
      </c>
      <c r="U493" s="4">
        <v>-9.6810839130307996E-2</v>
      </c>
      <c r="V493" t="s">
        <v>1054</v>
      </c>
      <c r="W493" t="s">
        <v>1056</v>
      </c>
    </row>
    <row r="494" spans="1:23" x14ac:dyDescent="0.25">
      <c r="A494" t="s">
        <v>505</v>
      </c>
      <c r="B494" s="2">
        <v>45452</v>
      </c>
      <c r="C494" t="s">
        <v>549</v>
      </c>
      <c r="D494" t="s">
        <v>1015</v>
      </c>
      <c r="E494" t="s">
        <v>535</v>
      </c>
      <c r="F494" t="s">
        <v>538</v>
      </c>
      <c r="G494" t="s">
        <v>546</v>
      </c>
      <c r="H494" t="s">
        <v>1044</v>
      </c>
      <c r="I494" s="3">
        <v>7332</v>
      </c>
      <c r="J494" s="4">
        <v>0.14000000000000001</v>
      </c>
      <c r="K494" s="3">
        <v>6305.52</v>
      </c>
      <c r="L494" s="3">
        <v>3439.48</v>
      </c>
      <c r="M494" s="5">
        <v>2</v>
      </c>
      <c r="N494" s="3">
        <v>84</v>
      </c>
      <c r="O494" s="6">
        <v>0.28000000000000003</v>
      </c>
      <c r="P494" s="3">
        <v>12611.04</v>
      </c>
      <c r="Q494" s="3">
        <v>3523.48</v>
      </c>
      <c r="R494" s="3">
        <v>7046.96</v>
      </c>
      <c r="S494" s="3">
        <v>5564.0800000000008</v>
      </c>
      <c r="T494" s="4">
        <v>0.44120706936144799</v>
      </c>
      <c r="U494" s="4">
        <v>0.16120706936144799</v>
      </c>
      <c r="V494" t="s">
        <v>1058</v>
      </c>
      <c r="W494" t="s">
        <v>1055</v>
      </c>
    </row>
    <row r="495" spans="1:23" x14ac:dyDescent="0.25">
      <c r="A495" t="s">
        <v>506</v>
      </c>
      <c r="B495" s="2">
        <v>45470</v>
      </c>
      <c r="C495" t="s">
        <v>549</v>
      </c>
      <c r="D495" t="s">
        <v>1016</v>
      </c>
      <c r="E495" t="s">
        <v>535</v>
      </c>
      <c r="F495" t="s">
        <v>538</v>
      </c>
      <c r="G495" t="s">
        <v>546</v>
      </c>
      <c r="H495" t="s">
        <v>1044</v>
      </c>
      <c r="I495" s="3">
        <v>5497</v>
      </c>
      <c r="J495" s="4">
        <v>0.31</v>
      </c>
      <c r="K495" s="3">
        <v>3792.93</v>
      </c>
      <c r="L495" s="3">
        <v>2950.97</v>
      </c>
      <c r="M495" s="5">
        <v>3</v>
      </c>
      <c r="N495" s="3">
        <v>68</v>
      </c>
      <c r="O495" s="6">
        <v>0.3</v>
      </c>
      <c r="P495" s="3">
        <v>11378.789999999999</v>
      </c>
      <c r="Q495" s="3">
        <v>3018.97</v>
      </c>
      <c r="R495" s="3">
        <v>9056.91</v>
      </c>
      <c r="S495" s="3">
        <v>2321.8799999999992</v>
      </c>
      <c r="T495" s="4">
        <v>0.204053330802308</v>
      </c>
      <c r="U495" s="4">
        <v>-9.5946669197692E-2</v>
      </c>
      <c r="V495" t="s">
        <v>1054</v>
      </c>
      <c r="W495" t="s">
        <v>1056</v>
      </c>
    </row>
    <row r="496" spans="1:23" x14ac:dyDescent="0.25">
      <c r="A496" t="s">
        <v>507</v>
      </c>
      <c r="B496" s="2">
        <v>45462</v>
      </c>
      <c r="C496" t="s">
        <v>549</v>
      </c>
      <c r="D496" t="s">
        <v>909</v>
      </c>
      <c r="E496" t="s">
        <v>535</v>
      </c>
      <c r="F496" t="s">
        <v>540</v>
      </c>
      <c r="G496" t="s">
        <v>545</v>
      </c>
      <c r="H496" t="s">
        <v>1042</v>
      </c>
      <c r="I496" s="3">
        <v>3156</v>
      </c>
      <c r="J496" s="4">
        <v>0.31</v>
      </c>
      <c r="K496" s="3">
        <v>2177.64</v>
      </c>
      <c r="L496" s="3">
        <v>1580.08</v>
      </c>
      <c r="M496" s="5">
        <v>3</v>
      </c>
      <c r="N496" s="3">
        <v>113</v>
      </c>
      <c r="O496" s="6">
        <v>0.4</v>
      </c>
      <c r="P496" s="3">
        <v>6532.92</v>
      </c>
      <c r="Q496" s="3">
        <v>1693.08</v>
      </c>
      <c r="R496" s="3">
        <v>5079.24</v>
      </c>
      <c r="S496" s="3">
        <v>1453.6800000000003</v>
      </c>
      <c r="T496" s="4">
        <v>0.22251611836667201</v>
      </c>
      <c r="U496" s="4">
        <v>-0.17748388163332801</v>
      </c>
      <c r="V496" t="s">
        <v>1054</v>
      </c>
      <c r="W496" t="s">
        <v>1056</v>
      </c>
    </row>
    <row r="497" spans="1:23" x14ac:dyDescent="0.25">
      <c r="A497" t="s">
        <v>508</v>
      </c>
      <c r="B497" s="2">
        <v>45392</v>
      </c>
      <c r="C497" t="s">
        <v>549</v>
      </c>
      <c r="D497" t="s">
        <v>1017</v>
      </c>
      <c r="E497" t="s">
        <v>537</v>
      </c>
      <c r="F497" t="s">
        <v>541</v>
      </c>
      <c r="G497" t="s">
        <v>546</v>
      </c>
      <c r="H497" t="s">
        <v>1044</v>
      </c>
      <c r="I497" s="3">
        <v>4988</v>
      </c>
      <c r="J497" s="4">
        <v>0.25</v>
      </c>
      <c r="K497" s="3">
        <v>3741</v>
      </c>
      <c r="L497" s="3">
        <v>3196.38</v>
      </c>
      <c r="M497" s="5">
        <v>1</v>
      </c>
      <c r="N497" s="3">
        <v>72</v>
      </c>
      <c r="O497" s="6">
        <v>0.37</v>
      </c>
      <c r="P497" s="3">
        <v>3741</v>
      </c>
      <c r="Q497" s="3">
        <v>3268.38</v>
      </c>
      <c r="R497" s="3">
        <v>3268.38</v>
      </c>
      <c r="S497" s="3">
        <v>472.61999999999989</v>
      </c>
      <c r="T497" s="4">
        <v>0.12633520449077801</v>
      </c>
      <c r="U497" s="4">
        <v>-0.24366479550922199</v>
      </c>
      <c r="V497" t="s">
        <v>1054</v>
      </c>
      <c r="W497" t="s">
        <v>1056</v>
      </c>
    </row>
    <row r="498" spans="1:23" x14ac:dyDescent="0.25">
      <c r="A498" t="s">
        <v>509</v>
      </c>
      <c r="B498" s="2">
        <v>45303</v>
      </c>
      <c r="C498" t="s">
        <v>549</v>
      </c>
      <c r="D498" t="s">
        <v>1018</v>
      </c>
      <c r="E498" t="s">
        <v>535</v>
      </c>
      <c r="F498" t="s">
        <v>540</v>
      </c>
      <c r="G498" t="s">
        <v>545</v>
      </c>
      <c r="H498" t="s">
        <v>1042</v>
      </c>
      <c r="I498" s="3">
        <v>6196</v>
      </c>
      <c r="J498" s="4">
        <v>0.26</v>
      </c>
      <c r="K498" s="3">
        <v>4585.04</v>
      </c>
      <c r="L498" s="3">
        <v>2984.12</v>
      </c>
      <c r="M498" s="5">
        <v>2</v>
      </c>
      <c r="N498" s="3">
        <v>125</v>
      </c>
      <c r="O498" s="6">
        <v>0.39</v>
      </c>
      <c r="P498" s="3">
        <v>9170.08</v>
      </c>
      <c r="Q498" s="3">
        <v>3109.12</v>
      </c>
      <c r="R498" s="3">
        <v>6218.24</v>
      </c>
      <c r="S498" s="3">
        <v>2951.84</v>
      </c>
      <c r="T498" s="4">
        <v>0.32189904559175098</v>
      </c>
      <c r="U498" s="4">
        <v>-6.8100954408248995E-2</v>
      </c>
      <c r="V498" t="s">
        <v>1054</v>
      </c>
      <c r="W498" t="s">
        <v>1056</v>
      </c>
    </row>
    <row r="499" spans="1:23" x14ac:dyDescent="0.25">
      <c r="A499" t="s">
        <v>510</v>
      </c>
      <c r="B499" s="2">
        <v>45358</v>
      </c>
      <c r="C499" t="s">
        <v>548</v>
      </c>
      <c r="D499" t="s">
        <v>1019</v>
      </c>
      <c r="E499" t="s">
        <v>535</v>
      </c>
      <c r="F499" t="s">
        <v>540</v>
      </c>
      <c r="G499" t="s">
        <v>545</v>
      </c>
      <c r="H499" t="s">
        <v>1042</v>
      </c>
      <c r="I499" s="3">
        <v>3749</v>
      </c>
      <c r="J499" s="4">
        <v>0.08</v>
      </c>
      <c r="K499" s="3">
        <v>3449.08</v>
      </c>
      <c r="L499" s="3">
        <v>2145.6799999999998</v>
      </c>
      <c r="M499" s="5">
        <v>3</v>
      </c>
      <c r="N499" s="3">
        <v>88</v>
      </c>
      <c r="O499" s="6">
        <v>0.44</v>
      </c>
      <c r="P499" s="3">
        <v>10347.24</v>
      </c>
      <c r="Q499" s="3">
        <v>2233.6799999999998</v>
      </c>
      <c r="R499" s="3">
        <v>6701.0399999999991</v>
      </c>
      <c r="S499" s="3">
        <v>3646.2000000000007</v>
      </c>
      <c r="T499" s="4">
        <v>0.35238382409222202</v>
      </c>
      <c r="U499" s="4">
        <v>-8.7616175907777996E-2</v>
      </c>
      <c r="V499" t="s">
        <v>1054</v>
      </c>
      <c r="W499" t="s">
        <v>1059</v>
      </c>
    </row>
    <row r="500" spans="1:23" x14ac:dyDescent="0.25">
      <c r="A500" t="s">
        <v>511</v>
      </c>
      <c r="B500" s="2">
        <v>45356</v>
      </c>
      <c r="C500" t="s">
        <v>549</v>
      </c>
      <c r="D500" t="s">
        <v>1020</v>
      </c>
      <c r="E500" t="s">
        <v>537</v>
      </c>
      <c r="F500" t="s">
        <v>541</v>
      </c>
      <c r="G500" t="s">
        <v>545</v>
      </c>
      <c r="H500" t="s">
        <v>1043</v>
      </c>
      <c r="I500" s="3">
        <v>6752</v>
      </c>
      <c r="J500" s="4">
        <v>0.31</v>
      </c>
      <c r="K500" s="3">
        <v>4658.88</v>
      </c>
      <c r="L500" s="3">
        <v>3306.36</v>
      </c>
      <c r="M500" s="5">
        <v>1</v>
      </c>
      <c r="N500" s="3">
        <v>105</v>
      </c>
      <c r="O500" s="6">
        <v>0.3</v>
      </c>
      <c r="P500" s="3">
        <v>4658.88</v>
      </c>
      <c r="Q500" s="3">
        <v>3411.36</v>
      </c>
      <c r="R500" s="3">
        <v>3411.36</v>
      </c>
      <c r="S500" s="3">
        <v>1247.52</v>
      </c>
      <c r="T500" s="4">
        <v>0.267772511848341</v>
      </c>
      <c r="U500" s="4">
        <v>-3.2227488151659003E-2</v>
      </c>
      <c r="V500" t="s">
        <v>1054</v>
      </c>
      <c r="W500" t="s">
        <v>1056</v>
      </c>
    </row>
    <row r="501" spans="1:23" x14ac:dyDescent="0.25">
      <c r="A501" t="s">
        <v>512</v>
      </c>
      <c r="B501" s="2">
        <v>45452</v>
      </c>
      <c r="C501" t="s">
        <v>547</v>
      </c>
      <c r="D501" t="s">
        <v>1021</v>
      </c>
      <c r="E501" t="s">
        <v>535</v>
      </c>
      <c r="F501" t="s">
        <v>540</v>
      </c>
      <c r="G501" t="s">
        <v>546</v>
      </c>
      <c r="H501" t="s">
        <v>1044</v>
      </c>
      <c r="I501" s="3">
        <v>5405</v>
      </c>
      <c r="J501" s="4">
        <v>0.21</v>
      </c>
      <c r="K501" s="3">
        <v>4269.95</v>
      </c>
      <c r="L501" s="3">
        <v>2710.49</v>
      </c>
      <c r="M501" s="5">
        <v>2</v>
      </c>
      <c r="N501" s="3">
        <v>91</v>
      </c>
      <c r="O501" s="6">
        <v>0.36</v>
      </c>
      <c r="P501" s="3">
        <v>8539.9</v>
      </c>
      <c r="Q501" s="3">
        <v>2801.49</v>
      </c>
      <c r="R501" s="3">
        <v>5602.98</v>
      </c>
      <c r="S501" s="3">
        <v>2936.92</v>
      </c>
      <c r="T501" s="4">
        <v>0.34390566634269698</v>
      </c>
      <c r="U501" s="4">
        <v>-1.6094333657302999E-2</v>
      </c>
      <c r="V501" t="s">
        <v>1054</v>
      </c>
      <c r="W501" t="s">
        <v>1056</v>
      </c>
    </row>
    <row r="502" spans="1:23" x14ac:dyDescent="0.25">
      <c r="A502" t="s">
        <v>513</v>
      </c>
      <c r="B502" s="2">
        <v>45459</v>
      </c>
      <c r="C502" t="s">
        <v>550</v>
      </c>
      <c r="D502" t="s">
        <v>1022</v>
      </c>
      <c r="E502" t="s">
        <v>535</v>
      </c>
      <c r="F502" t="s">
        <v>540</v>
      </c>
      <c r="G502" t="s">
        <v>546</v>
      </c>
      <c r="H502" t="s">
        <v>1044</v>
      </c>
      <c r="I502" s="3">
        <v>6503</v>
      </c>
      <c r="J502" s="4">
        <v>0.19</v>
      </c>
      <c r="K502" s="3">
        <v>5267.43</v>
      </c>
      <c r="L502" s="3">
        <v>3806.73</v>
      </c>
      <c r="M502" s="5">
        <v>2</v>
      </c>
      <c r="N502" s="3">
        <v>98</v>
      </c>
      <c r="O502" s="6">
        <v>0.35</v>
      </c>
      <c r="P502" s="3">
        <v>10534.86</v>
      </c>
      <c r="Q502" s="3">
        <v>3904.73</v>
      </c>
      <c r="R502" s="3">
        <v>7809.46</v>
      </c>
      <c r="S502" s="3">
        <v>2725.4000000000005</v>
      </c>
      <c r="T502" s="4">
        <v>0.25870301076616098</v>
      </c>
      <c r="U502" s="4">
        <v>-9.1296989233838999E-2</v>
      </c>
      <c r="V502" t="s">
        <v>1054</v>
      </c>
      <c r="W502" t="s">
        <v>1055</v>
      </c>
    </row>
    <row r="503" spans="1:23" x14ac:dyDescent="0.25">
      <c r="A503" t="s">
        <v>514</v>
      </c>
      <c r="B503" s="2">
        <v>45365</v>
      </c>
      <c r="C503" t="s">
        <v>550</v>
      </c>
      <c r="D503" t="s">
        <v>1023</v>
      </c>
      <c r="E503" t="s">
        <v>535</v>
      </c>
      <c r="F503" t="s">
        <v>540</v>
      </c>
      <c r="G503" t="s">
        <v>546</v>
      </c>
      <c r="H503" t="s">
        <v>1042</v>
      </c>
      <c r="I503" s="3">
        <v>6499</v>
      </c>
      <c r="J503" s="4">
        <v>0.24</v>
      </c>
      <c r="K503" s="3">
        <v>4939.24</v>
      </c>
      <c r="L503" s="3">
        <v>3741.42</v>
      </c>
      <c r="M503" s="5">
        <v>2</v>
      </c>
      <c r="N503" s="3">
        <v>26</v>
      </c>
      <c r="O503" s="6">
        <v>0.28999999999999998</v>
      </c>
      <c r="P503" s="3">
        <v>9878.48</v>
      </c>
      <c r="Q503" s="3">
        <v>3767.42</v>
      </c>
      <c r="R503" s="3">
        <v>7534.84</v>
      </c>
      <c r="S503" s="3">
        <v>2343.6399999999994</v>
      </c>
      <c r="T503" s="4">
        <v>0.23724702585822899</v>
      </c>
      <c r="U503" s="4">
        <v>-5.2752974141770999E-2</v>
      </c>
      <c r="V503" t="s">
        <v>1054</v>
      </c>
      <c r="W503" t="s">
        <v>1056</v>
      </c>
    </row>
    <row r="504" spans="1:23" x14ac:dyDescent="0.25">
      <c r="A504" t="s">
        <v>515</v>
      </c>
      <c r="B504" s="2">
        <v>45334</v>
      </c>
      <c r="C504" t="s">
        <v>550</v>
      </c>
      <c r="D504" t="s">
        <v>1024</v>
      </c>
      <c r="E504" t="s">
        <v>535</v>
      </c>
      <c r="F504" t="s">
        <v>540</v>
      </c>
      <c r="G504" t="s">
        <v>545</v>
      </c>
      <c r="H504" t="s">
        <v>1045</v>
      </c>
      <c r="I504" s="3">
        <v>5144</v>
      </c>
      <c r="J504" s="4">
        <v>0.3</v>
      </c>
      <c r="K504" s="3">
        <v>3600.8</v>
      </c>
      <c r="L504" s="3">
        <v>2715.42</v>
      </c>
      <c r="M504" s="5">
        <v>3</v>
      </c>
      <c r="N504" s="3">
        <v>25</v>
      </c>
      <c r="O504" s="6">
        <v>0.28999999999999998</v>
      </c>
      <c r="P504" s="3">
        <v>10802.400000000001</v>
      </c>
      <c r="Q504" s="3">
        <v>2740.42</v>
      </c>
      <c r="R504" s="3">
        <v>8221.26</v>
      </c>
      <c r="S504" s="3">
        <v>2581.1400000000012</v>
      </c>
      <c r="T504" s="4">
        <v>0.23894134636747399</v>
      </c>
      <c r="U504" s="4">
        <v>-5.1058653632525999E-2</v>
      </c>
      <c r="V504" t="s">
        <v>1054</v>
      </c>
      <c r="W504" t="s">
        <v>1056</v>
      </c>
    </row>
    <row r="505" spans="1:23" x14ac:dyDescent="0.25">
      <c r="A505" t="s">
        <v>516</v>
      </c>
      <c r="B505" s="2">
        <v>45335</v>
      </c>
      <c r="C505" t="s">
        <v>550</v>
      </c>
      <c r="D505" t="s">
        <v>1025</v>
      </c>
      <c r="E505" t="s">
        <v>535</v>
      </c>
      <c r="F505" t="s">
        <v>540</v>
      </c>
      <c r="G505" t="s">
        <v>546</v>
      </c>
      <c r="H505" t="s">
        <v>1045</v>
      </c>
      <c r="I505" s="3">
        <v>2709</v>
      </c>
      <c r="J505" s="4">
        <v>0.2</v>
      </c>
      <c r="K505" s="3">
        <v>2167.1999999999998</v>
      </c>
      <c r="L505" s="3">
        <v>1447.74</v>
      </c>
      <c r="M505" s="5">
        <v>3</v>
      </c>
      <c r="N505" s="3">
        <v>171</v>
      </c>
      <c r="O505" s="6">
        <v>0.41</v>
      </c>
      <c r="P505" s="3">
        <v>6501.5999999999995</v>
      </c>
      <c r="Q505" s="3">
        <v>1618.74</v>
      </c>
      <c r="R505" s="3">
        <v>4856.22</v>
      </c>
      <c r="S505" s="3">
        <v>1645.3799999999992</v>
      </c>
      <c r="T505" s="4">
        <v>0.25307308970099701</v>
      </c>
      <c r="U505" s="4">
        <v>-0.15692691029900299</v>
      </c>
      <c r="V505" t="s">
        <v>1054</v>
      </c>
      <c r="W505" t="s">
        <v>1056</v>
      </c>
    </row>
    <row r="506" spans="1:23" x14ac:dyDescent="0.25">
      <c r="A506" t="s">
        <v>517</v>
      </c>
      <c r="B506" s="2">
        <v>45320</v>
      </c>
      <c r="C506" t="s">
        <v>550</v>
      </c>
      <c r="D506" t="s">
        <v>613</v>
      </c>
      <c r="E506" t="s">
        <v>537</v>
      </c>
      <c r="F506" t="s">
        <v>542</v>
      </c>
      <c r="G506" t="s">
        <v>545</v>
      </c>
      <c r="H506" t="s">
        <v>1044</v>
      </c>
      <c r="I506" s="3">
        <v>6290</v>
      </c>
      <c r="J506" s="4">
        <v>0.26</v>
      </c>
      <c r="K506" s="3">
        <v>4654.6000000000004</v>
      </c>
      <c r="L506" s="3">
        <v>3411.14</v>
      </c>
      <c r="M506" s="5">
        <v>2</v>
      </c>
      <c r="N506" s="3">
        <v>134</v>
      </c>
      <c r="O506" s="6">
        <v>0.28999999999999998</v>
      </c>
      <c r="P506" s="3">
        <v>9309.2000000000007</v>
      </c>
      <c r="Q506" s="3">
        <v>3545.14</v>
      </c>
      <c r="R506" s="3">
        <v>7090.28</v>
      </c>
      <c r="S506" s="3">
        <v>2218.920000000001</v>
      </c>
      <c r="T506" s="4">
        <v>0.238357753620075</v>
      </c>
      <c r="U506" s="4">
        <v>-5.1642246379924997E-2</v>
      </c>
      <c r="V506" t="s">
        <v>1054</v>
      </c>
      <c r="W506" t="s">
        <v>1056</v>
      </c>
    </row>
    <row r="507" spans="1:23" x14ac:dyDescent="0.25">
      <c r="A507" t="s">
        <v>518</v>
      </c>
      <c r="B507" s="2">
        <v>45432</v>
      </c>
      <c r="C507" t="s">
        <v>550</v>
      </c>
      <c r="D507" t="s">
        <v>1026</v>
      </c>
      <c r="E507" t="s">
        <v>535</v>
      </c>
      <c r="F507" t="s">
        <v>538</v>
      </c>
      <c r="G507" t="s">
        <v>546</v>
      </c>
      <c r="H507" t="s">
        <v>1042</v>
      </c>
      <c r="I507" s="3">
        <v>7917</v>
      </c>
      <c r="J507" s="4">
        <v>0.35</v>
      </c>
      <c r="K507" s="3">
        <v>5146.05</v>
      </c>
      <c r="L507" s="3">
        <v>4115.3999999999996</v>
      </c>
      <c r="M507" s="5">
        <v>2</v>
      </c>
      <c r="N507" s="3">
        <v>96</v>
      </c>
      <c r="O507" s="6">
        <v>0.31</v>
      </c>
      <c r="P507" s="3">
        <v>10292.1</v>
      </c>
      <c r="Q507" s="3">
        <v>4211.3999999999996</v>
      </c>
      <c r="R507" s="3">
        <v>8422.7999999999993</v>
      </c>
      <c r="S507" s="3">
        <v>1869.3000000000011</v>
      </c>
      <c r="T507" s="4">
        <v>0.18162474130643899</v>
      </c>
      <c r="U507" s="4">
        <v>-0.12837525869356101</v>
      </c>
      <c r="V507" t="s">
        <v>1054</v>
      </c>
      <c r="W507" t="s">
        <v>1056</v>
      </c>
    </row>
    <row r="508" spans="1:23" x14ac:dyDescent="0.25">
      <c r="A508" t="s">
        <v>519</v>
      </c>
      <c r="B508" s="2">
        <v>45303</v>
      </c>
      <c r="C508" t="s">
        <v>549</v>
      </c>
      <c r="D508" t="s">
        <v>1005</v>
      </c>
      <c r="E508" t="s">
        <v>535</v>
      </c>
      <c r="F508" t="s">
        <v>540</v>
      </c>
      <c r="G508" t="s">
        <v>545</v>
      </c>
      <c r="H508" t="s">
        <v>1045</v>
      </c>
      <c r="I508" s="3">
        <v>6306</v>
      </c>
      <c r="J508" s="4">
        <v>0.18</v>
      </c>
      <c r="K508" s="3">
        <v>5170.92</v>
      </c>
      <c r="L508" s="3">
        <v>4115.78</v>
      </c>
      <c r="M508" s="5">
        <v>1</v>
      </c>
      <c r="N508" s="3">
        <v>179</v>
      </c>
      <c r="O508" s="6">
        <v>0.43</v>
      </c>
      <c r="P508" s="3">
        <v>5170.92</v>
      </c>
      <c r="Q508" s="3">
        <v>4294.78</v>
      </c>
      <c r="R508" s="3">
        <v>4294.78</v>
      </c>
      <c r="S508" s="3">
        <v>876.14000000000033</v>
      </c>
      <c r="T508" s="4">
        <v>0.16943599978340401</v>
      </c>
      <c r="U508" s="4">
        <v>-0.26056400021659598</v>
      </c>
      <c r="V508" t="s">
        <v>1054</v>
      </c>
      <c r="W508" t="s">
        <v>1055</v>
      </c>
    </row>
    <row r="509" spans="1:23" x14ac:dyDescent="0.25">
      <c r="A509" t="s">
        <v>520</v>
      </c>
      <c r="B509" s="2">
        <v>45386</v>
      </c>
      <c r="C509" t="s">
        <v>550</v>
      </c>
      <c r="D509" t="s">
        <v>1027</v>
      </c>
      <c r="E509" t="s">
        <v>536</v>
      </c>
      <c r="F509" t="s">
        <v>544</v>
      </c>
      <c r="G509" t="s">
        <v>546</v>
      </c>
      <c r="H509" t="s">
        <v>1042</v>
      </c>
      <c r="I509" s="3">
        <v>1908</v>
      </c>
      <c r="J509" s="4">
        <v>0.28999999999999998</v>
      </c>
      <c r="K509" s="3">
        <v>1354.68</v>
      </c>
      <c r="L509" s="3">
        <v>1042.18</v>
      </c>
      <c r="M509" s="5">
        <v>2</v>
      </c>
      <c r="N509" s="3">
        <v>16</v>
      </c>
      <c r="O509" s="6">
        <v>0.32</v>
      </c>
      <c r="P509" s="3">
        <v>2709.36</v>
      </c>
      <c r="Q509" s="3">
        <v>1058.18</v>
      </c>
      <c r="R509" s="3">
        <v>2116.36</v>
      </c>
      <c r="S509" s="3">
        <v>593</v>
      </c>
      <c r="T509" s="4">
        <v>0.21887087725514501</v>
      </c>
      <c r="U509" s="4">
        <v>-0.101129122744855</v>
      </c>
      <c r="V509" t="s">
        <v>1054</v>
      </c>
      <c r="W509" t="s">
        <v>1056</v>
      </c>
    </row>
    <row r="510" spans="1:23" x14ac:dyDescent="0.25">
      <c r="A510" t="s">
        <v>521</v>
      </c>
      <c r="B510" s="2">
        <v>45337</v>
      </c>
      <c r="C510" t="s">
        <v>549</v>
      </c>
      <c r="D510" t="s">
        <v>1028</v>
      </c>
      <c r="E510" t="s">
        <v>537</v>
      </c>
      <c r="F510" t="s">
        <v>542</v>
      </c>
      <c r="G510" t="s">
        <v>545</v>
      </c>
      <c r="H510" t="s">
        <v>1045</v>
      </c>
      <c r="I510" s="3">
        <v>3014</v>
      </c>
      <c r="J510" s="4">
        <v>0.21</v>
      </c>
      <c r="K510" s="3">
        <v>2381.06</v>
      </c>
      <c r="L510" s="3">
        <v>2132.79</v>
      </c>
      <c r="M510" s="5">
        <v>2</v>
      </c>
      <c r="N510" s="3">
        <v>184</v>
      </c>
      <c r="O510" s="6">
        <v>0.32</v>
      </c>
      <c r="P510" s="3">
        <v>4762.12</v>
      </c>
      <c r="Q510" s="3">
        <v>2316.79</v>
      </c>
      <c r="R510" s="3">
        <v>4633.58</v>
      </c>
      <c r="S510" s="3">
        <v>128.53999999999996</v>
      </c>
      <c r="T510" s="4">
        <v>2.6992179953466099E-2</v>
      </c>
      <c r="U510" s="4">
        <v>-0.29300782004653397</v>
      </c>
      <c r="V510" t="s">
        <v>1054</v>
      </c>
      <c r="W510" t="s">
        <v>1056</v>
      </c>
    </row>
    <row r="511" spans="1:23" x14ac:dyDescent="0.25">
      <c r="A511" t="s">
        <v>522</v>
      </c>
      <c r="B511" s="2">
        <v>45421</v>
      </c>
      <c r="C511" t="s">
        <v>550</v>
      </c>
      <c r="D511" t="s">
        <v>1029</v>
      </c>
      <c r="E511" t="s">
        <v>537</v>
      </c>
      <c r="F511" t="s">
        <v>541</v>
      </c>
      <c r="G511" t="s">
        <v>545</v>
      </c>
      <c r="H511" t="s">
        <v>1043</v>
      </c>
      <c r="I511" s="3">
        <v>290</v>
      </c>
      <c r="J511" s="4">
        <v>0.09</v>
      </c>
      <c r="K511" s="3">
        <v>263.89999999999998</v>
      </c>
      <c r="L511" s="3">
        <v>177.27</v>
      </c>
      <c r="M511" s="5">
        <v>2</v>
      </c>
      <c r="N511" s="3">
        <v>92</v>
      </c>
      <c r="O511" s="6">
        <v>0.37</v>
      </c>
      <c r="P511" s="3">
        <v>527.79999999999995</v>
      </c>
      <c r="Q511" s="3">
        <v>269.27</v>
      </c>
      <c r="R511" s="3">
        <v>538.54</v>
      </c>
      <c r="S511" s="3">
        <v>-10.740000000000009</v>
      </c>
      <c r="T511" s="4">
        <v>-2.03486169003411E-2</v>
      </c>
      <c r="U511" s="4">
        <v>-0.39034861690034101</v>
      </c>
      <c r="V511" t="s">
        <v>1054</v>
      </c>
      <c r="W511" t="s">
        <v>1059</v>
      </c>
    </row>
    <row r="512" spans="1:23" x14ac:dyDescent="0.25">
      <c r="A512" t="s">
        <v>523</v>
      </c>
      <c r="B512" s="2">
        <v>45326</v>
      </c>
      <c r="C512" t="s">
        <v>550</v>
      </c>
      <c r="D512" t="s">
        <v>1030</v>
      </c>
      <c r="E512" t="s">
        <v>536</v>
      </c>
      <c r="F512" t="s">
        <v>544</v>
      </c>
      <c r="G512" t="s">
        <v>546</v>
      </c>
      <c r="H512" t="s">
        <v>1044</v>
      </c>
      <c r="I512" s="3">
        <v>3333</v>
      </c>
      <c r="J512" s="4">
        <v>0.28999999999999998</v>
      </c>
      <c r="K512" s="3">
        <v>2366.4299999999998</v>
      </c>
      <c r="L512" s="3">
        <v>2237.19</v>
      </c>
      <c r="M512" s="5">
        <v>2</v>
      </c>
      <c r="N512" s="3">
        <v>51</v>
      </c>
      <c r="O512" s="6">
        <v>0.42</v>
      </c>
      <c r="P512" s="3">
        <v>4732.8599999999997</v>
      </c>
      <c r="Q512" s="3">
        <v>2288.19</v>
      </c>
      <c r="R512" s="3">
        <v>4576.38</v>
      </c>
      <c r="S512" s="3">
        <v>156.47999999999956</v>
      </c>
      <c r="T512" s="4">
        <v>3.3062461175694897E-2</v>
      </c>
      <c r="U512" s="4">
        <v>-0.38693753882430498</v>
      </c>
      <c r="V512" t="s">
        <v>1054</v>
      </c>
      <c r="W512" t="s">
        <v>1056</v>
      </c>
    </row>
    <row r="513" spans="1:23" x14ac:dyDescent="0.25">
      <c r="A513" t="s">
        <v>524</v>
      </c>
      <c r="B513" s="2">
        <v>45372</v>
      </c>
      <c r="C513" t="s">
        <v>550</v>
      </c>
      <c r="D513" t="s">
        <v>1031</v>
      </c>
      <c r="E513" t="s">
        <v>537</v>
      </c>
      <c r="F513" t="s">
        <v>541</v>
      </c>
      <c r="G513" t="s">
        <v>546</v>
      </c>
      <c r="H513" t="s">
        <v>1043</v>
      </c>
      <c r="I513" s="3">
        <v>2568</v>
      </c>
      <c r="J513" s="4">
        <v>0.1</v>
      </c>
      <c r="K513" s="3">
        <v>2311.1999999999998</v>
      </c>
      <c r="L513" s="3">
        <v>1758.95</v>
      </c>
      <c r="M513" s="5">
        <v>3</v>
      </c>
      <c r="N513" s="3">
        <v>31</v>
      </c>
      <c r="O513" s="6">
        <v>0.39</v>
      </c>
      <c r="P513" s="3">
        <v>6933.5999999999995</v>
      </c>
      <c r="Q513" s="3">
        <v>1789.95</v>
      </c>
      <c r="R513" s="3">
        <v>5369.85</v>
      </c>
      <c r="S513" s="3">
        <v>1563.7499999999991</v>
      </c>
      <c r="T513" s="4">
        <v>0.22553219106957401</v>
      </c>
      <c r="U513" s="4">
        <v>-0.16446780893042601</v>
      </c>
      <c r="V513" t="s">
        <v>1054</v>
      </c>
      <c r="W513" t="s">
        <v>1055</v>
      </c>
    </row>
    <row r="514" spans="1:23" x14ac:dyDescent="0.25">
      <c r="A514" t="s">
        <v>525</v>
      </c>
      <c r="B514" s="2">
        <v>45381</v>
      </c>
      <c r="C514" t="s">
        <v>550</v>
      </c>
      <c r="D514" t="s">
        <v>1032</v>
      </c>
      <c r="E514" t="s">
        <v>537</v>
      </c>
      <c r="F514" t="s">
        <v>541</v>
      </c>
      <c r="G514" t="s">
        <v>546</v>
      </c>
      <c r="H514" t="s">
        <v>1042</v>
      </c>
      <c r="I514" s="3">
        <v>7046</v>
      </c>
      <c r="J514" s="4">
        <v>0.21</v>
      </c>
      <c r="K514" s="3">
        <v>5566.34</v>
      </c>
      <c r="L514" s="3">
        <v>3335.27</v>
      </c>
      <c r="M514" s="5">
        <v>1</v>
      </c>
      <c r="N514" s="3">
        <v>188</v>
      </c>
      <c r="O514" s="6">
        <v>0.32</v>
      </c>
      <c r="P514" s="3">
        <v>5566.34</v>
      </c>
      <c r="Q514" s="3">
        <v>3523.27</v>
      </c>
      <c r="R514" s="3">
        <v>3523.27</v>
      </c>
      <c r="S514" s="3">
        <v>2043.0700000000002</v>
      </c>
      <c r="T514" s="4">
        <v>0.36704010175447399</v>
      </c>
      <c r="U514" s="4">
        <v>4.7040101754473998E-2</v>
      </c>
      <c r="V514" t="s">
        <v>1058</v>
      </c>
      <c r="W514" t="s">
        <v>1056</v>
      </c>
    </row>
    <row r="515" spans="1:23" x14ac:dyDescent="0.25">
      <c r="A515" t="s">
        <v>526</v>
      </c>
      <c r="B515" s="2">
        <v>45299</v>
      </c>
      <c r="C515" t="s">
        <v>550</v>
      </c>
      <c r="D515" t="s">
        <v>1033</v>
      </c>
      <c r="E515" t="s">
        <v>536</v>
      </c>
      <c r="F515" t="s">
        <v>539</v>
      </c>
      <c r="G515" t="s">
        <v>546</v>
      </c>
      <c r="H515" t="s">
        <v>1042</v>
      </c>
      <c r="I515" s="3">
        <v>7181</v>
      </c>
      <c r="J515" s="4">
        <v>0.28000000000000003</v>
      </c>
      <c r="K515" s="3">
        <v>5170.32</v>
      </c>
      <c r="L515" s="3">
        <v>5245.28</v>
      </c>
      <c r="M515" s="5">
        <v>1</v>
      </c>
      <c r="N515" s="3">
        <v>180</v>
      </c>
      <c r="O515" s="6">
        <v>0.42</v>
      </c>
      <c r="P515" s="3">
        <v>5170.32</v>
      </c>
      <c r="Q515" s="3">
        <v>5425.28</v>
      </c>
      <c r="R515" s="3">
        <v>5425.28</v>
      </c>
      <c r="S515" s="3">
        <v>-254.96000000000004</v>
      </c>
      <c r="T515" s="4">
        <v>-4.9312228256665001E-2</v>
      </c>
      <c r="U515" s="4">
        <v>-0.46931222825666502</v>
      </c>
      <c r="V515" t="s">
        <v>1054</v>
      </c>
      <c r="W515" t="s">
        <v>1056</v>
      </c>
    </row>
    <row r="516" spans="1:23" x14ac:dyDescent="0.25">
      <c r="A516" t="s">
        <v>527</v>
      </c>
      <c r="B516" s="2">
        <v>45384</v>
      </c>
      <c r="C516" t="s">
        <v>547</v>
      </c>
      <c r="D516" t="s">
        <v>1034</v>
      </c>
      <c r="E516" t="s">
        <v>536</v>
      </c>
      <c r="F516" t="s">
        <v>544</v>
      </c>
      <c r="G516" t="s">
        <v>546</v>
      </c>
      <c r="H516" t="s">
        <v>1044</v>
      </c>
      <c r="I516" s="3">
        <v>7379</v>
      </c>
      <c r="J516" s="4">
        <v>0.16</v>
      </c>
      <c r="K516" s="3">
        <v>6198.36</v>
      </c>
      <c r="L516" s="3">
        <v>4191.24</v>
      </c>
      <c r="M516" s="5">
        <v>3</v>
      </c>
      <c r="N516" s="3">
        <v>87</v>
      </c>
      <c r="O516" s="6">
        <v>0.38</v>
      </c>
      <c r="P516" s="3">
        <v>18595.079999999998</v>
      </c>
      <c r="Q516" s="3">
        <v>4278.24</v>
      </c>
      <c r="R516" s="3">
        <v>12834.72</v>
      </c>
      <c r="S516" s="3">
        <v>5760.3599999999988</v>
      </c>
      <c r="T516" s="4">
        <v>0.30977871566027099</v>
      </c>
      <c r="U516" s="4">
        <v>-7.0221284339729004E-2</v>
      </c>
      <c r="V516" t="s">
        <v>1054</v>
      </c>
      <c r="W516" t="s">
        <v>1055</v>
      </c>
    </row>
    <row r="517" spans="1:23" x14ac:dyDescent="0.25">
      <c r="A517" t="s">
        <v>528</v>
      </c>
      <c r="B517" s="2">
        <v>45445</v>
      </c>
      <c r="C517" t="s">
        <v>547</v>
      </c>
      <c r="D517" t="s">
        <v>1035</v>
      </c>
      <c r="E517" t="s">
        <v>537</v>
      </c>
      <c r="F517" t="s">
        <v>543</v>
      </c>
      <c r="G517" t="s">
        <v>546</v>
      </c>
      <c r="H517" t="s">
        <v>1042</v>
      </c>
      <c r="I517" s="3">
        <v>1911</v>
      </c>
      <c r="J517" s="4">
        <v>0.25</v>
      </c>
      <c r="K517" s="3">
        <v>1433.25</v>
      </c>
      <c r="L517" s="3">
        <v>1095.69</v>
      </c>
      <c r="M517" s="5">
        <v>2</v>
      </c>
      <c r="N517" s="3">
        <v>138</v>
      </c>
      <c r="O517" s="6">
        <v>0.3</v>
      </c>
      <c r="P517" s="3">
        <v>2866.5</v>
      </c>
      <c r="Q517" s="3">
        <v>1233.69</v>
      </c>
      <c r="R517" s="3">
        <v>2467.38</v>
      </c>
      <c r="S517" s="3">
        <v>399.11999999999989</v>
      </c>
      <c r="T517" s="4">
        <v>0.13923600209314499</v>
      </c>
      <c r="U517" s="4">
        <v>-0.160763997906855</v>
      </c>
      <c r="V517" t="s">
        <v>1054</v>
      </c>
      <c r="W517" t="s">
        <v>1056</v>
      </c>
    </row>
    <row r="518" spans="1:23" x14ac:dyDescent="0.25">
      <c r="A518" t="s">
        <v>529</v>
      </c>
      <c r="B518" s="2">
        <v>45381</v>
      </c>
      <c r="C518" t="s">
        <v>550</v>
      </c>
      <c r="D518" t="s">
        <v>1036</v>
      </c>
      <c r="E518" t="s">
        <v>537</v>
      </c>
      <c r="F518" t="s">
        <v>541</v>
      </c>
      <c r="G518" t="s">
        <v>546</v>
      </c>
      <c r="H518" t="s">
        <v>1045</v>
      </c>
      <c r="I518" s="3">
        <v>5448</v>
      </c>
      <c r="J518" s="4">
        <v>0.34</v>
      </c>
      <c r="K518" s="3">
        <v>3595.68</v>
      </c>
      <c r="L518" s="3">
        <v>2794.66</v>
      </c>
      <c r="M518" s="5">
        <v>3</v>
      </c>
      <c r="N518" s="3">
        <v>88</v>
      </c>
      <c r="O518" s="6">
        <v>0.34</v>
      </c>
      <c r="P518" s="3">
        <v>10787.039999999999</v>
      </c>
      <c r="Q518" s="3">
        <v>2882.66</v>
      </c>
      <c r="R518" s="3">
        <v>8647.98</v>
      </c>
      <c r="S518" s="3">
        <v>2139.0599999999995</v>
      </c>
      <c r="T518" s="4">
        <v>0.19829906999510499</v>
      </c>
      <c r="U518" s="4">
        <v>-0.141700930004895</v>
      </c>
      <c r="V518" t="s">
        <v>1054</v>
      </c>
      <c r="W518" t="s">
        <v>1056</v>
      </c>
    </row>
    <row r="519" spans="1:23" x14ac:dyDescent="0.25">
      <c r="A519" t="s">
        <v>530</v>
      </c>
      <c r="B519" s="2">
        <v>45453</v>
      </c>
      <c r="C519" t="s">
        <v>549</v>
      </c>
      <c r="D519" t="s">
        <v>1037</v>
      </c>
      <c r="E519" t="s">
        <v>535</v>
      </c>
      <c r="F519" t="s">
        <v>540</v>
      </c>
      <c r="G519" t="s">
        <v>546</v>
      </c>
      <c r="H519" t="s">
        <v>1045</v>
      </c>
      <c r="I519" s="3">
        <v>7347</v>
      </c>
      <c r="J519" s="4">
        <v>0.28000000000000003</v>
      </c>
      <c r="K519" s="3">
        <v>5289.84</v>
      </c>
      <c r="L519" s="3">
        <v>3545.7</v>
      </c>
      <c r="M519" s="5">
        <v>2</v>
      </c>
      <c r="N519" s="3">
        <v>96</v>
      </c>
      <c r="O519" s="6">
        <v>0.34</v>
      </c>
      <c r="P519" s="3">
        <v>10579.68</v>
      </c>
      <c r="Q519" s="3">
        <v>3641.7</v>
      </c>
      <c r="R519" s="3">
        <v>7283.4</v>
      </c>
      <c r="S519" s="3">
        <v>3296.2800000000007</v>
      </c>
      <c r="T519" s="4">
        <v>0.31156707953359603</v>
      </c>
      <c r="U519" s="4">
        <v>-2.8432920466403999E-2</v>
      </c>
      <c r="V519" t="s">
        <v>1054</v>
      </c>
      <c r="W519" t="s">
        <v>1056</v>
      </c>
    </row>
    <row r="520" spans="1:23" x14ac:dyDescent="0.25">
      <c r="A520" t="s">
        <v>531</v>
      </c>
      <c r="B520" s="2">
        <v>45406</v>
      </c>
      <c r="C520" t="s">
        <v>548</v>
      </c>
      <c r="D520" t="s">
        <v>1038</v>
      </c>
      <c r="E520" t="s">
        <v>535</v>
      </c>
      <c r="F520" t="s">
        <v>538</v>
      </c>
      <c r="G520" t="s">
        <v>545</v>
      </c>
      <c r="H520" t="s">
        <v>1044</v>
      </c>
      <c r="I520" s="3">
        <v>2510</v>
      </c>
      <c r="J520" s="4">
        <v>0.09</v>
      </c>
      <c r="K520" s="3">
        <v>2284.1</v>
      </c>
      <c r="L520" s="3">
        <v>1835.86</v>
      </c>
      <c r="M520" s="5">
        <v>3</v>
      </c>
      <c r="N520" s="3">
        <v>160</v>
      </c>
      <c r="O520" s="6">
        <v>0.43</v>
      </c>
      <c r="P520" s="3">
        <v>6852.2999999999993</v>
      </c>
      <c r="Q520" s="3">
        <v>1995.86</v>
      </c>
      <c r="R520" s="3">
        <v>5987.58</v>
      </c>
      <c r="S520" s="3">
        <v>864.71999999999935</v>
      </c>
      <c r="T520" s="4">
        <v>0.126194124600499</v>
      </c>
      <c r="U520" s="4">
        <v>-0.30380587539950099</v>
      </c>
      <c r="V520" t="s">
        <v>1054</v>
      </c>
      <c r="W520" t="s">
        <v>1059</v>
      </c>
    </row>
    <row r="521" spans="1:23" x14ac:dyDescent="0.25">
      <c r="A521" t="s">
        <v>532</v>
      </c>
      <c r="B521" s="2">
        <v>45396</v>
      </c>
      <c r="C521" t="s">
        <v>548</v>
      </c>
      <c r="D521" t="s">
        <v>1039</v>
      </c>
      <c r="E521" t="s">
        <v>536</v>
      </c>
      <c r="F521" t="s">
        <v>544</v>
      </c>
      <c r="G521" t="s">
        <v>546</v>
      </c>
      <c r="H521" t="s">
        <v>1045</v>
      </c>
      <c r="I521" s="3">
        <v>3694</v>
      </c>
      <c r="J521" s="4">
        <v>0.14000000000000001</v>
      </c>
      <c r="K521" s="3">
        <v>3176.84</v>
      </c>
      <c r="L521" s="3">
        <v>2366.7199999999998</v>
      </c>
      <c r="M521" s="5">
        <v>2</v>
      </c>
      <c r="N521" s="3">
        <v>112</v>
      </c>
      <c r="O521" s="6">
        <v>0.31</v>
      </c>
      <c r="P521" s="3">
        <v>6353.68</v>
      </c>
      <c r="Q521" s="3">
        <v>2478.7199999999998</v>
      </c>
      <c r="R521" s="3">
        <v>4957.4399999999996</v>
      </c>
      <c r="S521" s="3">
        <v>1396.2400000000007</v>
      </c>
      <c r="T521" s="4">
        <v>0.21975296206293099</v>
      </c>
      <c r="U521" s="4">
        <v>-9.0247037937068994E-2</v>
      </c>
      <c r="V521" t="s">
        <v>1054</v>
      </c>
      <c r="W521" t="s">
        <v>1055</v>
      </c>
    </row>
    <row r="522" spans="1:23" x14ac:dyDescent="0.25">
      <c r="A522" t="s">
        <v>533</v>
      </c>
      <c r="B522" s="2">
        <v>45426</v>
      </c>
      <c r="C522" t="s">
        <v>550</v>
      </c>
      <c r="D522" t="s">
        <v>1040</v>
      </c>
      <c r="E522" t="s">
        <v>537</v>
      </c>
      <c r="F522" t="s">
        <v>542</v>
      </c>
      <c r="G522" t="s">
        <v>546</v>
      </c>
      <c r="H522" t="s">
        <v>1045</v>
      </c>
      <c r="I522" s="3">
        <v>2171</v>
      </c>
      <c r="J522" s="4">
        <v>0.34</v>
      </c>
      <c r="K522" s="3">
        <v>1432.86</v>
      </c>
      <c r="L522" s="3">
        <v>1405.35</v>
      </c>
      <c r="M522" s="5">
        <v>1</v>
      </c>
      <c r="N522" s="3">
        <v>60</v>
      </c>
      <c r="O522" s="6">
        <v>0.37</v>
      </c>
      <c r="P522" s="3">
        <v>1432.86</v>
      </c>
      <c r="Q522" s="3">
        <v>1465.35</v>
      </c>
      <c r="R522" s="3">
        <v>1465.35</v>
      </c>
      <c r="S522" s="3">
        <v>-32.490000000000009</v>
      </c>
      <c r="T522" s="4">
        <v>-2.26749298605586E-2</v>
      </c>
      <c r="U522" s="4">
        <v>-0.39267492986055902</v>
      </c>
      <c r="V522" t="s">
        <v>1054</v>
      </c>
      <c r="W522" t="s">
        <v>1056</v>
      </c>
    </row>
    <row r="523" spans="1:23" x14ac:dyDescent="0.25">
      <c r="A523" t="s">
        <v>534</v>
      </c>
      <c r="B523" s="2">
        <v>45349</v>
      </c>
      <c r="C523" t="s">
        <v>547</v>
      </c>
      <c r="D523" t="s">
        <v>1041</v>
      </c>
      <c r="E523" t="s">
        <v>536</v>
      </c>
      <c r="F523" t="s">
        <v>544</v>
      </c>
      <c r="G523" t="s">
        <v>546</v>
      </c>
      <c r="H523" t="s">
        <v>1044</v>
      </c>
      <c r="I523" s="3">
        <v>4643</v>
      </c>
      <c r="J523" s="4">
        <v>0.19</v>
      </c>
      <c r="K523" s="3">
        <v>3760.83</v>
      </c>
      <c r="L523" s="3">
        <v>2616.1799999999998</v>
      </c>
      <c r="M523" s="5">
        <v>3</v>
      </c>
      <c r="N523" s="3">
        <v>123</v>
      </c>
      <c r="O523" s="6">
        <v>0.35</v>
      </c>
      <c r="P523" s="3">
        <v>11282.49</v>
      </c>
      <c r="Q523" s="3">
        <v>2739.18</v>
      </c>
      <c r="R523" s="3">
        <v>8217.5399999999991</v>
      </c>
      <c r="S523" s="3">
        <v>3064.9500000000007</v>
      </c>
      <c r="T523" s="4">
        <v>0.27165545903430899</v>
      </c>
      <c r="U523" s="4">
        <v>-7.8344540965691004E-2</v>
      </c>
      <c r="V523" t="s">
        <v>1054</v>
      </c>
      <c r="W523" t="s">
        <v>1055</v>
      </c>
    </row>
  </sheetData>
  <mergeCells count="2">
    <mergeCell ref="A1:O2"/>
    <mergeCell ref="P1:W2"/>
  </mergeCell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F8A4F-133A-4ECB-8F53-E5858D46B73D}">
  <sheetPr codeName="Sheet3"/>
  <dimension ref="A1:M1061"/>
  <sheetViews>
    <sheetView workbookViewId="0">
      <selection activeCell="D4" sqref="D4"/>
    </sheetView>
  </sheetViews>
  <sheetFormatPr defaultRowHeight="15" x14ac:dyDescent="0.25"/>
  <cols>
    <col min="2" max="2" width="13.140625" bestFit="1" customWidth="1"/>
    <col min="3" max="3" width="15.5703125" bestFit="1" customWidth="1"/>
    <col min="4" max="4" width="13.140625" bestFit="1" customWidth="1"/>
    <col min="5" max="5" width="11.85546875" bestFit="1" customWidth="1"/>
    <col min="6" max="6" width="16.140625" bestFit="1" customWidth="1"/>
    <col min="8" max="8" width="13.140625" bestFit="1" customWidth="1"/>
    <col min="9" max="9" width="17.28515625" bestFit="1" customWidth="1"/>
    <col min="10" max="10" width="15.5703125" bestFit="1" customWidth="1"/>
  </cols>
  <sheetData>
    <row r="1" spans="1:13" ht="15" customHeight="1" x14ac:dyDescent="0.25">
      <c r="B1" s="16" t="s">
        <v>1072</v>
      </c>
      <c r="C1" s="16"/>
      <c r="D1" s="16"/>
      <c r="E1" s="16"/>
      <c r="F1" s="16" t="s">
        <v>1073</v>
      </c>
      <c r="G1" s="16"/>
      <c r="H1" s="16"/>
      <c r="I1" s="16"/>
      <c r="J1" s="16"/>
      <c r="K1" s="16"/>
      <c r="L1" s="16"/>
      <c r="M1" s="16"/>
    </row>
    <row r="2" spans="1:13" ht="15" customHeight="1" x14ac:dyDescent="0.25">
      <c r="B2" s="16"/>
      <c r="C2" s="16"/>
      <c r="D2" s="16"/>
      <c r="E2" s="16"/>
      <c r="F2" s="16"/>
      <c r="G2" s="16"/>
      <c r="H2" s="16"/>
      <c r="I2" s="16"/>
      <c r="J2" s="16"/>
      <c r="K2" s="16"/>
      <c r="L2" s="16"/>
      <c r="M2" s="16"/>
    </row>
    <row r="3" spans="1:13" x14ac:dyDescent="0.25">
      <c r="B3" t="s">
        <v>1067</v>
      </c>
      <c r="C3" t="s">
        <v>1068</v>
      </c>
      <c r="D3" t="s">
        <v>1069</v>
      </c>
      <c r="E3" t="s">
        <v>1070</v>
      </c>
      <c r="H3" s="8" t="s">
        <v>1063</v>
      </c>
      <c r="I3" t="s">
        <v>1066</v>
      </c>
      <c r="J3" t="s">
        <v>1062</v>
      </c>
    </row>
    <row r="4" spans="1:13" x14ac:dyDescent="0.25">
      <c r="B4" s="3">
        <v>3488979.86</v>
      </c>
      <c r="C4" s="3">
        <v>773265.87999999977</v>
      </c>
      <c r="D4" s="4">
        <v>0.14927082216322737</v>
      </c>
      <c r="E4">
        <v>520</v>
      </c>
      <c r="H4" s="9" t="s">
        <v>1056</v>
      </c>
      <c r="I4" s="4">
        <v>7.9235058518490872E-2</v>
      </c>
      <c r="J4" s="3">
        <v>1761644.6599999995</v>
      </c>
    </row>
    <row r="5" spans="1:13" x14ac:dyDescent="0.25">
      <c r="H5" s="9" t="s">
        <v>1059</v>
      </c>
      <c r="I5" s="4">
        <v>0.30766259943074997</v>
      </c>
      <c r="J5" s="3">
        <v>608900.00000000012</v>
      </c>
    </row>
    <row r="6" spans="1:13" x14ac:dyDescent="0.25">
      <c r="H6" s="9" t="s">
        <v>1055</v>
      </c>
      <c r="I6" s="4">
        <v>0.19993811265322922</v>
      </c>
      <c r="J6" s="3">
        <v>1118435.2</v>
      </c>
    </row>
    <row r="7" spans="1:13" ht="15" customHeight="1" x14ac:dyDescent="0.25">
      <c r="A7" s="16" t="s">
        <v>1075</v>
      </c>
      <c r="B7" s="16"/>
      <c r="C7" s="16"/>
      <c r="D7" s="16"/>
      <c r="E7" s="16"/>
      <c r="H7" s="9" t="s">
        <v>1064</v>
      </c>
      <c r="I7" s="4">
        <v>0.14927082216322765</v>
      </c>
      <c r="J7" s="3">
        <v>3488979.8600000013</v>
      </c>
    </row>
    <row r="8" spans="1:13" ht="15" customHeight="1" x14ac:dyDescent="0.25">
      <c r="A8" s="16"/>
      <c r="B8" s="16"/>
      <c r="C8" s="16"/>
      <c r="D8" s="16"/>
      <c r="E8" s="16"/>
    </row>
    <row r="9" spans="1:13" x14ac:dyDescent="0.25">
      <c r="B9" s="8" t="s">
        <v>1063</v>
      </c>
      <c r="C9" t="s">
        <v>1062</v>
      </c>
    </row>
    <row r="10" spans="1:13" ht="15" customHeight="1" x14ac:dyDescent="0.25">
      <c r="B10" s="9" t="s">
        <v>548</v>
      </c>
      <c r="C10" s="3">
        <v>1009401.8000000007</v>
      </c>
      <c r="G10" s="16" t="s">
        <v>1074</v>
      </c>
      <c r="H10" s="16"/>
      <c r="I10" s="16"/>
      <c r="J10" s="16"/>
      <c r="K10" s="16"/>
      <c r="L10" s="16"/>
    </row>
    <row r="11" spans="1:13" ht="15" customHeight="1" x14ac:dyDescent="0.25">
      <c r="B11" s="9" t="s">
        <v>550</v>
      </c>
      <c r="C11" s="3">
        <v>964595.0199999999</v>
      </c>
      <c r="G11" s="16"/>
      <c r="H11" s="16"/>
      <c r="I11" s="16"/>
      <c r="J11" s="16"/>
      <c r="K11" s="16"/>
      <c r="L11" s="16"/>
    </row>
    <row r="12" spans="1:13" x14ac:dyDescent="0.25">
      <c r="B12" s="9" t="s">
        <v>547</v>
      </c>
      <c r="C12" s="3">
        <v>758892.62999999989</v>
      </c>
      <c r="H12" s="8" t="s">
        <v>1063</v>
      </c>
      <c r="I12" t="s">
        <v>1065</v>
      </c>
    </row>
    <row r="13" spans="1:13" x14ac:dyDescent="0.25">
      <c r="B13" s="9" t="s">
        <v>549</v>
      </c>
      <c r="C13" s="3">
        <v>756090.4099999998</v>
      </c>
      <c r="H13" s="9" t="s">
        <v>1058</v>
      </c>
      <c r="I13">
        <v>62</v>
      </c>
    </row>
    <row r="14" spans="1:13" x14ac:dyDescent="0.25">
      <c r="B14" s="9" t="s">
        <v>1064</v>
      </c>
      <c r="C14" s="3">
        <v>3488979.8600000003</v>
      </c>
      <c r="H14" s="9" t="s">
        <v>1057</v>
      </c>
      <c r="I14">
        <v>32</v>
      </c>
    </row>
    <row r="15" spans="1:13" x14ac:dyDescent="0.25">
      <c r="B15" s="16" t="s">
        <v>1076</v>
      </c>
      <c r="C15" s="16"/>
      <c r="D15" s="16"/>
      <c r="H15" s="9" t="s">
        <v>1054</v>
      </c>
      <c r="I15">
        <v>426</v>
      </c>
    </row>
    <row r="16" spans="1:13" x14ac:dyDescent="0.25">
      <c r="B16" s="16"/>
      <c r="C16" s="16"/>
      <c r="D16" s="16"/>
      <c r="H16" s="9" t="s">
        <v>1064</v>
      </c>
      <c r="I16">
        <v>520</v>
      </c>
    </row>
    <row r="17" spans="2:6" x14ac:dyDescent="0.25">
      <c r="B17" s="8" t="s">
        <v>5</v>
      </c>
      <c r="C17" t="s">
        <v>1071</v>
      </c>
    </row>
    <row r="18" spans="2:6" x14ac:dyDescent="0.25">
      <c r="B18" s="8" t="s">
        <v>1052</v>
      </c>
      <c r="C18" t="s">
        <v>1071</v>
      </c>
    </row>
    <row r="20" spans="2:6" x14ac:dyDescent="0.25">
      <c r="B20" s="8" t="s">
        <v>1063</v>
      </c>
      <c r="C20" t="s">
        <v>1062</v>
      </c>
      <c r="D20" t="s">
        <v>1079</v>
      </c>
      <c r="E20" t="s">
        <v>1080</v>
      </c>
      <c r="F20" t="s">
        <v>1081</v>
      </c>
    </row>
    <row r="21" spans="2:6" x14ac:dyDescent="0.25">
      <c r="B21" s="9" t="s">
        <v>15</v>
      </c>
      <c r="C21" s="3">
        <v>12524.68</v>
      </c>
      <c r="D21" s="3">
        <v>173</v>
      </c>
      <c r="E21" s="3">
        <v>6262.34</v>
      </c>
      <c r="F21" s="3">
        <v>7637</v>
      </c>
    </row>
    <row r="22" spans="2:6" x14ac:dyDescent="0.25">
      <c r="B22" s="11" t="s">
        <v>1055</v>
      </c>
      <c r="C22" s="3">
        <v>12524.68</v>
      </c>
      <c r="D22" s="3">
        <v>173</v>
      </c>
      <c r="E22" s="3">
        <v>6262.34</v>
      </c>
      <c r="F22" s="3">
        <v>7637</v>
      </c>
    </row>
    <row r="23" spans="2:6" x14ac:dyDescent="0.25">
      <c r="B23" s="9" t="s">
        <v>16</v>
      </c>
      <c r="C23" s="3">
        <v>3710.88</v>
      </c>
      <c r="D23" s="3">
        <v>199</v>
      </c>
      <c r="E23" s="3">
        <v>3710.88</v>
      </c>
      <c r="F23" s="3">
        <v>5154</v>
      </c>
    </row>
    <row r="24" spans="2:6" x14ac:dyDescent="0.25">
      <c r="B24" s="11" t="s">
        <v>1056</v>
      </c>
      <c r="C24" s="3">
        <v>3710.88</v>
      </c>
      <c r="D24" s="3">
        <v>199</v>
      </c>
      <c r="E24" s="3">
        <v>3710.88</v>
      </c>
      <c r="F24" s="3">
        <v>5154</v>
      </c>
    </row>
    <row r="25" spans="2:6" x14ac:dyDescent="0.25">
      <c r="B25" s="9" t="s">
        <v>17</v>
      </c>
      <c r="C25" s="3">
        <v>4299.18</v>
      </c>
      <c r="D25" s="3">
        <v>95</v>
      </c>
      <c r="E25" s="3">
        <v>4299.18</v>
      </c>
      <c r="F25" s="3">
        <v>5442</v>
      </c>
    </row>
    <row r="26" spans="2:6" x14ac:dyDescent="0.25">
      <c r="B26" s="11" t="s">
        <v>1056</v>
      </c>
      <c r="C26" s="3">
        <v>4299.18</v>
      </c>
      <c r="D26" s="3">
        <v>95</v>
      </c>
      <c r="E26" s="3">
        <v>4299.18</v>
      </c>
      <c r="F26" s="3">
        <v>5442</v>
      </c>
    </row>
    <row r="27" spans="2:6" x14ac:dyDescent="0.25">
      <c r="B27" s="9" t="s">
        <v>18</v>
      </c>
      <c r="C27" s="3">
        <v>2467.08</v>
      </c>
      <c r="D27" s="3">
        <v>92</v>
      </c>
      <c r="E27" s="3">
        <v>1233.54</v>
      </c>
      <c r="F27" s="3">
        <v>1869</v>
      </c>
    </row>
    <row r="28" spans="2:6" x14ac:dyDescent="0.25">
      <c r="B28" s="11" t="s">
        <v>1056</v>
      </c>
      <c r="C28" s="3">
        <v>2467.08</v>
      </c>
      <c r="D28" s="3">
        <v>92</v>
      </c>
      <c r="E28" s="3">
        <v>1233.54</v>
      </c>
      <c r="F28" s="3">
        <v>1869</v>
      </c>
    </row>
    <row r="29" spans="2:6" x14ac:dyDescent="0.25">
      <c r="B29" s="9" t="s">
        <v>19</v>
      </c>
      <c r="C29" s="3">
        <v>12178.08</v>
      </c>
      <c r="D29" s="3">
        <v>66</v>
      </c>
      <c r="E29" s="3">
        <v>4059.36</v>
      </c>
      <c r="F29" s="3">
        <v>5638</v>
      </c>
    </row>
    <row r="30" spans="2:6" x14ac:dyDescent="0.25">
      <c r="B30" s="11" t="s">
        <v>1056</v>
      </c>
      <c r="C30" s="3">
        <v>12178.08</v>
      </c>
      <c r="D30" s="3">
        <v>66</v>
      </c>
      <c r="E30" s="3">
        <v>4059.36</v>
      </c>
      <c r="F30" s="3">
        <v>5638</v>
      </c>
    </row>
    <row r="31" spans="2:6" x14ac:dyDescent="0.25">
      <c r="B31" s="9" t="s">
        <v>20</v>
      </c>
      <c r="C31" s="3">
        <v>15055.199999999999</v>
      </c>
      <c r="D31" s="3">
        <v>155</v>
      </c>
      <c r="E31" s="3">
        <v>5018.3999999999996</v>
      </c>
      <c r="F31" s="3">
        <v>7380</v>
      </c>
    </row>
    <row r="32" spans="2:6" x14ac:dyDescent="0.25">
      <c r="B32" s="11" t="s">
        <v>1056</v>
      </c>
      <c r="C32" s="3">
        <v>15055.199999999999</v>
      </c>
      <c r="D32" s="3">
        <v>155</v>
      </c>
      <c r="E32" s="3">
        <v>5018.3999999999996</v>
      </c>
      <c r="F32" s="3">
        <v>7380</v>
      </c>
    </row>
    <row r="33" spans="2:6" x14ac:dyDescent="0.25">
      <c r="B33" s="9" t="s">
        <v>21</v>
      </c>
      <c r="C33" s="3">
        <v>10246.719999999999</v>
      </c>
      <c r="D33" s="3">
        <v>36</v>
      </c>
      <c r="E33" s="3">
        <v>5123.3599999999997</v>
      </c>
      <c r="F33" s="3">
        <v>5822</v>
      </c>
    </row>
    <row r="34" spans="2:6" x14ac:dyDescent="0.25">
      <c r="B34" s="11" t="s">
        <v>1055</v>
      </c>
      <c r="C34" s="3">
        <v>10246.719999999999</v>
      </c>
      <c r="D34" s="3">
        <v>36</v>
      </c>
      <c r="E34" s="3">
        <v>5123.3599999999997</v>
      </c>
      <c r="F34" s="3">
        <v>5822</v>
      </c>
    </row>
    <row r="35" spans="2:6" x14ac:dyDescent="0.25">
      <c r="B35" s="9" t="s">
        <v>22</v>
      </c>
      <c r="C35" s="3">
        <v>1315.14</v>
      </c>
      <c r="D35" s="3">
        <v>80</v>
      </c>
      <c r="E35" s="3">
        <v>1315.14</v>
      </c>
      <c r="F35" s="3">
        <v>1906</v>
      </c>
    </row>
    <row r="36" spans="2:6" x14ac:dyDescent="0.25">
      <c r="B36" s="11" t="s">
        <v>1056</v>
      </c>
      <c r="C36" s="3">
        <v>1315.14</v>
      </c>
      <c r="D36" s="3">
        <v>80</v>
      </c>
      <c r="E36" s="3">
        <v>1315.14</v>
      </c>
      <c r="F36" s="3">
        <v>1906</v>
      </c>
    </row>
    <row r="37" spans="2:6" x14ac:dyDescent="0.25">
      <c r="B37" s="9" t="s">
        <v>23</v>
      </c>
      <c r="C37" s="3">
        <v>3712.96</v>
      </c>
      <c r="D37" s="3">
        <v>48</v>
      </c>
      <c r="E37" s="3">
        <v>1856.48</v>
      </c>
      <c r="F37" s="3">
        <v>2264</v>
      </c>
    </row>
    <row r="38" spans="2:6" x14ac:dyDescent="0.25">
      <c r="B38" s="11" t="s">
        <v>1055</v>
      </c>
      <c r="C38" s="3">
        <v>3712.96</v>
      </c>
      <c r="D38" s="3">
        <v>48</v>
      </c>
      <c r="E38" s="3">
        <v>1856.48</v>
      </c>
      <c r="F38" s="3">
        <v>2264</v>
      </c>
    </row>
    <row r="39" spans="2:6" x14ac:dyDescent="0.25">
      <c r="B39" s="9" t="s">
        <v>24</v>
      </c>
      <c r="C39" s="3">
        <v>3481.8</v>
      </c>
      <c r="D39" s="3">
        <v>140</v>
      </c>
      <c r="E39" s="3">
        <v>3481.8</v>
      </c>
      <c r="F39" s="3">
        <v>4974</v>
      </c>
    </row>
    <row r="40" spans="2:6" x14ac:dyDescent="0.25">
      <c r="B40" s="11" t="s">
        <v>1056</v>
      </c>
      <c r="C40" s="3">
        <v>3481.8</v>
      </c>
      <c r="D40" s="3">
        <v>140</v>
      </c>
      <c r="E40" s="3">
        <v>3481.8</v>
      </c>
      <c r="F40" s="3">
        <v>4974</v>
      </c>
    </row>
    <row r="41" spans="2:6" x14ac:dyDescent="0.25">
      <c r="B41" s="9" t="s">
        <v>25</v>
      </c>
      <c r="C41" s="3">
        <v>4164.78</v>
      </c>
      <c r="D41" s="3">
        <v>182</v>
      </c>
      <c r="E41" s="3">
        <v>4164.78</v>
      </c>
      <c r="F41" s="3">
        <v>5079</v>
      </c>
    </row>
    <row r="42" spans="2:6" x14ac:dyDescent="0.25">
      <c r="B42" s="11" t="s">
        <v>1055</v>
      </c>
      <c r="C42" s="3">
        <v>4164.78</v>
      </c>
      <c r="D42" s="3">
        <v>182</v>
      </c>
      <c r="E42" s="3">
        <v>4164.78</v>
      </c>
      <c r="F42" s="3">
        <v>5079</v>
      </c>
    </row>
    <row r="43" spans="2:6" x14ac:dyDescent="0.25">
      <c r="B43" s="9" t="s">
        <v>26</v>
      </c>
      <c r="C43" s="3">
        <v>962</v>
      </c>
      <c r="D43" s="3">
        <v>56</v>
      </c>
      <c r="E43" s="3">
        <v>962</v>
      </c>
      <c r="F43" s="3">
        <v>1300</v>
      </c>
    </row>
    <row r="44" spans="2:6" x14ac:dyDescent="0.25">
      <c r="B44" s="11" t="s">
        <v>1056</v>
      </c>
      <c r="C44" s="3">
        <v>962</v>
      </c>
      <c r="D44" s="3">
        <v>56</v>
      </c>
      <c r="E44" s="3">
        <v>962</v>
      </c>
      <c r="F44" s="3">
        <v>1300</v>
      </c>
    </row>
    <row r="45" spans="2:6" x14ac:dyDescent="0.25">
      <c r="B45" s="9" t="s">
        <v>27</v>
      </c>
      <c r="C45" s="3">
        <v>4019.38</v>
      </c>
      <c r="D45" s="3">
        <v>83</v>
      </c>
      <c r="E45" s="3">
        <v>2009.69</v>
      </c>
      <c r="F45" s="3">
        <v>2753</v>
      </c>
    </row>
    <row r="46" spans="2:6" x14ac:dyDescent="0.25">
      <c r="B46" s="11" t="s">
        <v>1056</v>
      </c>
      <c r="C46" s="3">
        <v>4019.38</v>
      </c>
      <c r="D46" s="3">
        <v>83</v>
      </c>
      <c r="E46" s="3">
        <v>2009.69</v>
      </c>
      <c r="F46" s="3">
        <v>2753</v>
      </c>
    </row>
    <row r="47" spans="2:6" x14ac:dyDescent="0.25">
      <c r="B47" s="9" t="s">
        <v>28</v>
      </c>
      <c r="C47" s="3">
        <v>3165.96</v>
      </c>
      <c r="D47" s="3">
        <v>110</v>
      </c>
      <c r="E47" s="3">
        <v>3165.96</v>
      </c>
      <c r="F47" s="3">
        <v>3769</v>
      </c>
    </row>
    <row r="48" spans="2:6" x14ac:dyDescent="0.25">
      <c r="B48" s="11" t="s">
        <v>1055</v>
      </c>
      <c r="C48" s="3">
        <v>3165.96</v>
      </c>
      <c r="D48" s="3">
        <v>110</v>
      </c>
      <c r="E48" s="3">
        <v>3165.96</v>
      </c>
      <c r="F48" s="3">
        <v>3769</v>
      </c>
    </row>
    <row r="49" spans="2:6" x14ac:dyDescent="0.25">
      <c r="B49" s="9" t="s">
        <v>29</v>
      </c>
      <c r="C49" s="3">
        <v>5678.76</v>
      </c>
      <c r="D49" s="3">
        <v>55</v>
      </c>
      <c r="E49" s="3">
        <v>1892.92</v>
      </c>
      <c r="F49" s="3">
        <v>2558</v>
      </c>
    </row>
    <row r="50" spans="2:6" x14ac:dyDescent="0.25">
      <c r="B50" s="11" t="s">
        <v>1056</v>
      </c>
      <c r="C50" s="3">
        <v>5678.76</v>
      </c>
      <c r="D50" s="3">
        <v>55</v>
      </c>
      <c r="E50" s="3">
        <v>1892.92</v>
      </c>
      <c r="F50" s="3">
        <v>2558</v>
      </c>
    </row>
    <row r="51" spans="2:6" x14ac:dyDescent="0.25">
      <c r="B51" s="9" t="s">
        <v>30</v>
      </c>
      <c r="C51" s="3">
        <v>39.53</v>
      </c>
      <c r="D51" s="3">
        <v>118</v>
      </c>
      <c r="E51" s="3">
        <v>39.53</v>
      </c>
      <c r="F51" s="3">
        <v>59</v>
      </c>
    </row>
    <row r="52" spans="2:6" x14ac:dyDescent="0.25">
      <c r="B52" s="11" t="s">
        <v>1056</v>
      </c>
      <c r="C52" s="3">
        <v>39.53</v>
      </c>
      <c r="D52" s="3">
        <v>118</v>
      </c>
      <c r="E52" s="3">
        <v>39.53</v>
      </c>
      <c r="F52" s="3">
        <v>59</v>
      </c>
    </row>
    <row r="53" spans="2:6" x14ac:dyDescent="0.25">
      <c r="B53" s="9" t="s">
        <v>31</v>
      </c>
      <c r="C53" s="3">
        <v>13739.880000000001</v>
      </c>
      <c r="D53" s="3">
        <v>95</v>
      </c>
      <c r="E53" s="3">
        <v>4579.96</v>
      </c>
      <c r="F53" s="3">
        <v>5948</v>
      </c>
    </row>
    <row r="54" spans="2:6" x14ac:dyDescent="0.25">
      <c r="B54" s="11" t="s">
        <v>1056</v>
      </c>
      <c r="C54" s="3">
        <v>13739.880000000001</v>
      </c>
      <c r="D54" s="3">
        <v>95</v>
      </c>
      <c r="E54" s="3">
        <v>4579.96</v>
      </c>
      <c r="F54" s="3">
        <v>5948</v>
      </c>
    </row>
    <row r="55" spans="2:6" x14ac:dyDescent="0.25">
      <c r="B55" s="9" t="s">
        <v>32</v>
      </c>
      <c r="C55" s="3">
        <v>422.22</v>
      </c>
      <c r="D55" s="3">
        <v>104</v>
      </c>
      <c r="E55" s="3">
        <v>422.22</v>
      </c>
      <c r="F55" s="3">
        <v>454</v>
      </c>
    </row>
    <row r="56" spans="2:6" x14ac:dyDescent="0.25">
      <c r="B56" s="11" t="s">
        <v>1059</v>
      </c>
      <c r="C56" s="3">
        <v>422.22</v>
      </c>
      <c r="D56" s="3">
        <v>104</v>
      </c>
      <c r="E56" s="3">
        <v>422.22</v>
      </c>
      <c r="F56" s="3">
        <v>454</v>
      </c>
    </row>
    <row r="57" spans="2:6" x14ac:dyDescent="0.25">
      <c r="B57" s="9" t="s">
        <v>33</v>
      </c>
      <c r="C57" s="3">
        <v>3720.64</v>
      </c>
      <c r="D57" s="3">
        <v>119</v>
      </c>
      <c r="E57" s="3">
        <v>3720.64</v>
      </c>
      <c r="F57" s="3">
        <v>4228</v>
      </c>
    </row>
    <row r="58" spans="2:6" x14ac:dyDescent="0.25">
      <c r="B58" s="11" t="s">
        <v>1055</v>
      </c>
      <c r="C58" s="3">
        <v>3720.64</v>
      </c>
      <c r="D58" s="3">
        <v>119</v>
      </c>
      <c r="E58" s="3">
        <v>3720.64</v>
      </c>
      <c r="F58" s="3">
        <v>4228</v>
      </c>
    </row>
    <row r="59" spans="2:6" x14ac:dyDescent="0.25">
      <c r="B59" s="9" t="s">
        <v>34</v>
      </c>
      <c r="C59" s="3">
        <v>6036.06</v>
      </c>
      <c r="D59" s="3">
        <v>171</v>
      </c>
      <c r="E59" s="3">
        <v>3018.03</v>
      </c>
      <c r="F59" s="3">
        <v>3469</v>
      </c>
    </row>
    <row r="60" spans="2:6" x14ac:dyDescent="0.25">
      <c r="B60" s="11" t="s">
        <v>1055</v>
      </c>
      <c r="C60" s="3">
        <v>6036.06</v>
      </c>
      <c r="D60" s="3">
        <v>171</v>
      </c>
      <c r="E60" s="3">
        <v>3018.03</v>
      </c>
      <c r="F60" s="3">
        <v>3469</v>
      </c>
    </row>
    <row r="61" spans="2:6" x14ac:dyDescent="0.25">
      <c r="B61" s="9" t="s">
        <v>35</v>
      </c>
      <c r="C61" s="3">
        <v>16935.63</v>
      </c>
      <c r="D61" s="3">
        <v>56</v>
      </c>
      <c r="E61" s="3">
        <v>5645.21</v>
      </c>
      <c r="F61" s="3">
        <v>7951</v>
      </c>
    </row>
    <row r="62" spans="2:6" x14ac:dyDescent="0.25">
      <c r="B62" s="11" t="s">
        <v>1056</v>
      </c>
      <c r="C62" s="3">
        <v>16935.63</v>
      </c>
      <c r="D62" s="3">
        <v>56</v>
      </c>
      <c r="E62" s="3">
        <v>5645.21</v>
      </c>
      <c r="F62" s="3">
        <v>7951</v>
      </c>
    </row>
    <row r="63" spans="2:6" x14ac:dyDescent="0.25">
      <c r="B63" s="9" t="s">
        <v>36</v>
      </c>
      <c r="C63" s="3">
        <v>15049.9</v>
      </c>
      <c r="D63" s="3">
        <v>107</v>
      </c>
      <c r="E63" s="3">
        <v>7524.95</v>
      </c>
      <c r="F63" s="3">
        <v>7921</v>
      </c>
    </row>
    <row r="64" spans="2:6" x14ac:dyDescent="0.25">
      <c r="B64" s="11" t="s">
        <v>1059</v>
      </c>
      <c r="C64" s="3">
        <v>15049.9</v>
      </c>
      <c r="D64" s="3">
        <v>107</v>
      </c>
      <c r="E64" s="3">
        <v>7524.95</v>
      </c>
      <c r="F64" s="3">
        <v>7921</v>
      </c>
    </row>
    <row r="65" spans="2:6" x14ac:dyDescent="0.25">
      <c r="B65" s="9" t="s">
        <v>37</v>
      </c>
      <c r="C65" s="3">
        <v>16396.739999999998</v>
      </c>
      <c r="D65" s="3">
        <v>115</v>
      </c>
      <c r="E65" s="3">
        <v>5465.58</v>
      </c>
      <c r="F65" s="3">
        <v>7698</v>
      </c>
    </row>
    <row r="66" spans="2:6" x14ac:dyDescent="0.25">
      <c r="B66" s="11" t="s">
        <v>1056</v>
      </c>
      <c r="C66" s="3">
        <v>16396.739999999998</v>
      </c>
      <c r="D66" s="3">
        <v>115</v>
      </c>
      <c r="E66" s="3">
        <v>5465.58</v>
      </c>
      <c r="F66" s="3">
        <v>7698</v>
      </c>
    </row>
    <row r="67" spans="2:6" x14ac:dyDescent="0.25">
      <c r="B67" s="9" t="s">
        <v>38</v>
      </c>
      <c r="C67" s="3">
        <v>8688.42</v>
      </c>
      <c r="D67" s="3">
        <v>135</v>
      </c>
      <c r="E67" s="3">
        <v>2896.14</v>
      </c>
      <c r="F67" s="3">
        <v>3081</v>
      </c>
    </row>
    <row r="68" spans="2:6" x14ac:dyDescent="0.25">
      <c r="B68" s="11" t="s">
        <v>1059</v>
      </c>
      <c r="C68" s="3">
        <v>8688.42</v>
      </c>
      <c r="D68" s="3">
        <v>135</v>
      </c>
      <c r="E68" s="3">
        <v>2896.14</v>
      </c>
      <c r="F68" s="3">
        <v>3081</v>
      </c>
    </row>
    <row r="69" spans="2:6" x14ac:dyDescent="0.25">
      <c r="B69" s="9" t="s">
        <v>39</v>
      </c>
      <c r="C69" s="3">
        <v>5587.4</v>
      </c>
      <c r="D69" s="3">
        <v>113</v>
      </c>
      <c r="E69" s="3">
        <v>5587.4</v>
      </c>
      <c r="F69" s="3">
        <v>6140</v>
      </c>
    </row>
    <row r="70" spans="2:6" x14ac:dyDescent="0.25">
      <c r="B70" s="11" t="s">
        <v>1059</v>
      </c>
      <c r="C70" s="3">
        <v>5587.4</v>
      </c>
      <c r="D70" s="3">
        <v>113</v>
      </c>
      <c r="E70" s="3">
        <v>5587.4</v>
      </c>
      <c r="F70" s="3">
        <v>6140</v>
      </c>
    </row>
    <row r="71" spans="2:6" x14ac:dyDescent="0.25">
      <c r="B71" s="9" t="s">
        <v>40</v>
      </c>
      <c r="C71" s="3">
        <v>5963.36</v>
      </c>
      <c r="D71" s="3">
        <v>101</v>
      </c>
      <c r="E71" s="3">
        <v>2981.68</v>
      </c>
      <c r="F71" s="3">
        <v>3172</v>
      </c>
    </row>
    <row r="72" spans="2:6" x14ac:dyDescent="0.25">
      <c r="B72" s="11" t="s">
        <v>1059</v>
      </c>
      <c r="C72" s="3">
        <v>5963.36</v>
      </c>
      <c r="D72" s="3">
        <v>101</v>
      </c>
      <c r="E72" s="3">
        <v>2981.68</v>
      </c>
      <c r="F72" s="3">
        <v>3172</v>
      </c>
    </row>
    <row r="73" spans="2:6" x14ac:dyDescent="0.25">
      <c r="B73" s="9" t="s">
        <v>41</v>
      </c>
      <c r="C73" s="3">
        <v>7980.84</v>
      </c>
      <c r="D73" s="3">
        <v>54</v>
      </c>
      <c r="E73" s="3">
        <v>2660.28</v>
      </c>
      <c r="F73" s="3">
        <v>3167</v>
      </c>
    </row>
    <row r="74" spans="2:6" x14ac:dyDescent="0.25">
      <c r="B74" s="11" t="s">
        <v>1055</v>
      </c>
      <c r="C74" s="3">
        <v>7980.84</v>
      </c>
      <c r="D74" s="3">
        <v>54</v>
      </c>
      <c r="E74" s="3">
        <v>2660.28</v>
      </c>
      <c r="F74" s="3">
        <v>3167</v>
      </c>
    </row>
    <row r="75" spans="2:6" x14ac:dyDescent="0.25">
      <c r="B75" s="9" t="s">
        <v>42</v>
      </c>
      <c r="C75" s="3">
        <v>2848.84</v>
      </c>
      <c r="D75" s="3">
        <v>35</v>
      </c>
      <c r="E75" s="3">
        <v>2848.84</v>
      </c>
      <c r="F75" s="3">
        <v>4252</v>
      </c>
    </row>
    <row r="76" spans="2:6" x14ac:dyDescent="0.25">
      <c r="B76" s="11" t="s">
        <v>1056</v>
      </c>
      <c r="C76" s="3">
        <v>2848.84</v>
      </c>
      <c r="D76" s="3">
        <v>35</v>
      </c>
      <c r="E76" s="3">
        <v>2848.84</v>
      </c>
      <c r="F76" s="3">
        <v>4252</v>
      </c>
    </row>
    <row r="77" spans="2:6" x14ac:dyDescent="0.25">
      <c r="B77" s="9" t="s">
        <v>43</v>
      </c>
      <c r="C77" s="3">
        <v>8572.9599999999991</v>
      </c>
      <c r="D77" s="3">
        <v>87</v>
      </c>
      <c r="E77" s="3">
        <v>4286.4799999999996</v>
      </c>
      <c r="F77" s="3">
        <v>4871</v>
      </c>
    </row>
    <row r="78" spans="2:6" x14ac:dyDescent="0.25">
      <c r="B78" s="11" t="s">
        <v>1055</v>
      </c>
      <c r="C78" s="3">
        <v>8572.9599999999991</v>
      </c>
      <c r="D78" s="3">
        <v>87</v>
      </c>
      <c r="E78" s="3">
        <v>4286.4799999999996</v>
      </c>
      <c r="F78" s="3">
        <v>4871</v>
      </c>
    </row>
    <row r="79" spans="2:6" x14ac:dyDescent="0.25">
      <c r="B79" s="9" t="s">
        <v>44</v>
      </c>
      <c r="C79" s="3">
        <v>1548.8</v>
      </c>
      <c r="D79" s="3">
        <v>27</v>
      </c>
      <c r="E79" s="3">
        <v>774.4</v>
      </c>
      <c r="F79" s="3">
        <v>968</v>
      </c>
    </row>
    <row r="80" spans="2:6" x14ac:dyDescent="0.25">
      <c r="B80" s="11" t="s">
        <v>1056</v>
      </c>
      <c r="C80" s="3">
        <v>1548.8</v>
      </c>
      <c r="D80" s="3">
        <v>27</v>
      </c>
      <c r="E80" s="3">
        <v>774.4</v>
      </c>
      <c r="F80" s="3">
        <v>968</v>
      </c>
    </row>
    <row r="81" spans="2:6" x14ac:dyDescent="0.25">
      <c r="B81" s="9" t="s">
        <v>45</v>
      </c>
      <c r="C81" s="3">
        <v>1190.28</v>
      </c>
      <c r="D81" s="3">
        <v>95</v>
      </c>
      <c r="E81" s="3">
        <v>595.14</v>
      </c>
      <c r="F81" s="3">
        <v>763</v>
      </c>
    </row>
    <row r="82" spans="2:6" x14ac:dyDescent="0.25">
      <c r="B82" s="11" t="s">
        <v>1056</v>
      </c>
      <c r="C82" s="3">
        <v>1190.28</v>
      </c>
      <c r="D82" s="3">
        <v>95</v>
      </c>
      <c r="E82" s="3">
        <v>595.14</v>
      </c>
      <c r="F82" s="3">
        <v>763</v>
      </c>
    </row>
    <row r="83" spans="2:6" x14ac:dyDescent="0.25">
      <c r="B83" s="9" t="s">
        <v>46</v>
      </c>
      <c r="C83" s="3">
        <v>176.32</v>
      </c>
      <c r="D83" s="3">
        <v>120</v>
      </c>
      <c r="E83" s="3">
        <v>88.16</v>
      </c>
      <c r="F83" s="3">
        <v>116</v>
      </c>
    </row>
    <row r="84" spans="2:6" x14ac:dyDescent="0.25">
      <c r="B84" s="11" t="s">
        <v>1056</v>
      </c>
      <c r="C84" s="3">
        <v>176.32</v>
      </c>
      <c r="D84" s="3">
        <v>120</v>
      </c>
      <c r="E84" s="3">
        <v>88.16</v>
      </c>
      <c r="F84" s="3">
        <v>116</v>
      </c>
    </row>
    <row r="85" spans="2:6" x14ac:dyDescent="0.25">
      <c r="B85" s="9" t="s">
        <v>47</v>
      </c>
      <c r="C85" s="3">
        <v>11601.48</v>
      </c>
      <c r="D85" s="3">
        <v>196</v>
      </c>
      <c r="E85" s="3">
        <v>3867.16</v>
      </c>
      <c r="F85" s="3">
        <v>5687</v>
      </c>
    </row>
    <row r="86" spans="2:6" x14ac:dyDescent="0.25">
      <c r="B86" s="11" t="s">
        <v>1056</v>
      </c>
      <c r="C86" s="3">
        <v>11601.48</v>
      </c>
      <c r="D86" s="3">
        <v>196</v>
      </c>
      <c r="E86" s="3">
        <v>3867.16</v>
      </c>
      <c r="F86" s="3">
        <v>5687</v>
      </c>
    </row>
    <row r="87" spans="2:6" x14ac:dyDescent="0.25">
      <c r="B87" s="9" t="s">
        <v>48</v>
      </c>
      <c r="C87" s="3">
        <v>2912.8</v>
      </c>
      <c r="D87" s="3">
        <v>84</v>
      </c>
      <c r="E87" s="3">
        <v>1456.4</v>
      </c>
      <c r="F87" s="3">
        <v>1655</v>
      </c>
    </row>
    <row r="88" spans="2:6" x14ac:dyDescent="0.25">
      <c r="B88" s="11" t="s">
        <v>1055</v>
      </c>
      <c r="C88" s="3">
        <v>2912.8</v>
      </c>
      <c r="D88" s="3">
        <v>84</v>
      </c>
      <c r="E88" s="3">
        <v>1456.4</v>
      </c>
      <c r="F88" s="3">
        <v>1655</v>
      </c>
    </row>
    <row r="89" spans="2:6" x14ac:dyDescent="0.25">
      <c r="B89" s="9" t="s">
        <v>49</v>
      </c>
      <c r="C89" s="3">
        <v>1647.24</v>
      </c>
      <c r="D89" s="3">
        <v>15</v>
      </c>
      <c r="E89" s="3">
        <v>823.62</v>
      </c>
      <c r="F89" s="3">
        <v>1113</v>
      </c>
    </row>
    <row r="90" spans="2:6" x14ac:dyDescent="0.25">
      <c r="B90" s="11" t="s">
        <v>1056</v>
      </c>
      <c r="C90" s="3">
        <v>1647.24</v>
      </c>
      <c r="D90" s="3">
        <v>15</v>
      </c>
      <c r="E90" s="3">
        <v>823.62</v>
      </c>
      <c r="F90" s="3">
        <v>1113</v>
      </c>
    </row>
    <row r="91" spans="2:6" x14ac:dyDescent="0.25">
      <c r="B91" s="9" t="s">
        <v>50</v>
      </c>
      <c r="C91" s="3">
        <v>13875.75</v>
      </c>
      <c r="D91" s="3">
        <v>88</v>
      </c>
      <c r="E91" s="3">
        <v>4625.25</v>
      </c>
      <c r="F91" s="3">
        <v>6167</v>
      </c>
    </row>
    <row r="92" spans="2:6" x14ac:dyDescent="0.25">
      <c r="B92" s="11" t="s">
        <v>1056</v>
      </c>
      <c r="C92" s="3">
        <v>13875.75</v>
      </c>
      <c r="D92" s="3">
        <v>88</v>
      </c>
      <c r="E92" s="3">
        <v>4625.25</v>
      </c>
      <c r="F92" s="3">
        <v>6167</v>
      </c>
    </row>
    <row r="93" spans="2:6" x14ac:dyDescent="0.25">
      <c r="B93" s="9" t="s">
        <v>51</v>
      </c>
      <c r="C93" s="3">
        <v>17291.34</v>
      </c>
      <c r="D93" s="3">
        <v>122</v>
      </c>
      <c r="E93" s="3">
        <v>5763.78</v>
      </c>
      <c r="F93" s="3">
        <v>7029</v>
      </c>
    </row>
    <row r="94" spans="2:6" x14ac:dyDescent="0.25">
      <c r="B94" s="11" t="s">
        <v>1055</v>
      </c>
      <c r="C94" s="3">
        <v>17291.34</v>
      </c>
      <c r="D94" s="3">
        <v>122</v>
      </c>
      <c r="E94" s="3">
        <v>5763.78</v>
      </c>
      <c r="F94" s="3">
        <v>7029</v>
      </c>
    </row>
    <row r="95" spans="2:6" x14ac:dyDescent="0.25">
      <c r="B95" s="9" t="s">
        <v>52</v>
      </c>
      <c r="C95" s="3">
        <v>11120.04</v>
      </c>
      <c r="D95" s="3">
        <v>187</v>
      </c>
      <c r="E95" s="3">
        <v>5560.02</v>
      </c>
      <c r="F95" s="3">
        <v>7038</v>
      </c>
    </row>
    <row r="96" spans="2:6" x14ac:dyDescent="0.25">
      <c r="B96" s="11" t="s">
        <v>1056</v>
      </c>
      <c r="C96" s="3">
        <v>11120.04</v>
      </c>
      <c r="D96" s="3">
        <v>187</v>
      </c>
      <c r="E96" s="3">
        <v>5560.02</v>
      </c>
      <c r="F96" s="3">
        <v>7038</v>
      </c>
    </row>
    <row r="97" spans="2:6" x14ac:dyDescent="0.25">
      <c r="B97" s="9" t="s">
        <v>53</v>
      </c>
      <c r="C97" s="3">
        <v>2088</v>
      </c>
      <c r="D97" s="3">
        <v>152</v>
      </c>
      <c r="E97" s="3">
        <v>1044</v>
      </c>
      <c r="F97" s="3">
        <v>1392</v>
      </c>
    </row>
    <row r="98" spans="2:6" x14ac:dyDescent="0.25">
      <c r="B98" s="11" t="s">
        <v>1056</v>
      </c>
      <c r="C98" s="3">
        <v>2088</v>
      </c>
      <c r="D98" s="3">
        <v>152</v>
      </c>
      <c r="E98" s="3">
        <v>1044</v>
      </c>
      <c r="F98" s="3">
        <v>1392</v>
      </c>
    </row>
    <row r="99" spans="2:6" x14ac:dyDescent="0.25">
      <c r="B99" s="9" t="s">
        <v>54</v>
      </c>
      <c r="C99" s="3">
        <v>3674.58</v>
      </c>
      <c r="D99" s="3">
        <v>146</v>
      </c>
      <c r="E99" s="3">
        <v>1837.29</v>
      </c>
      <c r="F99" s="3">
        <v>2019</v>
      </c>
    </row>
    <row r="100" spans="2:6" x14ac:dyDescent="0.25">
      <c r="B100" s="11" t="s">
        <v>1059</v>
      </c>
      <c r="C100" s="3">
        <v>3674.58</v>
      </c>
      <c r="D100" s="3">
        <v>146</v>
      </c>
      <c r="E100" s="3">
        <v>1837.29</v>
      </c>
      <c r="F100" s="3">
        <v>2019</v>
      </c>
    </row>
    <row r="101" spans="2:6" x14ac:dyDescent="0.25">
      <c r="B101" s="9" t="s">
        <v>55</v>
      </c>
      <c r="C101" s="3">
        <v>10042.76</v>
      </c>
      <c r="D101" s="3">
        <v>23</v>
      </c>
      <c r="E101" s="3">
        <v>5021.38</v>
      </c>
      <c r="F101" s="3">
        <v>5518</v>
      </c>
    </row>
    <row r="102" spans="2:6" x14ac:dyDescent="0.25">
      <c r="B102" s="11" t="s">
        <v>1059</v>
      </c>
      <c r="C102" s="3">
        <v>10042.76</v>
      </c>
      <c r="D102" s="3">
        <v>23</v>
      </c>
      <c r="E102" s="3">
        <v>5021.38</v>
      </c>
      <c r="F102" s="3">
        <v>5518</v>
      </c>
    </row>
    <row r="103" spans="2:6" x14ac:dyDescent="0.25">
      <c r="B103" s="9" t="s">
        <v>56</v>
      </c>
      <c r="C103" s="3">
        <v>11034.66</v>
      </c>
      <c r="D103" s="3">
        <v>155</v>
      </c>
      <c r="E103" s="3">
        <v>3678.22</v>
      </c>
      <c r="F103" s="3">
        <v>4277</v>
      </c>
    </row>
    <row r="104" spans="2:6" x14ac:dyDescent="0.25">
      <c r="B104" s="11" t="s">
        <v>1055</v>
      </c>
      <c r="C104" s="3">
        <v>11034.66</v>
      </c>
      <c r="D104" s="3">
        <v>155</v>
      </c>
      <c r="E104" s="3">
        <v>3678.22</v>
      </c>
      <c r="F104" s="3">
        <v>4277</v>
      </c>
    </row>
    <row r="105" spans="2:6" x14ac:dyDescent="0.25">
      <c r="B105" s="9" t="s">
        <v>57</v>
      </c>
      <c r="C105" s="3">
        <v>5241.6000000000004</v>
      </c>
      <c r="D105" s="3">
        <v>62</v>
      </c>
      <c r="E105" s="3">
        <v>1747.2</v>
      </c>
      <c r="F105" s="3">
        <v>2240</v>
      </c>
    </row>
    <row r="106" spans="2:6" x14ac:dyDescent="0.25">
      <c r="B106" s="11" t="s">
        <v>1056</v>
      </c>
      <c r="C106" s="3">
        <v>5241.6000000000004</v>
      </c>
      <c r="D106" s="3">
        <v>62</v>
      </c>
      <c r="E106" s="3">
        <v>1747.2</v>
      </c>
      <c r="F106" s="3">
        <v>2240</v>
      </c>
    </row>
    <row r="107" spans="2:6" x14ac:dyDescent="0.25">
      <c r="B107" s="9" t="s">
        <v>58</v>
      </c>
      <c r="C107" s="3">
        <v>10110.6</v>
      </c>
      <c r="D107" s="3">
        <v>42</v>
      </c>
      <c r="E107" s="3">
        <v>5055.3</v>
      </c>
      <c r="F107" s="3">
        <v>5617</v>
      </c>
    </row>
    <row r="108" spans="2:6" x14ac:dyDescent="0.25">
      <c r="B108" s="11" t="s">
        <v>1055</v>
      </c>
      <c r="C108" s="3">
        <v>10110.6</v>
      </c>
      <c r="D108" s="3">
        <v>42</v>
      </c>
      <c r="E108" s="3">
        <v>5055.3</v>
      </c>
      <c r="F108" s="3">
        <v>5617</v>
      </c>
    </row>
    <row r="109" spans="2:6" x14ac:dyDescent="0.25">
      <c r="B109" s="9" t="s">
        <v>59</v>
      </c>
      <c r="C109" s="3">
        <v>11136.88</v>
      </c>
      <c r="D109" s="3">
        <v>95</v>
      </c>
      <c r="E109" s="3">
        <v>5568.44</v>
      </c>
      <c r="F109" s="3">
        <v>7628</v>
      </c>
    </row>
    <row r="110" spans="2:6" x14ac:dyDescent="0.25">
      <c r="B110" s="11" t="s">
        <v>1056</v>
      </c>
      <c r="C110" s="3">
        <v>11136.88</v>
      </c>
      <c r="D110" s="3">
        <v>95</v>
      </c>
      <c r="E110" s="3">
        <v>5568.44</v>
      </c>
      <c r="F110" s="3">
        <v>7628</v>
      </c>
    </row>
    <row r="111" spans="2:6" x14ac:dyDescent="0.25">
      <c r="B111" s="9" t="s">
        <v>60</v>
      </c>
      <c r="C111" s="3">
        <v>10416</v>
      </c>
      <c r="D111" s="3">
        <v>193</v>
      </c>
      <c r="E111" s="3">
        <v>3472</v>
      </c>
      <c r="F111" s="3">
        <v>4960</v>
      </c>
    </row>
    <row r="112" spans="2:6" x14ac:dyDescent="0.25">
      <c r="B112" s="11" t="s">
        <v>1056</v>
      </c>
      <c r="C112" s="3">
        <v>10416</v>
      </c>
      <c r="D112" s="3">
        <v>193</v>
      </c>
      <c r="E112" s="3">
        <v>3472</v>
      </c>
      <c r="F112" s="3">
        <v>4960</v>
      </c>
    </row>
    <row r="113" spans="2:6" x14ac:dyDescent="0.25">
      <c r="B113" s="9" t="s">
        <v>61</v>
      </c>
      <c r="C113" s="3">
        <v>11594.56</v>
      </c>
      <c r="D113" s="3">
        <v>45</v>
      </c>
      <c r="E113" s="3">
        <v>5797.28</v>
      </c>
      <c r="F113" s="3">
        <v>7628</v>
      </c>
    </row>
    <row r="114" spans="2:6" x14ac:dyDescent="0.25">
      <c r="B114" s="11" t="s">
        <v>1056</v>
      </c>
      <c r="C114" s="3">
        <v>11594.56</v>
      </c>
      <c r="D114" s="3">
        <v>45</v>
      </c>
      <c r="E114" s="3">
        <v>5797.28</v>
      </c>
      <c r="F114" s="3">
        <v>7628</v>
      </c>
    </row>
    <row r="115" spans="2:6" x14ac:dyDescent="0.25">
      <c r="B115" s="9" t="s">
        <v>62</v>
      </c>
      <c r="C115" s="3">
        <v>7965.48</v>
      </c>
      <c r="D115" s="3">
        <v>116</v>
      </c>
      <c r="E115" s="3">
        <v>3982.74</v>
      </c>
      <c r="F115" s="3">
        <v>4857</v>
      </c>
    </row>
    <row r="116" spans="2:6" x14ac:dyDescent="0.25">
      <c r="B116" s="11" t="s">
        <v>1055</v>
      </c>
      <c r="C116" s="3">
        <v>7965.48</v>
      </c>
      <c r="D116" s="3">
        <v>116</v>
      </c>
      <c r="E116" s="3">
        <v>3982.74</v>
      </c>
      <c r="F116" s="3">
        <v>4857</v>
      </c>
    </row>
    <row r="117" spans="2:6" x14ac:dyDescent="0.25">
      <c r="B117" s="9" t="s">
        <v>63</v>
      </c>
      <c r="C117" s="3">
        <v>3294.52</v>
      </c>
      <c r="D117" s="3">
        <v>142</v>
      </c>
      <c r="E117" s="3">
        <v>3294.52</v>
      </c>
      <c r="F117" s="3">
        <v>3581</v>
      </c>
    </row>
    <row r="118" spans="2:6" x14ac:dyDescent="0.25">
      <c r="B118" s="11" t="s">
        <v>1059</v>
      </c>
      <c r="C118" s="3">
        <v>3294.52</v>
      </c>
      <c r="D118" s="3">
        <v>142</v>
      </c>
      <c r="E118" s="3">
        <v>3294.52</v>
      </c>
      <c r="F118" s="3">
        <v>3581</v>
      </c>
    </row>
    <row r="119" spans="2:6" x14ac:dyDescent="0.25">
      <c r="B119" s="9" t="s">
        <v>64</v>
      </c>
      <c r="C119" s="3">
        <v>9189.24</v>
      </c>
      <c r="D119" s="3">
        <v>20</v>
      </c>
      <c r="E119" s="3">
        <v>3063.08</v>
      </c>
      <c r="F119" s="3">
        <v>4196</v>
      </c>
    </row>
    <row r="120" spans="2:6" x14ac:dyDescent="0.25">
      <c r="B120" s="11" t="s">
        <v>1056</v>
      </c>
      <c r="C120" s="3">
        <v>9189.24</v>
      </c>
      <c r="D120" s="3">
        <v>20</v>
      </c>
      <c r="E120" s="3">
        <v>3063.08</v>
      </c>
      <c r="F120" s="3">
        <v>4196</v>
      </c>
    </row>
    <row r="121" spans="2:6" x14ac:dyDescent="0.25">
      <c r="B121" s="9" t="s">
        <v>65</v>
      </c>
      <c r="C121" s="3">
        <v>7451.0999999999995</v>
      </c>
      <c r="D121" s="3">
        <v>124</v>
      </c>
      <c r="E121" s="3">
        <v>2483.6999999999998</v>
      </c>
      <c r="F121" s="3">
        <v>2922</v>
      </c>
    </row>
    <row r="122" spans="2:6" x14ac:dyDescent="0.25">
      <c r="B122" s="11" t="s">
        <v>1055</v>
      </c>
      <c r="C122" s="3">
        <v>7451.0999999999995</v>
      </c>
      <c r="D122" s="3">
        <v>124</v>
      </c>
      <c r="E122" s="3">
        <v>2483.6999999999998</v>
      </c>
      <c r="F122" s="3">
        <v>2922</v>
      </c>
    </row>
    <row r="123" spans="2:6" x14ac:dyDescent="0.25">
      <c r="B123" s="9" t="s">
        <v>66</v>
      </c>
      <c r="C123" s="3">
        <v>14026.32</v>
      </c>
      <c r="D123" s="3">
        <v>99</v>
      </c>
      <c r="E123" s="3">
        <v>4675.4399999999996</v>
      </c>
      <c r="F123" s="3">
        <v>5082</v>
      </c>
    </row>
    <row r="124" spans="2:6" x14ac:dyDescent="0.25">
      <c r="B124" s="11" t="s">
        <v>1059</v>
      </c>
      <c r="C124" s="3">
        <v>14026.32</v>
      </c>
      <c r="D124" s="3">
        <v>99</v>
      </c>
      <c r="E124" s="3">
        <v>4675.4399999999996</v>
      </c>
      <c r="F124" s="3">
        <v>5082</v>
      </c>
    </row>
    <row r="125" spans="2:6" x14ac:dyDescent="0.25">
      <c r="B125" s="9" t="s">
        <v>67</v>
      </c>
      <c r="C125" s="3">
        <v>813.24</v>
      </c>
      <c r="D125" s="3">
        <v>161</v>
      </c>
      <c r="E125" s="3">
        <v>813.24</v>
      </c>
      <c r="F125" s="3">
        <v>1004</v>
      </c>
    </row>
    <row r="126" spans="2:6" x14ac:dyDescent="0.25">
      <c r="B126" s="11" t="s">
        <v>1055</v>
      </c>
      <c r="C126" s="3">
        <v>813.24</v>
      </c>
      <c r="D126" s="3">
        <v>161</v>
      </c>
      <c r="E126" s="3">
        <v>813.24</v>
      </c>
      <c r="F126" s="3">
        <v>1004</v>
      </c>
    </row>
    <row r="127" spans="2:6" x14ac:dyDescent="0.25">
      <c r="B127" s="9" t="s">
        <v>68</v>
      </c>
      <c r="C127" s="3">
        <v>11737.44</v>
      </c>
      <c r="D127" s="3">
        <v>58</v>
      </c>
      <c r="E127" s="3">
        <v>3912.48</v>
      </c>
      <c r="F127" s="3">
        <v>5148</v>
      </c>
    </row>
    <row r="128" spans="2:6" x14ac:dyDescent="0.25">
      <c r="B128" s="11" t="s">
        <v>1056</v>
      </c>
      <c r="C128" s="3">
        <v>11737.44</v>
      </c>
      <c r="D128" s="3">
        <v>58</v>
      </c>
      <c r="E128" s="3">
        <v>3912.48</v>
      </c>
      <c r="F128" s="3">
        <v>5148</v>
      </c>
    </row>
    <row r="129" spans="2:6" x14ac:dyDescent="0.25">
      <c r="B129" s="9" t="s">
        <v>69</v>
      </c>
      <c r="C129" s="3">
        <v>3157.72</v>
      </c>
      <c r="D129" s="3">
        <v>150</v>
      </c>
      <c r="E129" s="3">
        <v>1578.86</v>
      </c>
      <c r="F129" s="3">
        <v>1774</v>
      </c>
    </row>
    <row r="130" spans="2:6" x14ac:dyDescent="0.25">
      <c r="B130" s="11" t="s">
        <v>1055</v>
      </c>
      <c r="C130" s="3">
        <v>3157.72</v>
      </c>
      <c r="D130" s="3">
        <v>150</v>
      </c>
      <c r="E130" s="3">
        <v>1578.86</v>
      </c>
      <c r="F130" s="3">
        <v>1774</v>
      </c>
    </row>
    <row r="131" spans="2:6" x14ac:dyDescent="0.25">
      <c r="B131" s="9" t="s">
        <v>70</v>
      </c>
      <c r="C131" s="3">
        <v>7684.32</v>
      </c>
      <c r="D131" s="3">
        <v>28</v>
      </c>
      <c r="E131" s="3">
        <v>3842.16</v>
      </c>
      <c r="F131" s="3">
        <v>4574</v>
      </c>
    </row>
    <row r="132" spans="2:6" x14ac:dyDescent="0.25">
      <c r="B132" s="11" t="s">
        <v>1055</v>
      </c>
      <c r="C132" s="3">
        <v>7684.32</v>
      </c>
      <c r="D132" s="3">
        <v>28</v>
      </c>
      <c r="E132" s="3">
        <v>3842.16</v>
      </c>
      <c r="F132" s="3">
        <v>4574</v>
      </c>
    </row>
    <row r="133" spans="2:6" x14ac:dyDescent="0.25">
      <c r="B133" s="9" t="s">
        <v>71</v>
      </c>
      <c r="C133" s="3">
        <v>1768.8</v>
      </c>
      <c r="D133" s="3">
        <v>141</v>
      </c>
      <c r="E133" s="3">
        <v>1768.8</v>
      </c>
      <c r="F133" s="3">
        <v>2211</v>
      </c>
    </row>
    <row r="134" spans="2:6" x14ac:dyDescent="0.25">
      <c r="B134" s="11" t="s">
        <v>1056</v>
      </c>
      <c r="C134" s="3">
        <v>1768.8</v>
      </c>
      <c r="D134" s="3">
        <v>141</v>
      </c>
      <c r="E134" s="3">
        <v>1768.8</v>
      </c>
      <c r="F134" s="3">
        <v>2211</v>
      </c>
    </row>
    <row r="135" spans="2:6" x14ac:dyDescent="0.25">
      <c r="B135" s="9" t="s">
        <v>72</v>
      </c>
      <c r="C135" s="3">
        <v>3082.58</v>
      </c>
      <c r="D135" s="3">
        <v>64</v>
      </c>
      <c r="E135" s="3">
        <v>1541.29</v>
      </c>
      <c r="F135" s="3">
        <v>1951</v>
      </c>
    </row>
    <row r="136" spans="2:6" x14ac:dyDescent="0.25">
      <c r="B136" s="11" t="s">
        <v>1056</v>
      </c>
      <c r="C136" s="3">
        <v>3082.58</v>
      </c>
      <c r="D136" s="3">
        <v>64</v>
      </c>
      <c r="E136" s="3">
        <v>1541.29</v>
      </c>
      <c r="F136" s="3">
        <v>1951</v>
      </c>
    </row>
    <row r="137" spans="2:6" x14ac:dyDescent="0.25">
      <c r="B137" s="9" t="s">
        <v>73</v>
      </c>
      <c r="C137" s="3">
        <v>6096</v>
      </c>
      <c r="D137" s="3">
        <v>76</v>
      </c>
      <c r="E137" s="3">
        <v>2032</v>
      </c>
      <c r="F137" s="3">
        <v>2540</v>
      </c>
    </row>
    <row r="138" spans="2:6" x14ac:dyDescent="0.25">
      <c r="B138" s="11" t="s">
        <v>1056</v>
      </c>
      <c r="C138" s="3">
        <v>6096</v>
      </c>
      <c r="D138" s="3">
        <v>76</v>
      </c>
      <c r="E138" s="3">
        <v>2032</v>
      </c>
      <c r="F138" s="3">
        <v>2540</v>
      </c>
    </row>
    <row r="139" spans="2:6" x14ac:dyDescent="0.25">
      <c r="B139" s="9" t="s">
        <v>74</v>
      </c>
      <c r="C139" s="3">
        <v>4602.22</v>
      </c>
      <c r="D139" s="3">
        <v>174</v>
      </c>
      <c r="E139" s="3">
        <v>2301.11</v>
      </c>
      <c r="F139" s="3">
        <v>3241</v>
      </c>
    </row>
    <row r="140" spans="2:6" x14ac:dyDescent="0.25">
      <c r="B140" s="11" t="s">
        <v>1056</v>
      </c>
      <c r="C140" s="3">
        <v>4602.22</v>
      </c>
      <c r="D140" s="3">
        <v>174</v>
      </c>
      <c r="E140" s="3">
        <v>2301.11</v>
      </c>
      <c r="F140" s="3">
        <v>3241</v>
      </c>
    </row>
    <row r="141" spans="2:6" x14ac:dyDescent="0.25">
      <c r="B141" s="9" t="s">
        <v>75</v>
      </c>
      <c r="C141" s="3">
        <v>21066.300000000003</v>
      </c>
      <c r="D141" s="3">
        <v>134</v>
      </c>
      <c r="E141" s="3">
        <v>7022.1</v>
      </c>
      <c r="F141" s="3">
        <v>7890</v>
      </c>
    </row>
    <row r="142" spans="2:6" x14ac:dyDescent="0.25">
      <c r="B142" s="11" t="s">
        <v>1055</v>
      </c>
      <c r="C142" s="3">
        <v>21066.300000000003</v>
      </c>
      <c r="D142" s="3">
        <v>134</v>
      </c>
      <c r="E142" s="3">
        <v>7022.1</v>
      </c>
      <c r="F142" s="3">
        <v>7890</v>
      </c>
    </row>
    <row r="143" spans="2:6" x14ac:dyDescent="0.25">
      <c r="B143" s="9" t="s">
        <v>76</v>
      </c>
      <c r="C143" s="3">
        <v>3170.28</v>
      </c>
      <c r="D143" s="3">
        <v>128</v>
      </c>
      <c r="E143" s="3">
        <v>3170.28</v>
      </c>
      <c r="F143" s="3">
        <v>3644</v>
      </c>
    </row>
    <row r="144" spans="2:6" x14ac:dyDescent="0.25">
      <c r="B144" s="11" t="s">
        <v>1055</v>
      </c>
      <c r="C144" s="3">
        <v>3170.28</v>
      </c>
      <c r="D144" s="3">
        <v>128</v>
      </c>
      <c r="E144" s="3">
        <v>3170.28</v>
      </c>
      <c r="F144" s="3">
        <v>3644</v>
      </c>
    </row>
    <row r="145" spans="2:6" x14ac:dyDescent="0.25">
      <c r="B145" s="9" t="s">
        <v>77</v>
      </c>
      <c r="C145" s="3">
        <v>7483.08</v>
      </c>
      <c r="D145" s="3">
        <v>90</v>
      </c>
      <c r="E145" s="3">
        <v>3741.54</v>
      </c>
      <c r="F145" s="3">
        <v>5669</v>
      </c>
    </row>
    <row r="146" spans="2:6" x14ac:dyDescent="0.25">
      <c r="B146" s="11" t="s">
        <v>1056</v>
      </c>
      <c r="C146" s="3">
        <v>7483.08</v>
      </c>
      <c r="D146" s="3">
        <v>90</v>
      </c>
      <c r="E146" s="3">
        <v>3741.54</v>
      </c>
      <c r="F146" s="3">
        <v>5669</v>
      </c>
    </row>
    <row r="147" spans="2:6" x14ac:dyDescent="0.25">
      <c r="B147" s="9" t="s">
        <v>78</v>
      </c>
      <c r="C147" s="3">
        <v>7766.4000000000005</v>
      </c>
      <c r="D147" s="3">
        <v>34</v>
      </c>
      <c r="E147" s="3">
        <v>2588.8000000000002</v>
      </c>
      <c r="F147" s="3">
        <v>3236</v>
      </c>
    </row>
    <row r="148" spans="2:6" x14ac:dyDescent="0.25">
      <c r="B148" s="11" t="s">
        <v>1056</v>
      </c>
      <c r="C148" s="3">
        <v>7766.4000000000005</v>
      </c>
      <c r="D148" s="3">
        <v>34</v>
      </c>
      <c r="E148" s="3">
        <v>2588.8000000000002</v>
      </c>
      <c r="F148" s="3">
        <v>3236</v>
      </c>
    </row>
    <row r="149" spans="2:6" x14ac:dyDescent="0.25">
      <c r="B149" s="9" t="s">
        <v>79</v>
      </c>
      <c r="C149" s="3">
        <v>4780.3999999999996</v>
      </c>
      <c r="D149" s="3">
        <v>79</v>
      </c>
      <c r="E149" s="3">
        <v>2390.1999999999998</v>
      </c>
      <c r="F149" s="3">
        <v>3230</v>
      </c>
    </row>
    <row r="150" spans="2:6" x14ac:dyDescent="0.25">
      <c r="B150" s="11" t="s">
        <v>1056</v>
      </c>
      <c r="C150" s="3">
        <v>4780.3999999999996</v>
      </c>
      <c r="D150" s="3">
        <v>79</v>
      </c>
      <c r="E150" s="3">
        <v>2390.1999999999998</v>
      </c>
      <c r="F150" s="3">
        <v>3230</v>
      </c>
    </row>
    <row r="151" spans="2:6" x14ac:dyDescent="0.25">
      <c r="B151" s="9" t="s">
        <v>80</v>
      </c>
      <c r="C151" s="3">
        <v>10067.4</v>
      </c>
      <c r="D151" s="3">
        <v>115</v>
      </c>
      <c r="E151" s="3">
        <v>5033.7</v>
      </c>
      <c r="F151" s="3">
        <v>7191</v>
      </c>
    </row>
    <row r="152" spans="2:6" x14ac:dyDescent="0.25">
      <c r="B152" s="11" t="s">
        <v>1056</v>
      </c>
      <c r="C152" s="3">
        <v>10067.4</v>
      </c>
      <c r="D152" s="3">
        <v>115</v>
      </c>
      <c r="E152" s="3">
        <v>5033.7</v>
      </c>
      <c r="F152" s="3">
        <v>7191</v>
      </c>
    </row>
    <row r="153" spans="2:6" x14ac:dyDescent="0.25">
      <c r="B153" s="9" t="s">
        <v>81</v>
      </c>
      <c r="C153" s="3">
        <v>4438.5</v>
      </c>
      <c r="D153" s="3">
        <v>182</v>
      </c>
      <c r="E153" s="3">
        <v>4438.5</v>
      </c>
      <c r="F153" s="3">
        <v>5918</v>
      </c>
    </row>
    <row r="154" spans="2:6" x14ac:dyDescent="0.25">
      <c r="B154" s="11" t="s">
        <v>1056</v>
      </c>
      <c r="C154" s="3">
        <v>4438.5</v>
      </c>
      <c r="D154" s="3">
        <v>182</v>
      </c>
      <c r="E154" s="3">
        <v>4438.5</v>
      </c>
      <c r="F154" s="3">
        <v>5918</v>
      </c>
    </row>
    <row r="155" spans="2:6" x14ac:dyDescent="0.25">
      <c r="B155" s="9" t="s">
        <v>82</v>
      </c>
      <c r="C155" s="3">
        <v>13120.29</v>
      </c>
      <c r="D155" s="3">
        <v>45</v>
      </c>
      <c r="E155" s="3">
        <v>4373.43</v>
      </c>
      <c r="F155" s="3">
        <v>5991</v>
      </c>
    </row>
    <row r="156" spans="2:6" x14ac:dyDescent="0.25">
      <c r="B156" s="11" t="s">
        <v>1056</v>
      </c>
      <c r="C156" s="3">
        <v>13120.29</v>
      </c>
      <c r="D156" s="3">
        <v>45</v>
      </c>
      <c r="E156" s="3">
        <v>4373.43</v>
      </c>
      <c r="F156" s="3">
        <v>5991</v>
      </c>
    </row>
    <row r="157" spans="2:6" x14ac:dyDescent="0.25">
      <c r="B157" s="9" t="s">
        <v>83</v>
      </c>
      <c r="C157" s="3">
        <v>608.88</v>
      </c>
      <c r="D157" s="3">
        <v>107</v>
      </c>
      <c r="E157" s="3">
        <v>202.96</v>
      </c>
      <c r="F157" s="3">
        <v>236</v>
      </c>
    </row>
    <row r="158" spans="2:6" x14ac:dyDescent="0.25">
      <c r="B158" s="11" t="s">
        <v>1055</v>
      </c>
      <c r="C158" s="3">
        <v>608.88</v>
      </c>
      <c r="D158" s="3">
        <v>107</v>
      </c>
      <c r="E158" s="3">
        <v>202.96</v>
      </c>
      <c r="F158" s="3">
        <v>236</v>
      </c>
    </row>
    <row r="159" spans="2:6" x14ac:dyDescent="0.25">
      <c r="B159" s="9" t="s">
        <v>84</v>
      </c>
      <c r="C159" s="3">
        <v>1392</v>
      </c>
      <c r="D159" s="3">
        <v>90</v>
      </c>
      <c r="E159" s="3">
        <v>696</v>
      </c>
      <c r="F159" s="3">
        <v>800</v>
      </c>
    </row>
    <row r="160" spans="2:6" x14ac:dyDescent="0.25">
      <c r="B160" s="11" t="s">
        <v>1055</v>
      </c>
      <c r="C160" s="3">
        <v>1392</v>
      </c>
      <c r="D160" s="3">
        <v>90</v>
      </c>
      <c r="E160" s="3">
        <v>696</v>
      </c>
      <c r="F160" s="3">
        <v>800</v>
      </c>
    </row>
    <row r="161" spans="2:6" x14ac:dyDescent="0.25">
      <c r="B161" s="9" t="s">
        <v>85</v>
      </c>
      <c r="C161" s="3">
        <v>3493.78</v>
      </c>
      <c r="D161" s="3">
        <v>180</v>
      </c>
      <c r="E161" s="3">
        <v>1746.89</v>
      </c>
      <c r="F161" s="3">
        <v>2393</v>
      </c>
    </row>
    <row r="162" spans="2:6" x14ac:dyDescent="0.25">
      <c r="B162" s="11" t="s">
        <v>1056</v>
      </c>
      <c r="C162" s="3">
        <v>3493.78</v>
      </c>
      <c r="D162" s="3">
        <v>180</v>
      </c>
      <c r="E162" s="3">
        <v>1746.89</v>
      </c>
      <c r="F162" s="3">
        <v>2393</v>
      </c>
    </row>
    <row r="163" spans="2:6" x14ac:dyDescent="0.25">
      <c r="B163" s="9" t="s">
        <v>86</v>
      </c>
      <c r="C163" s="3">
        <v>10257.150000000001</v>
      </c>
      <c r="D163" s="3">
        <v>110</v>
      </c>
      <c r="E163" s="3">
        <v>3419.05</v>
      </c>
      <c r="F163" s="3">
        <v>3599</v>
      </c>
    </row>
    <row r="164" spans="2:6" x14ac:dyDescent="0.25">
      <c r="B164" s="11" t="s">
        <v>1059</v>
      </c>
      <c r="C164" s="3">
        <v>10257.150000000001</v>
      </c>
      <c r="D164" s="3">
        <v>110</v>
      </c>
      <c r="E164" s="3">
        <v>3419.05</v>
      </c>
      <c r="F164" s="3">
        <v>3599</v>
      </c>
    </row>
    <row r="165" spans="2:6" x14ac:dyDescent="0.25">
      <c r="B165" s="9" t="s">
        <v>87</v>
      </c>
      <c r="C165" s="3">
        <v>918.06</v>
      </c>
      <c r="D165" s="3">
        <v>158</v>
      </c>
      <c r="E165" s="3">
        <v>918.06</v>
      </c>
      <c r="F165" s="3">
        <v>1391</v>
      </c>
    </row>
    <row r="166" spans="2:6" x14ac:dyDescent="0.25">
      <c r="B166" s="11" t="s">
        <v>1056</v>
      </c>
      <c r="C166" s="3">
        <v>918.06</v>
      </c>
      <c r="D166" s="3">
        <v>158</v>
      </c>
      <c r="E166" s="3">
        <v>918.06</v>
      </c>
      <c r="F166" s="3">
        <v>1391</v>
      </c>
    </row>
    <row r="167" spans="2:6" x14ac:dyDescent="0.25">
      <c r="B167" s="9" t="s">
        <v>88</v>
      </c>
      <c r="C167" s="3">
        <v>4799.6000000000004</v>
      </c>
      <c r="D167" s="3">
        <v>56</v>
      </c>
      <c r="E167" s="3">
        <v>2399.8000000000002</v>
      </c>
      <c r="F167" s="3">
        <v>3692</v>
      </c>
    </row>
    <row r="168" spans="2:6" x14ac:dyDescent="0.25">
      <c r="B168" s="11" t="s">
        <v>1056</v>
      </c>
      <c r="C168" s="3">
        <v>4799.6000000000004</v>
      </c>
      <c r="D168" s="3">
        <v>56</v>
      </c>
      <c r="E168" s="3">
        <v>2399.8000000000002</v>
      </c>
      <c r="F168" s="3">
        <v>3692</v>
      </c>
    </row>
    <row r="169" spans="2:6" x14ac:dyDescent="0.25">
      <c r="B169" s="9" t="s">
        <v>89</v>
      </c>
      <c r="C169" s="3">
        <v>7103.46</v>
      </c>
      <c r="D169" s="3">
        <v>124</v>
      </c>
      <c r="E169" s="3">
        <v>3551.73</v>
      </c>
      <c r="F169" s="3">
        <v>3903</v>
      </c>
    </row>
    <row r="170" spans="2:6" x14ac:dyDescent="0.25">
      <c r="B170" s="11" t="s">
        <v>1059</v>
      </c>
      <c r="C170" s="3">
        <v>7103.46</v>
      </c>
      <c r="D170" s="3">
        <v>124</v>
      </c>
      <c r="E170" s="3">
        <v>3551.73</v>
      </c>
      <c r="F170" s="3">
        <v>3903</v>
      </c>
    </row>
    <row r="171" spans="2:6" x14ac:dyDescent="0.25">
      <c r="B171" s="9" t="s">
        <v>90</v>
      </c>
      <c r="C171" s="3">
        <v>10776.39</v>
      </c>
      <c r="D171" s="3">
        <v>23</v>
      </c>
      <c r="E171" s="3">
        <v>3592.13</v>
      </c>
      <c r="F171" s="3">
        <v>4547</v>
      </c>
    </row>
    <row r="172" spans="2:6" x14ac:dyDescent="0.25">
      <c r="B172" s="11" t="s">
        <v>1056</v>
      </c>
      <c r="C172" s="3">
        <v>10776.39</v>
      </c>
      <c r="D172" s="3">
        <v>23</v>
      </c>
      <c r="E172" s="3">
        <v>3592.13</v>
      </c>
      <c r="F172" s="3">
        <v>4547</v>
      </c>
    </row>
    <row r="173" spans="2:6" x14ac:dyDescent="0.25">
      <c r="B173" s="9" t="s">
        <v>91</v>
      </c>
      <c r="C173" s="3">
        <v>5240.67</v>
      </c>
      <c r="D173" s="3">
        <v>24</v>
      </c>
      <c r="E173" s="3">
        <v>5240.67</v>
      </c>
      <c r="F173" s="3">
        <v>7179</v>
      </c>
    </row>
    <row r="174" spans="2:6" x14ac:dyDescent="0.25">
      <c r="B174" s="11" t="s">
        <v>1056</v>
      </c>
      <c r="C174" s="3">
        <v>5240.67</v>
      </c>
      <c r="D174" s="3">
        <v>24</v>
      </c>
      <c r="E174" s="3">
        <v>5240.67</v>
      </c>
      <c r="F174" s="3">
        <v>7179</v>
      </c>
    </row>
    <row r="175" spans="2:6" x14ac:dyDescent="0.25">
      <c r="B175" s="9" t="s">
        <v>92</v>
      </c>
      <c r="C175" s="3">
        <v>11622.68</v>
      </c>
      <c r="D175" s="3">
        <v>43</v>
      </c>
      <c r="E175" s="3">
        <v>5811.34</v>
      </c>
      <c r="F175" s="3">
        <v>7087</v>
      </c>
    </row>
    <row r="176" spans="2:6" x14ac:dyDescent="0.25">
      <c r="B176" s="11" t="s">
        <v>1055</v>
      </c>
      <c r="C176" s="3">
        <v>11622.68</v>
      </c>
      <c r="D176" s="3">
        <v>43</v>
      </c>
      <c r="E176" s="3">
        <v>5811.34</v>
      </c>
      <c r="F176" s="3">
        <v>7087</v>
      </c>
    </row>
    <row r="177" spans="2:6" x14ac:dyDescent="0.25">
      <c r="B177" s="9" t="s">
        <v>93</v>
      </c>
      <c r="C177" s="3">
        <v>6893.2</v>
      </c>
      <c r="D177" s="3">
        <v>71</v>
      </c>
      <c r="E177" s="3">
        <v>6893.2</v>
      </c>
      <c r="F177" s="3">
        <v>7256</v>
      </c>
    </row>
    <row r="178" spans="2:6" x14ac:dyDescent="0.25">
      <c r="B178" s="11" t="s">
        <v>1059</v>
      </c>
      <c r="C178" s="3">
        <v>6893.2</v>
      </c>
      <c r="D178" s="3">
        <v>71</v>
      </c>
      <c r="E178" s="3">
        <v>6893.2</v>
      </c>
      <c r="F178" s="3">
        <v>7256</v>
      </c>
    </row>
    <row r="179" spans="2:6" x14ac:dyDescent="0.25">
      <c r="B179" s="9" t="s">
        <v>94</v>
      </c>
      <c r="C179" s="3">
        <v>8247.5999999999985</v>
      </c>
      <c r="D179" s="3">
        <v>186</v>
      </c>
      <c r="E179" s="3">
        <v>2749.2</v>
      </c>
      <c r="F179" s="3">
        <v>3480</v>
      </c>
    </row>
    <row r="180" spans="2:6" x14ac:dyDescent="0.25">
      <c r="B180" s="11" t="s">
        <v>1056</v>
      </c>
      <c r="C180" s="3">
        <v>8247.5999999999985</v>
      </c>
      <c r="D180" s="3">
        <v>186</v>
      </c>
      <c r="E180" s="3">
        <v>2749.2</v>
      </c>
      <c r="F180" s="3">
        <v>3480</v>
      </c>
    </row>
    <row r="181" spans="2:6" x14ac:dyDescent="0.25">
      <c r="B181" s="9" t="s">
        <v>95</v>
      </c>
      <c r="C181" s="3">
        <v>20572.02</v>
      </c>
      <c r="D181" s="3">
        <v>82</v>
      </c>
      <c r="E181" s="3">
        <v>6857.34</v>
      </c>
      <c r="F181" s="3">
        <v>7882</v>
      </c>
    </row>
    <row r="182" spans="2:6" x14ac:dyDescent="0.25">
      <c r="B182" s="11" t="s">
        <v>1055</v>
      </c>
      <c r="C182" s="3">
        <v>20572.02</v>
      </c>
      <c r="D182" s="3">
        <v>82</v>
      </c>
      <c r="E182" s="3">
        <v>6857.34</v>
      </c>
      <c r="F182" s="3">
        <v>7882</v>
      </c>
    </row>
    <row r="183" spans="2:6" x14ac:dyDescent="0.25">
      <c r="B183" s="9" t="s">
        <v>96</v>
      </c>
      <c r="C183" s="3">
        <v>18688.62</v>
      </c>
      <c r="D183" s="3">
        <v>55</v>
      </c>
      <c r="E183" s="3">
        <v>6229.54</v>
      </c>
      <c r="F183" s="3">
        <v>7597</v>
      </c>
    </row>
    <row r="184" spans="2:6" x14ac:dyDescent="0.25">
      <c r="B184" s="11" t="s">
        <v>1055</v>
      </c>
      <c r="C184" s="3">
        <v>18688.62</v>
      </c>
      <c r="D184" s="3">
        <v>55</v>
      </c>
      <c r="E184" s="3">
        <v>6229.54</v>
      </c>
      <c r="F184" s="3">
        <v>7597</v>
      </c>
    </row>
    <row r="185" spans="2:6" x14ac:dyDescent="0.25">
      <c r="B185" s="9" t="s">
        <v>97</v>
      </c>
      <c r="C185" s="3">
        <v>11027.8</v>
      </c>
      <c r="D185" s="3">
        <v>119</v>
      </c>
      <c r="E185" s="3">
        <v>5513.9</v>
      </c>
      <c r="F185" s="3">
        <v>7877</v>
      </c>
    </row>
    <row r="186" spans="2:6" x14ac:dyDescent="0.25">
      <c r="B186" s="11" t="s">
        <v>1056</v>
      </c>
      <c r="C186" s="3">
        <v>11027.8</v>
      </c>
      <c r="D186" s="3">
        <v>119</v>
      </c>
      <c r="E186" s="3">
        <v>5513.9</v>
      </c>
      <c r="F186" s="3">
        <v>7877</v>
      </c>
    </row>
    <row r="187" spans="2:6" x14ac:dyDescent="0.25">
      <c r="B187" s="9" t="s">
        <v>98</v>
      </c>
      <c r="C187" s="3">
        <v>2765.45</v>
      </c>
      <c r="D187" s="3">
        <v>186</v>
      </c>
      <c r="E187" s="3">
        <v>2765.45</v>
      </c>
      <c r="F187" s="3">
        <v>3895</v>
      </c>
    </row>
    <row r="188" spans="2:6" x14ac:dyDescent="0.25">
      <c r="B188" s="11" t="s">
        <v>1056</v>
      </c>
      <c r="C188" s="3">
        <v>2765.45</v>
      </c>
      <c r="D188" s="3">
        <v>186</v>
      </c>
      <c r="E188" s="3">
        <v>2765.45</v>
      </c>
      <c r="F188" s="3">
        <v>3895</v>
      </c>
    </row>
    <row r="189" spans="2:6" x14ac:dyDescent="0.25">
      <c r="B189" s="9" t="s">
        <v>99</v>
      </c>
      <c r="C189" s="3">
        <v>1995.78</v>
      </c>
      <c r="D189" s="3">
        <v>169</v>
      </c>
      <c r="E189" s="3">
        <v>665.26</v>
      </c>
      <c r="F189" s="3">
        <v>899</v>
      </c>
    </row>
    <row r="190" spans="2:6" x14ac:dyDescent="0.25">
      <c r="B190" s="11" t="s">
        <v>1056</v>
      </c>
      <c r="C190" s="3">
        <v>1995.78</v>
      </c>
      <c r="D190" s="3">
        <v>169</v>
      </c>
      <c r="E190" s="3">
        <v>665.26</v>
      </c>
      <c r="F190" s="3">
        <v>899</v>
      </c>
    </row>
    <row r="191" spans="2:6" x14ac:dyDescent="0.25">
      <c r="B191" s="9" t="s">
        <v>100</v>
      </c>
      <c r="C191" s="3">
        <v>3946.7999999999997</v>
      </c>
      <c r="D191" s="3">
        <v>76</v>
      </c>
      <c r="E191" s="3">
        <v>1315.6</v>
      </c>
      <c r="F191" s="3">
        <v>1430</v>
      </c>
    </row>
    <row r="192" spans="2:6" x14ac:dyDescent="0.25">
      <c r="B192" s="11" t="s">
        <v>1059</v>
      </c>
      <c r="C192" s="3">
        <v>3946.7999999999997</v>
      </c>
      <c r="D192" s="3">
        <v>76</v>
      </c>
      <c r="E192" s="3">
        <v>1315.6</v>
      </c>
      <c r="F192" s="3">
        <v>1430</v>
      </c>
    </row>
    <row r="193" spans="2:6" x14ac:dyDescent="0.25">
      <c r="B193" s="9" t="s">
        <v>101</v>
      </c>
      <c r="C193" s="3">
        <v>8448</v>
      </c>
      <c r="D193" s="3">
        <v>196</v>
      </c>
      <c r="E193" s="3">
        <v>4224</v>
      </c>
      <c r="F193" s="3">
        <v>5632</v>
      </c>
    </row>
    <row r="194" spans="2:6" x14ac:dyDescent="0.25">
      <c r="B194" s="11" t="s">
        <v>1056</v>
      </c>
      <c r="C194" s="3">
        <v>8448</v>
      </c>
      <c r="D194" s="3">
        <v>196</v>
      </c>
      <c r="E194" s="3">
        <v>4224</v>
      </c>
      <c r="F194" s="3">
        <v>5632</v>
      </c>
    </row>
    <row r="195" spans="2:6" x14ac:dyDescent="0.25">
      <c r="B195" s="9" t="s">
        <v>102</v>
      </c>
      <c r="C195" s="3">
        <v>151.36000000000001</v>
      </c>
      <c r="D195" s="3">
        <v>90</v>
      </c>
      <c r="E195" s="3">
        <v>75.680000000000007</v>
      </c>
      <c r="F195" s="3">
        <v>86</v>
      </c>
    </row>
    <row r="196" spans="2:6" x14ac:dyDescent="0.25">
      <c r="B196" s="11" t="s">
        <v>1055</v>
      </c>
      <c r="C196" s="3">
        <v>151.36000000000001</v>
      </c>
      <c r="D196" s="3">
        <v>90</v>
      </c>
      <c r="E196" s="3">
        <v>75.680000000000007</v>
      </c>
      <c r="F196" s="3">
        <v>86</v>
      </c>
    </row>
    <row r="197" spans="2:6" x14ac:dyDescent="0.25">
      <c r="B197" s="9" t="s">
        <v>103</v>
      </c>
      <c r="C197" s="3">
        <v>4741.5</v>
      </c>
      <c r="D197" s="3">
        <v>42</v>
      </c>
      <c r="E197" s="3">
        <v>2370.75</v>
      </c>
      <c r="F197" s="3">
        <v>3161</v>
      </c>
    </row>
    <row r="198" spans="2:6" x14ac:dyDescent="0.25">
      <c r="B198" s="11" t="s">
        <v>1056</v>
      </c>
      <c r="C198" s="3">
        <v>4741.5</v>
      </c>
      <c r="D198" s="3">
        <v>42</v>
      </c>
      <c r="E198" s="3">
        <v>2370.75</v>
      </c>
      <c r="F198" s="3">
        <v>3161</v>
      </c>
    </row>
    <row r="199" spans="2:6" x14ac:dyDescent="0.25">
      <c r="B199" s="9" t="s">
        <v>104</v>
      </c>
      <c r="C199" s="3">
        <v>1087.68</v>
      </c>
      <c r="D199" s="3">
        <v>109</v>
      </c>
      <c r="E199" s="3">
        <v>362.56</v>
      </c>
      <c r="F199" s="3">
        <v>412</v>
      </c>
    </row>
    <row r="200" spans="2:6" x14ac:dyDescent="0.25">
      <c r="B200" s="11" t="s">
        <v>1055</v>
      </c>
      <c r="C200" s="3">
        <v>1087.68</v>
      </c>
      <c r="D200" s="3">
        <v>109</v>
      </c>
      <c r="E200" s="3">
        <v>362.56</v>
      </c>
      <c r="F200" s="3">
        <v>412</v>
      </c>
    </row>
    <row r="201" spans="2:6" x14ac:dyDescent="0.25">
      <c r="B201" s="9" t="s">
        <v>105</v>
      </c>
      <c r="C201" s="3">
        <v>3640</v>
      </c>
      <c r="D201" s="3">
        <v>116</v>
      </c>
      <c r="E201" s="3">
        <v>3640</v>
      </c>
      <c r="F201" s="3">
        <v>5200</v>
      </c>
    </row>
    <row r="202" spans="2:6" x14ac:dyDescent="0.25">
      <c r="B202" s="11" t="s">
        <v>1056</v>
      </c>
      <c r="C202" s="3">
        <v>3640</v>
      </c>
      <c r="D202" s="3">
        <v>116</v>
      </c>
      <c r="E202" s="3">
        <v>3640</v>
      </c>
      <c r="F202" s="3">
        <v>5200</v>
      </c>
    </row>
    <row r="203" spans="2:6" x14ac:dyDescent="0.25">
      <c r="B203" s="9" t="s">
        <v>106</v>
      </c>
      <c r="C203" s="3">
        <v>1750.1</v>
      </c>
      <c r="D203" s="3">
        <v>122</v>
      </c>
      <c r="E203" s="3">
        <v>1750.1</v>
      </c>
      <c r="F203" s="3">
        <v>2035</v>
      </c>
    </row>
    <row r="204" spans="2:6" x14ac:dyDescent="0.25">
      <c r="B204" s="11" t="s">
        <v>1055</v>
      </c>
      <c r="C204" s="3">
        <v>1750.1</v>
      </c>
      <c r="D204" s="3">
        <v>122</v>
      </c>
      <c r="E204" s="3">
        <v>1750.1</v>
      </c>
      <c r="F204" s="3">
        <v>2035</v>
      </c>
    </row>
    <row r="205" spans="2:6" x14ac:dyDescent="0.25">
      <c r="B205" s="9" t="s">
        <v>107</v>
      </c>
      <c r="C205" s="3">
        <v>18631.739999999998</v>
      </c>
      <c r="D205" s="3">
        <v>72</v>
      </c>
      <c r="E205" s="3">
        <v>6210.58</v>
      </c>
      <c r="F205" s="3">
        <v>6607</v>
      </c>
    </row>
    <row r="206" spans="2:6" x14ac:dyDescent="0.25">
      <c r="B206" s="11" t="s">
        <v>1059</v>
      </c>
      <c r="C206" s="3">
        <v>18631.739999999998</v>
      </c>
      <c r="D206" s="3">
        <v>72</v>
      </c>
      <c r="E206" s="3">
        <v>6210.58</v>
      </c>
      <c r="F206" s="3">
        <v>6607</v>
      </c>
    </row>
    <row r="207" spans="2:6" x14ac:dyDescent="0.25">
      <c r="B207" s="9" t="s">
        <v>108</v>
      </c>
      <c r="C207" s="3">
        <v>15429.96</v>
      </c>
      <c r="D207" s="3">
        <v>129</v>
      </c>
      <c r="E207" s="3">
        <v>5143.32</v>
      </c>
      <c r="F207" s="3">
        <v>6594</v>
      </c>
    </row>
    <row r="208" spans="2:6" x14ac:dyDescent="0.25">
      <c r="B208" s="11" t="s">
        <v>1056</v>
      </c>
      <c r="C208" s="3">
        <v>15429.96</v>
      </c>
      <c r="D208" s="3">
        <v>129</v>
      </c>
      <c r="E208" s="3">
        <v>5143.32</v>
      </c>
      <c r="F208" s="3">
        <v>6594</v>
      </c>
    </row>
    <row r="209" spans="2:6" x14ac:dyDescent="0.25">
      <c r="B209" s="9" t="s">
        <v>109</v>
      </c>
      <c r="C209" s="3">
        <v>3666.96</v>
      </c>
      <c r="D209" s="3">
        <v>148</v>
      </c>
      <c r="E209" s="3">
        <v>3666.96</v>
      </c>
      <c r="F209" s="3">
        <v>5093</v>
      </c>
    </row>
    <row r="210" spans="2:6" x14ac:dyDescent="0.25">
      <c r="B210" s="11" t="s">
        <v>1056</v>
      </c>
      <c r="C210" s="3">
        <v>3666.96</v>
      </c>
      <c r="D210" s="3">
        <v>148</v>
      </c>
      <c r="E210" s="3">
        <v>3666.96</v>
      </c>
      <c r="F210" s="3">
        <v>5093</v>
      </c>
    </row>
    <row r="211" spans="2:6" x14ac:dyDescent="0.25">
      <c r="B211" s="9" t="s">
        <v>110</v>
      </c>
      <c r="C211" s="3">
        <v>1217.43</v>
      </c>
      <c r="D211" s="3">
        <v>108</v>
      </c>
      <c r="E211" s="3">
        <v>1217.43</v>
      </c>
      <c r="F211" s="3">
        <v>1503</v>
      </c>
    </row>
    <row r="212" spans="2:6" x14ac:dyDescent="0.25">
      <c r="B212" s="11" t="s">
        <v>1055</v>
      </c>
      <c r="C212" s="3">
        <v>1217.43</v>
      </c>
      <c r="D212" s="3">
        <v>108</v>
      </c>
      <c r="E212" s="3">
        <v>1217.43</v>
      </c>
      <c r="F212" s="3">
        <v>1503</v>
      </c>
    </row>
    <row r="213" spans="2:6" x14ac:dyDescent="0.25">
      <c r="B213" s="9" t="s">
        <v>111</v>
      </c>
      <c r="C213" s="3">
        <v>7022.16</v>
      </c>
      <c r="D213" s="3">
        <v>36</v>
      </c>
      <c r="E213" s="3">
        <v>2340.7199999999998</v>
      </c>
      <c r="F213" s="3">
        <v>3251</v>
      </c>
    </row>
    <row r="214" spans="2:6" x14ac:dyDescent="0.25">
      <c r="B214" s="11" t="s">
        <v>1056</v>
      </c>
      <c r="C214" s="3">
        <v>7022.16</v>
      </c>
      <c r="D214" s="3">
        <v>36</v>
      </c>
      <c r="E214" s="3">
        <v>2340.7199999999998</v>
      </c>
      <c r="F214" s="3">
        <v>3251</v>
      </c>
    </row>
    <row r="215" spans="2:6" x14ac:dyDescent="0.25">
      <c r="B215" s="9" t="s">
        <v>112</v>
      </c>
      <c r="C215" s="3">
        <v>10530.210000000001</v>
      </c>
      <c r="D215" s="3">
        <v>140</v>
      </c>
      <c r="E215" s="3">
        <v>3510.07</v>
      </c>
      <c r="F215" s="3">
        <v>4229</v>
      </c>
    </row>
    <row r="216" spans="2:6" x14ac:dyDescent="0.25">
      <c r="B216" s="11" t="s">
        <v>1055</v>
      </c>
      <c r="C216" s="3">
        <v>10530.210000000001</v>
      </c>
      <c r="D216" s="3">
        <v>140</v>
      </c>
      <c r="E216" s="3">
        <v>3510.07</v>
      </c>
      <c r="F216" s="3">
        <v>4229</v>
      </c>
    </row>
    <row r="217" spans="2:6" x14ac:dyDescent="0.25">
      <c r="B217" s="9" t="s">
        <v>113</v>
      </c>
      <c r="C217" s="3">
        <v>6988.5</v>
      </c>
      <c r="D217" s="3">
        <v>24</v>
      </c>
      <c r="E217" s="3">
        <v>2329.5</v>
      </c>
      <c r="F217" s="3">
        <v>3106</v>
      </c>
    </row>
    <row r="218" spans="2:6" x14ac:dyDescent="0.25">
      <c r="B218" s="11" t="s">
        <v>1056</v>
      </c>
      <c r="C218" s="3">
        <v>6988.5</v>
      </c>
      <c r="D218" s="3">
        <v>24</v>
      </c>
      <c r="E218" s="3">
        <v>2329.5</v>
      </c>
      <c r="F218" s="3">
        <v>3106</v>
      </c>
    </row>
    <row r="219" spans="2:6" x14ac:dyDescent="0.25">
      <c r="B219" s="9" t="s">
        <v>114</v>
      </c>
      <c r="C219" s="3">
        <v>770</v>
      </c>
      <c r="D219" s="3">
        <v>140</v>
      </c>
      <c r="E219" s="3">
        <v>770</v>
      </c>
      <c r="F219" s="3">
        <v>1100</v>
      </c>
    </row>
    <row r="220" spans="2:6" x14ac:dyDescent="0.25">
      <c r="B220" s="11" t="s">
        <v>1056</v>
      </c>
      <c r="C220" s="3">
        <v>770</v>
      </c>
      <c r="D220" s="3">
        <v>140</v>
      </c>
      <c r="E220" s="3">
        <v>770</v>
      </c>
      <c r="F220" s="3">
        <v>1100</v>
      </c>
    </row>
    <row r="221" spans="2:6" x14ac:dyDescent="0.25">
      <c r="B221" s="9" t="s">
        <v>115</v>
      </c>
      <c r="C221" s="3">
        <v>6303.57</v>
      </c>
      <c r="D221" s="3">
        <v>93</v>
      </c>
      <c r="E221" s="3">
        <v>6303.57</v>
      </c>
      <c r="F221" s="3">
        <v>6927</v>
      </c>
    </row>
    <row r="222" spans="2:6" x14ac:dyDescent="0.25">
      <c r="B222" s="11" t="s">
        <v>1059</v>
      </c>
      <c r="C222" s="3">
        <v>6303.57</v>
      </c>
      <c r="D222" s="3">
        <v>93</v>
      </c>
      <c r="E222" s="3">
        <v>6303.57</v>
      </c>
      <c r="F222" s="3">
        <v>6927</v>
      </c>
    </row>
    <row r="223" spans="2:6" x14ac:dyDescent="0.25">
      <c r="B223" s="9" t="s">
        <v>116</v>
      </c>
      <c r="C223" s="3">
        <v>544.38</v>
      </c>
      <c r="D223" s="3">
        <v>81</v>
      </c>
      <c r="E223" s="3">
        <v>544.38</v>
      </c>
      <c r="F223" s="3">
        <v>633</v>
      </c>
    </row>
    <row r="224" spans="2:6" x14ac:dyDescent="0.25">
      <c r="B224" s="11" t="s">
        <v>1055</v>
      </c>
      <c r="C224" s="3">
        <v>544.38</v>
      </c>
      <c r="D224" s="3">
        <v>81</v>
      </c>
      <c r="E224" s="3">
        <v>544.38</v>
      </c>
      <c r="F224" s="3">
        <v>633</v>
      </c>
    </row>
    <row r="225" spans="2:6" x14ac:dyDescent="0.25">
      <c r="B225" s="9" t="s">
        <v>117</v>
      </c>
      <c r="C225" s="3">
        <v>4590.96</v>
      </c>
      <c r="D225" s="3">
        <v>111</v>
      </c>
      <c r="E225" s="3">
        <v>4590.96</v>
      </c>
      <c r="F225" s="3">
        <v>6204</v>
      </c>
    </row>
    <row r="226" spans="2:6" x14ac:dyDescent="0.25">
      <c r="B226" s="11" t="s">
        <v>1056</v>
      </c>
      <c r="C226" s="3">
        <v>4590.96</v>
      </c>
      <c r="D226" s="3">
        <v>111</v>
      </c>
      <c r="E226" s="3">
        <v>4590.96</v>
      </c>
      <c r="F226" s="3">
        <v>6204</v>
      </c>
    </row>
    <row r="227" spans="2:6" x14ac:dyDescent="0.25">
      <c r="B227" s="9" t="s">
        <v>118</v>
      </c>
      <c r="C227" s="3">
        <v>2881.97</v>
      </c>
      <c r="D227" s="3">
        <v>95</v>
      </c>
      <c r="E227" s="3">
        <v>2881.97</v>
      </c>
      <c r="F227" s="3">
        <v>3167</v>
      </c>
    </row>
    <row r="228" spans="2:6" x14ac:dyDescent="0.25">
      <c r="B228" s="11" t="s">
        <v>1059</v>
      </c>
      <c r="C228" s="3">
        <v>2881.97</v>
      </c>
      <c r="D228" s="3">
        <v>95</v>
      </c>
      <c r="E228" s="3">
        <v>2881.97</v>
      </c>
      <c r="F228" s="3">
        <v>3167</v>
      </c>
    </row>
    <row r="229" spans="2:6" x14ac:dyDescent="0.25">
      <c r="B229" s="9" t="s">
        <v>119</v>
      </c>
      <c r="C229" s="3">
        <v>5637.18</v>
      </c>
      <c r="D229" s="3">
        <v>159</v>
      </c>
      <c r="E229" s="3">
        <v>1879.06</v>
      </c>
      <c r="F229" s="3">
        <v>1999</v>
      </c>
    </row>
    <row r="230" spans="2:6" x14ac:dyDescent="0.25">
      <c r="B230" s="11" t="s">
        <v>1059</v>
      </c>
      <c r="C230" s="3">
        <v>5637.18</v>
      </c>
      <c r="D230" s="3">
        <v>159</v>
      </c>
      <c r="E230" s="3">
        <v>1879.06</v>
      </c>
      <c r="F230" s="3">
        <v>1999</v>
      </c>
    </row>
    <row r="231" spans="2:6" x14ac:dyDescent="0.25">
      <c r="B231" s="9" t="s">
        <v>120</v>
      </c>
      <c r="C231" s="3">
        <v>418.5</v>
      </c>
      <c r="D231" s="3">
        <v>70</v>
      </c>
      <c r="E231" s="3">
        <v>139.5</v>
      </c>
      <c r="F231" s="3">
        <v>155</v>
      </c>
    </row>
    <row r="232" spans="2:6" x14ac:dyDescent="0.25">
      <c r="B232" s="11" t="s">
        <v>1055</v>
      </c>
      <c r="C232" s="3">
        <v>418.5</v>
      </c>
      <c r="D232" s="3">
        <v>70</v>
      </c>
      <c r="E232" s="3">
        <v>139.5</v>
      </c>
      <c r="F232" s="3">
        <v>155</v>
      </c>
    </row>
    <row r="233" spans="2:6" x14ac:dyDescent="0.25">
      <c r="B233" s="9" t="s">
        <v>121</v>
      </c>
      <c r="C233" s="3">
        <v>10166.58</v>
      </c>
      <c r="D233" s="3">
        <v>101</v>
      </c>
      <c r="E233" s="3">
        <v>5083.29</v>
      </c>
      <c r="F233" s="3">
        <v>7587</v>
      </c>
    </row>
    <row r="234" spans="2:6" x14ac:dyDescent="0.25">
      <c r="B234" s="11" t="s">
        <v>1056</v>
      </c>
      <c r="C234" s="3">
        <v>10166.58</v>
      </c>
      <c r="D234" s="3">
        <v>101</v>
      </c>
      <c r="E234" s="3">
        <v>5083.29</v>
      </c>
      <c r="F234" s="3">
        <v>7587</v>
      </c>
    </row>
    <row r="235" spans="2:6" x14ac:dyDescent="0.25">
      <c r="B235" s="9" t="s">
        <v>122</v>
      </c>
      <c r="C235" s="3">
        <v>2192.19</v>
      </c>
      <c r="D235" s="3">
        <v>136</v>
      </c>
      <c r="E235" s="3">
        <v>730.73</v>
      </c>
      <c r="F235" s="3">
        <v>949</v>
      </c>
    </row>
    <row r="236" spans="2:6" x14ac:dyDescent="0.25">
      <c r="B236" s="11" t="s">
        <v>1056</v>
      </c>
      <c r="C236" s="3">
        <v>2192.19</v>
      </c>
      <c r="D236" s="3">
        <v>136</v>
      </c>
      <c r="E236" s="3">
        <v>730.73</v>
      </c>
      <c r="F236" s="3">
        <v>949</v>
      </c>
    </row>
    <row r="237" spans="2:6" x14ac:dyDescent="0.25">
      <c r="B237" s="9" t="s">
        <v>123</v>
      </c>
      <c r="C237" s="3">
        <v>4914</v>
      </c>
      <c r="D237" s="3">
        <v>131</v>
      </c>
      <c r="E237" s="3">
        <v>1638</v>
      </c>
      <c r="F237" s="3">
        <v>2184</v>
      </c>
    </row>
    <row r="238" spans="2:6" x14ac:dyDescent="0.25">
      <c r="B238" s="11" t="s">
        <v>1056</v>
      </c>
      <c r="C238" s="3">
        <v>4914</v>
      </c>
      <c r="D238" s="3">
        <v>131</v>
      </c>
      <c r="E238" s="3">
        <v>1638</v>
      </c>
      <c r="F238" s="3">
        <v>2184</v>
      </c>
    </row>
    <row r="239" spans="2:6" x14ac:dyDescent="0.25">
      <c r="B239" s="9" t="s">
        <v>124</v>
      </c>
      <c r="C239" s="3">
        <v>5724</v>
      </c>
      <c r="D239" s="3">
        <v>155</v>
      </c>
      <c r="E239" s="3">
        <v>1908</v>
      </c>
      <c r="F239" s="3">
        <v>2385</v>
      </c>
    </row>
    <row r="240" spans="2:6" x14ac:dyDescent="0.25">
      <c r="B240" s="11" t="s">
        <v>1056</v>
      </c>
      <c r="C240" s="3">
        <v>5724</v>
      </c>
      <c r="D240" s="3">
        <v>155</v>
      </c>
      <c r="E240" s="3">
        <v>1908</v>
      </c>
      <c r="F240" s="3">
        <v>2385</v>
      </c>
    </row>
    <row r="241" spans="2:6" x14ac:dyDescent="0.25">
      <c r="B241" s="9" t="s">
        <v>125</v>
      </c>
      <c r="C241" s="3">
        <v>11035.2</v>
      </c>
      <c r="D241" s="3">
        <v>106</v>
      </c>
      <c r="E241" s="3">
        <v>3678.4</v>
      </c>
      <c r="F241" s="3">
        <v>4180</v>
      </c>
    </row>
    <row r="242" spans="2:6" x14ac:dyDescent="0.25">
      <c r="B242" s="11" t="s">
        <v>1055</v>
      </c>
      <c r="C242" s="3">
        <v>11035.2</v>
      </c>
      <c r="D242" s="3">
        <v>106</v>
      </c>
      <c r="E242" s="3">
        <v>3678.4</v>
      </c>
      <c r="F242" s="3">
        <v>4180</v>
      </c>
    </row>
    <row r="243" spans="2:6" x14ac:dyDescent="0.25">
      <c r="B243" s="9" t="s">
        <v>126</v>
      </c>
      <c r="C243" s="3">
        <v>11896.6</v>
      </c>
      <c r="D243" s="3">
        <v>29</v>
      </c>
      <c r="E243" s="3">
        <v>5948.3</v>
      </c>
      <c r="F243" s="3">
        <v>6998</v>
      </c>
    </row>
    <row r="244" spans="2:6" x14ac:dyDescent="0.25">
      <c r="B244" s="11" t="s">
        <v>1055</v>
      </c>
      <c r="C244" s="3">
        <v>11896.6</v>
      </c>
      <c r="D244" s="3">
        <v>29</v>
      </c>
      <c r="E244" s="3">
        <v>5948.3</v>
      </c>
      <c r="F244" s="3">
        <v>6998</v>
      </c>
    </row>
    <row r="245" spans="2:6" x14ac:dyDescent="0.25">
      <c r="B245" s="9" t="s">
        <v>127</v>
      </c>
      <c r="C245" s="3">
        <v>7992.27</v>
      </c>
      <c r="D245" s="3">
        <v>15</v>
      </c>
      <c r="E245" s="3">
        <v>2664.09</v>
      </c>
      <c r="F245" s="3">
        <v>3861</v>
      </c>
    </row>
    <row r="246" spans="2:6" x14ac:dyDescent="0.25">
      <c r="B246" s="11" t="s">
        <v>1056</v>
      </c>
      <c r="C246" s="3">
        <v>7992.27</v>
      </c>
      <c r="D246" s="3">
        <v>15</v>
      </c>
      <c r="E246" s="3">
        <v>2664.09</v>
      </c>
      <c r="F246" s="3">
        <v>3861</v>
      </c>
    </row>
    <row r="247" spans="2:6" x14ac:dyDescent="0.25">
      <c r="B247" s="9" t="s">
        <v>128</v>
      </c>
      <c r="C247" s="3">
        <v>880.08</v>
      </c>
      <c r="D247" s="3">
        <v>108</v>
      </c>
      <c r="E247" s="3">
        <v>440.04</v>
      </c>
      <c r="F247" s="3">
        <v>579</v>
      </c>
    </row>
    <row r="248" spans="2:6" x14ac:dyDescent="0.25">
      <c r="B248" s="11" t="s">
        <v>1056</v>
      </c>
      <c r="C248" s="3">
        <v>880.08</v>
      </c>
      <c r="D248" s="3">
        <v>108</v>
      </c>
      <c r="E248" s="3">
        <v>440.04</v>
      </c>
      <c r="F248" s="3">
        <v>579</v>
      </c>
    </row>
    <row r="249" spans="2:6" x14ac:dyDescent="0.25">
      <c r="B249" s="9" t="s">
        <v>129</v>
      </c>
      <c r="C249" s="3">
        <v>91.8</v>
      </c>
      <c r="D249" s="3">
        <v>50</v>
      </c>
      <c r="E249" s="3">
        <v>45.9</v>
      </c>
      <c r="F249" s="3">
        <v>51</v>
      </c>
    </row>
    <row r="250" spans="2:6" x14ac:dyDescent="0.25">
      <c r="B250" s="11" t="s">
        <v>1055</v>
      </c>
      <c r="C250" s="3">
        <v>91.8</v>
      </c>
      <c r="D250" s="3">
        <v>50</v>
      </c>
      <c r="E250" s="3">
        <v>45.9</v>
      </c>
      <c r="F250" s="3">
        <v>51</v>
      </c>
    </row>
    <row r="251" spans="2:6" x14ac:dyDescent="0.25">
      <c r="B251" s="9" t="s">
        <v>130</v>
      </c>
      <c r="C251" s="3">
        <v>164.68</v>
      </c>
      <c r="D251" s="3">
        <v>98</v>
      </c>
      <c r="E251" s="3">
        <v>164.68</v>
      </c>
      <c r="F251" s="3">
        <v>179</v>
      </c>
    </row>
    <row r="252" spans="2:6" x14ac:dyDescent="0.25">
      <c r="B252" s="11" t="s">
        <v>1059</v>
      </c>
      <c r="C252" s="3">
        <v>164.68</v>
      </c>
      <c r="D252" s="3">
        <v>98</v>
      </c>
      <c r="E252" s="3">
        <v>164.68</v>
      </c>
      <c r="F252" s="3">
        <v>179</v>
      </c>
    </row>
    <row r="253" spans="2:6" x14ac:dyDescent="0.25">
      <c r="B253" s="9" t="s">
        <v>131</v>
      </c>
      <c r="C253" s="3">
        <v>10141.77</v>
      </c>
      <c r="D253" s="3">
        <v>40</v>
      </c>
      <c r="E253" s="3">
        <v>3380.59</v>
      </c>
      <c r="F253" s="3">
        <v>4073</v>
      </c>
    </row>
    <row r="254" spans="2:6" x14ac:dyDescent="0.25">
      <c r="B254" s="11" t="s">
        <v>1055</v>
      </c>
      <c r="C254" s="3">
        <v>10141.77</v>
      </c>
      <c r="D254" s="3">
        <v>40</v>
      </c>
      <c r="E254" s="3">
        <v>3380.59</v>
      </c>
      <c r="F254" s="3">
        <v>4073</v>
      </c>
    </row>
    <row r="255" spans="2:6" x14ac:dyDescent="0.25">
      <c r="B255" s="9" t="s">
        <v>132</v>
      </c>
      <c r="C255" s="3">
        <v>2855.24</v>
      </c>
      <c r="D255" s="3">
        <v>180</v>
      </c>
      <c r="E255" s="3">
        <v>2855.24</v>
      </c>
      <c r="F255" s="3">
        <v>3482</v>
      </c>
    </row>
    <row r="256" spans="2:6" x14ac:dyDescent="0.25">
      <c r="B256" s="11" t="s">
        <v>1055</v>
      </c>
      <c r="C256" s="3">
        <v>2855.24</v>
      </c>
      <c r="D256" s="3">
        <v>180</v>
      </c>
      <c r="E256" s="3">
        <v>2855.24</v>
      </c>
      <c r="F256" s="3">
        <v>3482</v>
      </c>
    </row>
    <row r="257" spans="2:6" x14ac:dyDescent="0.25">
      <c r="B257" s="9" t="s">
        <v>133</v>
      </c>
      <c r="C257" s="3">
        <v>4885.92</v>
      </c>
      <c r="D257" s="3">
        <v>65</v>
      </c>
      <c r="E257" s="3">
        <v>1628.64</v>
      </c>
      <c r="F257" s="3">
        <v>2262</v>
      </c>
    </row>
    <row r="258" spans="2:6" x14ac:dyDescent="0.25">
      <c r="B258" s="11" t="s">
        <v>1056</v>
      </c>
      <c r="C258" s="3">
        <v>4885.92</v>
      </c>
      <c r="D258" s="3">
        <v>65</v>
      </c>
      <c r="E258" s="3">
        <v>1628.64</v>
      </c>
      <c r="F258" s="3">
        <v>2262</v>
      </c>
    </row>
    <row r="259" spans="2:6" x14ac:dyDescent="0.25">
      <c r="B259" s="9" t="s">
        <v>134</v>
      </c>
      <c r="C259" s="3">
        <v>804.22</v>
      </c>
      <c r="D259" s="3">
        <v>38</v>
      </c>
      <c r="E259" s="3">
        <v>804.22</v>
      </c>
      <c r="F259" s="3">
        <v>1018</v>
      </c>
    </row>
    <row r="260" spans="2:6" x14ac:dyDescent="0.25">
      <c r="B260" s="11" t="s">
        <v>1056</v>
      </c>
      <c r="C260" s="3">
        <v>804.22</v>
      </c>
      <c r="D260" s="3">
        <v>38</v>
      </c>
      <c r="E260" s="3">
        <v>804.22</v>
      </c>
      <c r="F260" s="3">
        <v>1018</v>
      </c>
    </row>
    <row r="261" spans="2:6" x14ac:dyDescent="0.25">
      <c r="B261" s="9" t="s">
        <v>135</v>
      </c>
      <c r="C261" s="3">
        <v>12941.92</v>
      </c>
      <c r="D261" s="3">
        <v>190</v>
      </c>
      <c r="E261" s="3">
        <v>6470.96</v>
      </c>
      <c r="F261" s="3">
        <v>6884</v>
      </c>
    </row>
    <row r="262" spans="2:6" x14ac:dyDescent="0.25">
      <c r="B262" s="11" t="s">
        <v>1059</v>
      </c>
      <c r="C262" s="3">
        <v>12941.92</v>
      </c>
      <c r="D262" s="3">
        <v>190</v>
      </c>
      <c r="E262" s="3">
        <v>6470.96</v>
      </c>
      <c r="F262" s="3">
        <v>6884</v>
      </c>
    </row>
    <row r="263" spans="2:6" x14ac:dyDescent="0.25">
      <c r="B263" s="9" t="s">
        <v>136</v>
      </c>
      <c r="C263" s="3">
        <v>17632.079999999998</v>
      </c>
      <c r="D263" s="3">
        <v>187</v>
      </c>
      <c r="E263" s="3">
        <v>5877.36</v>
      </c>
      <c r="F263" s="3">
        <v>7256</v>
      </c>
    </row>
    <row r="264" spans="2:6" x14ac:dyDescent="0.25">
      <c r="B264" s="11" t="s">
        <v>1055</v>
      </c>
      <c r="C264" s="3">
        <v>17632.079999999998</v>
      </c>
      <c r="D264" s="3">
        <v>187</v>
      </c>
      <c r="E264" s="3">
        <v>5877.36</v>
      </c>
      <c r="F264" s="3">
        <v>7256</v>
      </c>
    </row>
    <row r="265" spans="2:6" x14ac:dyDescent="0.25">
      <c r="B265" s="9" t="s">
        <v>137</v>
      </c>
      <c r="C265" s="3">
        <v>1796.91</v>
      </c>
      <c r="D265" s="3">
        <v>94</v>
      </c>
      <c r="E265" s="3">
        <v>1796.91</v>
      </c>
      <c r="F265" s="3">
        <v>2019</v>
      </c>
    </row>
    <row r="266" spans="2:6" x14ac:dyDescent="0.25">
      <c r="B266" s="11" t="s">
        <v>1055</v>
      </c>
      <c r="C266" s="3">
        <v>1796.91</v>
      </c>
      <c r="D266" s="3">
        <v>94</v>
      </c>
      <c r="E266" s="3">
        <v>1796.91</v>
      </c>
      <c r="F266" s="3">
        <v>2019</v>
      </c>
    </row>
    <row r="267" spans="2:6" x14ac:dyDescent="0.25">
      <c r="B267" s="9" t="s">
        <v>138</v>
      </c>
      <c r="C267" s="3">
        <v>10374</v>
      </c>
      <c r="D267" s="3">
        <v>167</v>
      </c>
      <c r="E267" s="3">
        <v>5187</v>
      </c>
      <c r="F267" s="3">
        <v>7410</v>
      </c>
    </row>
    <row r="268" spans="2:6" x14ac:dyDescent="0.25">
      <c r="B268" s="11" t="s">
        <v>1056</v>
      </c>
      <c r="C268" s="3">
        <v>10374</v>
      </c>
      <c r="D268" s="3">
        <v>167</v>
      </c>
      <c r="E268" s="3">
        <v>5187</v>
      </c>
      <c r="F268" s="3">
        <v>7410</v>
      </c>
    </row>
    <row r="269" spans="2:6" x14ac:dyDescent="0.25">
      <c r="B269" s="9" t="s">
        <v>139</v>
      </c>
      <c r="C269" s="3">
        <v>9967.7999999999993</v>
      </c>
      <c r="D269" s="3">
        <v>156</v>
      </c>
      <c r="E269" s="3">
        <v>3322.6</v>
      </c>
      <c r="F269" s="3">
        <v>4490</v>
      </c>
    </row>
    <row r="270" spans="2:6" x14ac:dyDescent="0.25">
      <c r="B270" s="11" t="s">
        <v>1056</v>
      </c>
      <c r="C270" s="3">
        <v>9967.7999999999993</v>
      </c>
      <c r="D270" s="3">
        <v>156</v>
      </c>
      <c r="E270" s="3">
        <v>3322.6</v>
      </c>
      <c r="F270" s="3">
        <v>4490</v>
      </c>
    </row>
    <row r="271" spans="2:6" x14ac:dyDescent="0.25">
      <c r="B271" s="9" t="s">
        <v>140</v>
      </c>
      <c r="C271" s="3">
        <v>3969.35</v>
      </c>
      <c r="D271" s="3">
        <v>170</v>
      </c>
      <c r="E271" s="3">
        <v>3969.35</v>
      </c>
      <c r="F271" s="3">
        <v>5155</v>
      </c>
    </row>
    <row r="272" spans="2:6" x14ac:dyDescent="0.25">
      <c r="B272" s="11" t="s">
        <v>1056</v>
      </c>
      <c r="C272" s="3">
        <v>3969.35</v>
      </c>
      <c r="D272" s="3">
        <v>170</v>
      </c>
      <c r="E272" s="3">
        <v>3969.35</v>
      </c>
      <c r="F272" s="3">
        <v>5155</v>
      </c>
    </row>
    <row r="273" spans="2:6" x14ac:dyDescent="0.25">
      <c r="B273" s="9" t="s">
        <v>141</v>
      </c>
      <c r="C273" s="3">
        <v>2095.5</v>
      </c>
      <c r="D273" s="3">
        <v>141</v>
      </c>
      <c r="E273" s="3">
        <v>1047.75</v>
      </c>
      <c r="F273" s="3">
        <v>1397</v>
      </c>
    </row>
    <row r="274" spans="2:6" x14ac:dyDescent="0.25">
      <c r="B274" s="11" t="s">
        <v>1056</v>
      </c>
      <c r="C274" s="3">
        <v>2095.5</v>
      </c>
      <c r="D274" s="3">
        <v>141</v>
      </c>
      <c r="E274" s="3">
        <v>1047.75</v>
      </c>
      <c r="F274" s="3">
        <v>1397</v>
      </c>
    </row>
    <row r="275" spans="2:6" x14ac:dyDescent="0.25">
      <c r="B275" s="9" t="s">
        <v>142</v>
      </c>
      <c r="C275" s="3">
        <v>4620</v>
      </c>
      <c r="D275" s="3">
        <v>98</v>
      </c>
      <c r="E275" s="3">
        <v>4620</v>
      </c>
      <c r="F275" s="3">
        <v>5500</v>
      </c>
    </row>
    <row r="276" spans="2:6" x14ac:dyDescent="0.25">
      <c r="B276" s="11" t="s">
        <v>1055</v>
      </c>
      <c r="C276" s="3">
        <v>4620</v>
      </c>
      <c r="D276" s="3">
        <v>98</v>
      </c>
      <c r="E276" s="3">
        <v>4620</v>
      </c>
      <c r="F276" s="3">
        <v>5500</v>
      </c>
    </row>
    <row r="277" spans="2:6" x14ac:dyDescent="0.25">
      <c r="B277" s="9" t="s">
        <v>143</v>
      </c>
      <c r="C277" s="3">
        <v>11148.72</v>
      </c>
      <c r="D277" s="3">
        <v>44</v>
      </c>
      <c r="E277" s="3">
        <v>5574.36</v>
      </c>
      <c r="F277" s="3">
        <v>6798</v>
      </c>
    </row>
    <row r="278" spans="2:6" x14ac:dyDescent="0.25">
      <c r="B278" s="11" t="s">
        <v>1055</v>
      </c>
      <c r="C278" s="3">
        <v>11148.72</v>
      </c>
      <c r="D278" s="3">
        <v>44</v>
      </c>
      <c r="E278" s="3">
        <v>5574.36</v>
      </c>
      <c r="F278" s="3">
        <v>6798</v>
      </c>
    </row>
    <row r="279" spans="2:6" x14ac:dyDescent="0.25">
      <c r="B279" s="9" t="s">
        <v>144</v>
      </c>
      <c r="C279" s="3">
        <v>850.04</v>
      </c>
      <c r="D279" s="3">
        <v>165</v>
      </c>
      <c r="E279" s="3">
        <v>850.04</v>
      </c>
      <c r="F279" s="3">
        <v>1076</v>
      </c>
    </row>
    <row r="280" spans="2:6" x14ac:dyDescent="0.25">
      <c r="B280" s="11" t="s">
        <v>1056</v>
      </c>
      <c r="C280" s="3">
        <v>850.04</v>
      </c>
      <c r="D280" s="3">
        <v>165</v>
      </c>
      <c r="E280" s="3">
        <v>850.04</v>
      </c>
      <c r="F280" s="3">
        <v>1076</v>
      </c>
    </row>
    <row r="281" spans="2:6" x14ac:dyDescent="0.25">
      <c r="B281" s="9" t="s">
        <v>145</v>
      </c>
      <c r="C281" s="3">
        <v>9099.86</v>
      </c>
      <c r="D281" s="3">
        <v>79</v>
      </c>
      <c r="E281" s="3">
        <v>4549.93</v>
      </c>
      <c r="F281" s="3">
        <v>5909</v>
      </c>
    </row>
    <row r="282" spans="2:6" x14ac:dyDescent="0.25">
      <c r="B282" s="11" t="s">
        <v>1056</v>
      </c>
      <c r="C282" s="3">
        <v>9099.86</v>
      </c>
      <c r="D282" s="3">
        <v>79</v>
      </c>
      <c r="E282" s="3">
        <v>4549.93</v>
      </c>
      <c r="F282" s="3">
        <v>5909</v>
      </c>
    </row>
    <row r="283" spans="2:6" x14ac:dyDescent="0.25">
      <c r="B283" s="9" t="s">
        <v>146</v>
      </c>
      <c r="C283" s="3">
        <v>10216.68</v>
      </c>
      <c r="D283" s="3">
        <v>34</v>
      </c>
      <c r="E283" s="3">
        <v>3405.56</v>
      </c>
      <c r="F283" s="3">
        <v>4481</v>
      </c>
    </row>
    <row r="284" spans="2:6" x14ac:dyDescent="0.25">
      <c r="B284" s="11" t="s">
        <v>1056</v>
      </c>
      <c r="C284" s="3">
        <v>10216.68</v>
      </c>
      <c r="D284" s="3">
        <v>34</v>
      </c>
      <c r="E284" s="3">
        <v>3405.56</v>
      </c>
      <c r="F284" s="3">
        <v>4481</v>
      </c>
    </row>
    <row r="285" spans="2:6" x14ac:dyDescent="0.25">
      <c r="B285" s="9" t="s">
        <v>147</v>
      </c>
      <c r="C285" s="3">
        <v>4607.12</v>
      </c>
      <c r="D285" s="3">
        <v>36</v>
      </c>
      <c r="E285" s="3">
        <v>4607.12</v>
      </c>
      <c r="F285" s="3">
        <v>6062</v>
      </c>
    </row>
    <row r="286" spans="2:6" x14ac:dyDescent="0.25">
      <c r="B286" s="11" t="s">
        <v>1056</v>
      </c>
      <c r="C286" s="3">
        <v>4607.12</v>
      </c>
      <c r="D286" s="3">
        <v>36</v>
      </c>
      <c r="E286" s="3">
        <v>4607.12</v>
      </c>
      <c r="F286" s="3">
        <v>6062</v>
      </c>
    </row>
    <row r="287" spans="2:6" x14ac:dyDescent="0.25">
      <c r="B287" s="9" t="s">
        <v>148</v>
      </c>
      <c r="C287" s="3">
        <v>14357.699999999999</v>
      </c>
      <c r="D287" s="3">
        <v>16</v>
      </c>
      <c r="E287" s="3">
        <v>4785.8999999999996</v>
      </c>
      <c r="F287" s="3">
        <v>6837</v>
      </c>
    </row>
    <row r="288" spans="2:6" x14ac:dyDescent="0.25">
      <c r="B288" s="11" t="s">
        <v>1056</v>
      </c>
      <c r="C288" s="3">
        <v>14357.699999999999</v>
      </c>
      <c r="D288" s="3">
        <v>16</v>
      </c>
      <c r="E288" s="3">
        <v>4785.8999999999996</v>
      </c>
      <c r="F288" s="3">
        <v>6837</v>
      </c>
    </row>
    <row r="289" spans="2:6" x14ac:dyDescent="0.25">
      <c r="B289" s="9" t="s">
        <v>149</v>
      </c>
      <c r="C289" s="3">
        <v>1289.3399999999999</v>
      </c>
      <c r="D289" s="3">
        <v>127</v>
      </c>
      <c r="E289" s="3">
        <v>429.78</v>
      </c>
      <c r="F289" s="3">
        <v>494</v>
      </c>
    </row>
    <row r="290" spans="2:6" x14ac:dyDescent="0.25">
      <c r="B290" s="11" t="s">
        <v>1055</v>
      </c>
      <c r="C290" s="3">
        <v>1289.3399999999999</v>
      </c>
      <c r="D290" s="3">
        <v>127</v>
      </c>
      <c r="E290" s="3">
        <v>429.78</v>
      </c>
      <c r="F290" s="3">
        <v>494</v>
      </c>
    </row>
    <row r="291" spans="2:6" x14ac:dyDescent="0.25">
      <c r="B291" s="9" t="s">
        <v>150</v>
      </c>
      <c r="C291" s="3">
        <v>5868</v>
      </c>
      <c r="D291" s="3">
        <v>35</v>
      </c>
      <c r="E291" s="3">
        <v>5868</v>
      </c>
      <c r="F291" s="3">
        <v>7335</v>
      </c>
    </row>
    <row r="292" spans="2:6" x14ac:dyDescent="0.25">
      <c r="B292" s="11" t="s">
        <v>1056</v>
      </c>
      <c r="C292" s="3">
        <v>5868</v>
      </c>
      <c r="D292" s="3">
        <v>35</v>
      </c>
      <c r="E292" s="3">
        <v>5868</v>
      </c>
      <c r="F292" s="3">
        <v>7335</v>
      </c>
    </row>
    <row r="293" spans="2:6" x14ac:dyDescent="0.25">
      <c r="B293" s="9" t="s">
        <v>151</v>
      </c>
      <c r="C293" s="3">
        <v>2962.08</v>
      </c>
      <c r="D293" s="3">
        <v>59</v>
      </c>
      <c r="E293" s="3">
        <v>987.36</v>
      </c>
      <c r="F293" s="3">
        <v>1122</v>
      </c>
    </row>
    <row r="294" spans="2:6" x14ac:dyDescent="0.25">
      <c r="B294" s="11" t="s">
        <v>1055</v>
      </c>
      <c r="C294" s="3">
        <v>2962.08</v>
      </c>
      <c r="D294" s="3">
        <v>59</v>
      </c>
      <c r="E294" s="3">
        <v>987.36</v>
      </c>
      <c r="F294" s="3">
        <v>1122</v>
      </c>
    </row>
    <row r="295" spans="2:6" x14ac:dyDescent="0.25">
      <c r="B295" s="9" t="s">
        <v>152</v>
      </c>
      <c r="C295" s="3">
        <v>7601.4000000000005</v>
      </c>
      <c r="D295" s="3">
        <v>58</v>
      </c>
      <c r="E295" s="3">
        <v>2533.8000000000002</v>
      </c>
      <c r="F295" s="3">
        <v>3090</v>
      </c>
    </row>
    <row r="296" spans="2:6" x14ac:dyDescent="0.25">
      <c r="B296" s="11" t="s">
        <v>1055</v>
      </c>
      <c r="C296" s="3">
        <v>7601.4000000000005</v>
      </c>
      <c r="D296" s="3">
        <v>58</v>
      </c>
      <c r="E296" s="3">
        <v>2533.8000000000002</v>
      </c>
      <c r="F296" s="3">
        <v>3090</v>
      </c>
    </row>
    <row r="297" spans="2:6" x14ac:dyDescent="0.25">
      <c r="B297" s="9" t="s">
        <v>153</v>
      </c>
      <c r="C297" s="3">
        <v>13854.72</v>
      </c>
      <c r="D297" s="3">
        <v>20</v>
      </c>
      <c r="E297" s="3">
        <v>6927.36</v>
      </c>
      <c r="F297" s="3">
        <v>7872</v>
      </c>
    </row>
    <row r="298" spans="2:6" x14ac:dyDescent="0.25">
      <c r="B298" s="11" t="s">
        <v>1055</v>
      </c>
      <c r="C298" s="3">
        <v>13854.72</v>
      </c>
      <c r="D298" s="3">
        <v>20</v>
      </c>
      <c r="E298" s="3">
        <v>6927.36</v>
      </c>
      <c r="F298" s="3">
        <v>7872</v>
      </c>
    </row>
    <row r="299" spans="2:6" x14ac:dyDescent="0.25">
      <c r="B299" s="9" t="s">
        <v>154</v>
      </c>
      <c r="C299" s="3">
        <v>9196.8799999999992</v>
      </c>
      <c r="D299" s="3">
        <v>51</v>
      </c>
      <c r="E299" s="3">
        <v>4598.4399999999996</v>
      </c>
      <c r="F299" s="3">
        <v>5972</v>
      </c>
    </row>
    <row r="300" spans="2:6" x14ac:dyDescent="0.25">
      <c r="B300" s="11" t="s">
        <v>1056</v>
      </c>
      <c r="C300" s="3">
        <v>9196.8799999999992</v>
      </c>
      <c r="D300" s="3">
        <v>51</v>
      </c>
      <c r="E300" s="3">
        <v>4598.4399999999996</v>
      </c>
      <c r="F300" s="3">
        <v>5972</v>
      </c>
    </row>
    <row r="301" spans="2:6" x14ac:dyDescent="0.25">
      <c r="B301" s="9" t="s">
        <v>155</v>
      </c>
      <c r="C301" s="3">
        <v>4196.7700000000004</v>
      </c>
      <c r="D301" s="3">
        <v>176</v>
      </c>
      <c r="E301" s="3">
        <v>4196.7700000000004</v>
      </c>
      <c r="F301" s="3">
        <v>5749</v>
      </c>
    </row>
    <row r="302" spans="2:6" x14ac:dyDescent="0.25">
      <c r="B302" s="11" t="s">
        <v>1056</v>
      </c>
      <c r="C302" s="3">
        <v>4196.7700000000004</v>
      </c>
      <c r="D302" s="3">
        <v>176</v>
      </c>
      <c r="E302" s="3">
        <v>4196.7700000000004</v>
      </c>
      <c r="F302" s="3">
        <v>5749</v>
      </c>
    </row>
    <row r="303" spans="2:6" x14ac:dyDescent="0.25">
      <c r="B303" s="9" t="s">
        <v>156</v>
      </c>
      <c r="C303" s="3">
        <v>4859.3599999999997</v>
      </c>
      <c r="D303" s="3">
        <v>22</v>
      </c>
      <c r="E303" s="3">
        <v>4859.3599999999997</v>
      </c>
      <c r="F303" s="3">
        <v>5522</v>
      </c>
    </row>
    <row r="304" spans="2:6" x14ac:dyDescent="0.25">
      <c r="B304" s="11" t="s">
        <v>1055</v>
      </c>
      <c r="C304" s="3">
        <v>4859.3599999999997</v>
      </c>
      <c r="D304" s="3">
        <v>22</v>
      </c>
      <c r="E304" s="3">
        <v>4859.3599999999997</v>
      </c>
      <c r="F304" s="3">
        <v>5522</v>
      </c>
    </row>
    <row r="305" spans="2:6" x14ac:dyDescent="0.25">
      <c r="B305" s="9" t="s">
        <v>157</v>
      </c>
      <c r="C305" s="3">
        <v>3678.75</v>
      </c>
      <c r="D305" s="3">
        <v>67</v>
      </c>
      <c r="E305" s="3">
        <v>1226.25</v>
      </c>
      <c r="F305" s="3">
        <v>1635</v>
      </c>
    </row>
    <row r="306" spans="2:6" x14ac:dyDescent="0.25">
      <c r="B306" s="11" t="s">
        <v>1056</v>
      </c>
      <c r="C306" s="3">
        <v>3678.75</v>
      </c>
      <c r="D306" s="3">
        <v>67</v>
      </c>
      <c r="E306" s="3">
        <v>1226.25</v>
      </c>
      <c r="F306" s="3">
        <v>1635</v>
      </c>
    </row>
    <row r="307" spans="2:6" x14ac:dyDescent="0.25">
      <c r="B307" s="9" t="s">
        <v>158</v>
      </c>
      <c r="C307" s="3">
        <v>4019.64</v>
      </c>
      <c r="D307" s="3">
        <v>159</v>
      </c>
      <c r="E307" s="3">
        <v>2009.82</v>
      </c>
      <c r="F307" s="3">
        <v>2451</v>
      </c>
    </row>
    <row r="308" spans="2:6" x14ac:dyDescent="0.25">
      <c r="B308" s="11" t="s">
        <v>1055</v>
      </c>
      <c r="C308" s="3">
        <v>4019.64</v>
      </c>
      <c r="D308" s="3">
        <v>159</v>
      </c>
      <c r="E308" s="3">
        <v>2009.82</v>
      </c>
      <c r="F308" s="3">
        <v>2451</v>
      </c>
    </row>
    <row r="309" spans="2:6" x14ac:dyDescent="0.25">
      <c r="B309" s="9" t="s">
        <v>159</v>
      </c>
      <c r="C309" s="3">
        <v>2497.8000000000002</v>
      </c>
      <c r="D309" s="3">
        <v>153</v>
      </c>
      <c r="E309" s="3">
        <v>2497.8000000000002</v>
      </c>
      <c r="F309" s="3">
        <v>2715</v>
      </c>
    </row>
    <row r="310" spans="2:6" x14ac:dyDescent="0.25">
      <c r="B310" s="11" t="s">
        <v>1059</v>
      </c>
      <c r="C310" s="3">
        <v>2497.8000000000002</v>
      </c>
      <c r="D310" s="3">
        <v>153</v>
      </c>
      <c r="E310" s="3">
        <v>2497.8000000000002</v>
      </c>
      <c r="F310" s="3">
        <v>2715</v>
      </c>
    </row>
    <row r="311" spans="2:6" x14ac:dyDescent="0.25">
      <c r="B311" s="9" t="s">
        <v>160</v>
      </c>
      <c r="C311" s="3">
        <v>6138</v>
      </c>
      <c r="D311" s="3">
        <v>113</v>
      </c>
      <c r="E311" s="3">
        <v>6138</v>
      </c>
      <c r="F311" s="3">
        <v>6820</v>
      </c>
    </row>
    <row r="312" spans="2:6" x14ac:dyDescent="0.25">
      <c r="B312" s="11" t="s">
        <v>1055</v>
      </c>
      <c r="C312" s="3">
        <v>6138</v>
      </c>
      <c r="D312" s="3">
        <v>113</v>
      </c>
      <c r="E312" s="3">
        <v>6138</v>
      </c>
      <c r="F312" s="3">
        <v>6820</v>
      </c>
    </row>
    <row r="313" spans="2:6" x14ac:dyDescent="0.25">
      <c r="B313" s="9" t="s">
        <v>161</v>
      </c>
      <c r="C313" s="3">
        <v>4104.1000000000004</v>
      </c>
      <c r="D313" s="3">
        <v>151</v>
      </c>
      <c r="E313" s="3">
        <v>4104.1000000000004</v>
      </c>
      <c r="F313" s="3">
        <v>5330</v>
      </c>
    </row>
    <row r="314" spans="2:6" x14ac:dyDescent="0.25">
      <c r="B314" s="11" t="s">
        <v>1056</v>
      </c>
      <c r="C314" s="3">
        <v>4104.1000000000004</v>
      </c>
      <c r="D314" s="3">
        <v>151</v>
      </c>
      <c r="E314" s="3">
        <v>4104.1000000000004</v>
      </c>
      <c r="F314" s="3">
        <v>5330</v>
      </c>
    </row>
    <row r="315" spans="2:6" x14ac:dyDescent="0.25">
      <c r="B315" s="9" t="s">
        <v>162</v>
      </c>
      <c r="C315" s="3">
        <v>17188.800000000003</v>
      </c>
      <c r="D315" s="3">
        <v>199</v>
      </c>
      <c r="E315" s="3">
        <v>5729.6</v>
      </c>
      <c r="F315" s="3">
        <v>7162</v>
      </c>
    </row>
    <row r="316" spans="2:6" x14ac:dyDescent="0.25">
      <c r="B316" s="11" t="s">
        <v>1056</v>
      </c>
      <c r="C316" s="3">
        <v>17188.800000000003</v>
      </c>
      <c r="D316" s="3">
        <v>199</v>
      </c>
      <c r="E316" s="3">
        <v>5729.6</v>
      </c>
      <c r="F316" s="3">
        <v>7162</v>
      </c>
    </row>
    <row r="317" spans="2:6" x14ac:dyDescent="0.25">
      <c r="B317" s="9" t="s">
        <v>163</v>
      </c>
      <c r="C317" s="3">
        <v>10499.58</v>
      </c>
      <c r="D317" s="3">
        <v>21</v>
      </c>
      <c r="E317" s="3">
        <v>3499.86</v>
      </c>
      <c r="F317" s="3">
        <v>4487</v>
      </c>
    </row>
    <row r="318" spans="2:6" x14ac:dyDescent="0.25">
      <c r="B318" s="11" t="s">
        <v>1056</v>
      </c>
      <c r="C318" s="3">
        <v>10499.58</v>
      </c>
      <c r="D318" s="3">
        <v>21</v>
      </c>
      <c r="E318" s="3">
        <v>3499.86</v>
      </c>
      <c r="F318" s="3">
        <v>4487</v>
      </c>
    </row>
    <row r="319" spans="2:6" x14ac:dyDescent="0.25">
      <c r="B319" s="9" t="s">
        <v>164</v>
      </c>
      <c r="C319" s="3">
        <v>8524.94</v>
      </c>
      <c r="D319" s="3">
        <v>16</v>
      </c>
      <c r="E319" s="3">
        <v>4262.47</v>
      </c>
      <c r="F319" s="3">
        <v>5839</v>
      </c>
    </row>
    <row r="320" spans="2:6" x14ac:dyDescent="0.25">
      <c r="B320" s="11" t="s">
        <v>1056</v>
      </c>
      <c r="C320" s="3">
        <v>8524.94</v>
      </c>
      <c r="D320" s="3">
        <v>16</v>
      </c>
      <c r="E320" s="3">
        <v>4262.47</v>
      </c>
      <c r="F320" s="3">
        <v>5839</v>
      </c>
    </row>
    <row r="321" spans="2:6" x14ac:dyDescent="0.25">
      <c r="B321" s="9" t="s">
        <v>165</v>
      </c>
      <c r="C321" s="3">
        <v>9798.36</v>
      </c>
      <c r="D321" s="3">
        <v>34</v>
      </c>
      <c r="E321" s="3">
        <v>4899.18</v>
      </c>
      <c r="F321" s="3">
        <v>7423</v>
      </c>
    </row>
    <row r="322" spans="2:6" x14ac:dyDescent="0.25">
      <c r="B322" s="11" t="s">
        <v>1056</v>
      </c>
      <c r="C322" s="3">
        <v>9798.36</v>
      </c>
      <c r="D322" s="3">
        <v>34</v>
      </c>
      <c r="E322" s="3">
        <v>4899.18</v>
      </c>
      <c r="F322" s="3">
        <v>7423</v>
      </c>
    </row>
    <row r="323" spans="2:6" x14ac:dyDescent="0.25">
      <c r="B323" s="9" t="s">
        <v>166</v>
      </c>
      <c r="C323" s="3">
        <v>14102.64</v>
      </c>
      <c r="D323" s="3">
        <v>140</v>
      </c>
      <c r="E323" s="3">
        <v>4700.88</v>
      </c>
      <c r="F323" s="3">
        <v>6529</v>
      </c>
    </row>
    <row r="324" spans="2:6" x14ac:dyDescent="0.25">
      <c r="B324" s="11" t="s">
        <v>1056</v>
      </c>
      <c r="C324" s="3">
        <v>14102.64</v>
      </c>
      <c r="D324" s="3">
        <v>140</v>
      </c>
      <c r="E324" s="3">
        <v>4700.88</v>
      </c>
      <c r="F324" s="3">
        <v>6529</v>
      </c>
    </row>
    <row r="325" spans="2:6" x14ac:dyDescent="0.25">
      <c r="B325" s="9" t="s">
        <v>167</v>
      </c>
      <c r="C325" s="3">
        <v>921.83</v>
      </c>
      <c r="D325" s="3">
        <v>197</v>
      </c>
      <c r="E325" s="3">
        <v>921.83</v>
      </c>
      <c r="F325" s="3">
        <v>1013</v>
      </c>
    </row>
    <row r="326" spans="2:6" x14ac:dyDescent="0.25">
      <c r="B326" s="11" t="s">
        <v>1059</v>
      </c>
      <c r="C326" s="3">
        <v>921.83</v>
      </c>
      <c r="D326" s="3">
        <v>197</v>
      </c>
      <c r="E326" s="3">
        <v>921.83</v>
      </c>
      <c r="F326" s="3">
        <v>1013</v>
      </c>
    </row>
    <row r="327" spans="2:6" x14ac:dyDescent="0.25">
      <c r="B327" s="9" t="s">
        <v>168</v>
      </c>
      <c r="C327" s="3">
        <v>5453.88</v>
      </c>
      <c r="D327" s="3">
        <v>160</v>
      </c>
      <c r="E327" s="3">
        <v>1817.96</v>
      </c>
      <c r="F327" s="3">
        <v>1934</v>
      </c>
    </row>
    <row r="328" spans="2:6" x14ac:dyDescent="0.25">
      <c r="B328" s="11" t="s">
        <v>1059</v>
      </c>
      <c r="C328" s="3">
        <v>5453.88</v>
      </c>
      <c r="D328" s="3">
        <v>160</v>
      </c>
      <c r="E328" s="3">
        <v>1817.96</v>
      </c>
      <c r="F328" s="3">
        <v>1934</v>
      </c>
    </row>
    <row r="329" spans="2:6" x14ac:dyDescent="0.25">
      <c r="B329" s="9" t="s">
        <v>169</v>
      </c>
      <c r="C329" s="3">
        <v>2808</v>
      </c>
      <c r="D329" s="3">
        <v>92</v>
      </c>
      <c r="E329" s="3">
        <v>2808</v>
      </c>
      <c r="F329" s="3">
        <v>3900</v>
      </c>
    </row>
    <row r="330" spans="2:6" x14ac:dyDescent="0.25">
      <c r="B330" s="11" t="s">
        <v>1056</v>
      </c>
      <c r="C330" s="3">
        <v>2808</v>
      </c>
      <c r="D330" s="3">
        <v>92</v>
      </c>
      <c r="E330" s="3">
        <v>2808</v>
      </c>
      <c r="F330" s="3">
        <v>3900</v>
      </c>
    </row>
    <row r="331" spans="2:6" x14ac:dyDescent="0.25">
      <c r="B331" s="9" t="s">
        <v>170</v>
      </c>
      <c r="C331" s="3">
        <v>5287.32</v>
      </c>
      <c r="D331" s="3">
        <v>49</v>
      </c>
      <c r="E331" s="3">
        <v>5287.32</v>
      </c>
      <c r="F331" s="3">
        <v>6957</v>
      </c>
    </row>
    <row r="332" spans="2:6" x14ac:dyDescent="0.25">
      <c r="B332" s="11" t="s">
        <v>1056</v>
      </c>
      <c r="C332" s="3">
        <v>5287.32</v>
      </c>
      <c r="D332" s="3">
        <v>49</v>
      </c>
      <c r="E332" s="3">
        <v>5287.32</v>
      </c>
      <c r="F332" s="3">
        <v>6957</v>
      </c>
    </row>
    <row r="333" spans="2:6" x14ac:dyDescent="0.25">
      <c r="B333" s="9" t="s">
        <v>171</v>
      </c>
      <c r="C333" s="3">
        <v>7195.37</v>
      </c>
      <c r="D333" s="3">
        <v>71</v>
      </c>
      <c r="E333" s="3">
        <v>7195.37</v>
      </c>
      <c r="F333" s="3">
        <v>7907</v>
      </c>
    </row>
    <row r="334" spans="2:6" x14ac:dyDescent="0.25">
      <c r="B334" s="11" t="s">
        <v>1059</v>
      </c>
      <c r="C334" s="3">
        <v>7195.37</v>
      </c>
      <c r="D334" s="3">
        <v>71</v>
      </c>
      <c r="E334" s="3">
        <v>7195.37</v>
      </c>
      <c r="F334" s="3">
        <v>7907</v>
      </c>
    </row>
    <row r="335" spans="2:6" x14ac:dyDescent="0.25">
      <c r="B335" s="9" t="s">
        <v>172</v>
      </c>
      <c r="C335" s="3">
        <v>7155.4</v>
      </c>
      <c r="D335" s="3">
        <v>158</v>
      </c>
      <c r="E335" s="3">
        <v>3577.7</v>
      </c>
      <c r="F335" s="3">
        <v>3766</v>
      </c>
    </row>
    <row r="336" spans="2:6" x14ac:dyDescent="0.25">
      <c r="B336" s="11" t="s">
        <v>1059</v>
      </c>
      <c r="C336" s="3">
        <v>7155.4</v>
      </c>
      <c r="D336" s="3">
        <v>158</v>
      </c>
      <c r="E336" s="3">
        <v>3577.7</v>
      </c>
      <c r="F336" s="3">
        <v>3766</v>
      </c>
    </row>
    <row r="337" spans="2:6" x14ac:dyDescent="0.25">
      <c r="B337" s="9" t="s">
        <v>173</v>
      </c>
      <c r="C337" s="3">
        <v>10638.6</v>
      </c>
      <c r="D337" s="3">
        <v>190</v>
      </c>
      <c r="E337" s="3">
        <v>5319.3</v>
      </c>
      <c r="F337" s="3">
        <v>6258</v>
      </c>
    </row>
    <row r="338" spans="2:6" x14ac:dyDescent="0.25">
      <c r="B338" s="11" t="s">
        <v>1055</v>
      </c>
      <c r="C338" s="3">
        <v>10638.6</v>
      </c>
      <c r="D338" s="3">
        <v>190</v>
      </c>
      <c r="E338" s="3">
        <v>5319.3</v>
      </c>
      <c r="F338" s="3">
        <v>6258</v>
      </c>
    </row>
    <row r="339" spans="2:6" x14ac:dyDescent="0.25">
      <c r="B339" s="9" t="s">
        <v>174</v>
      </c>
      <c r="C339" s="3">
        <v>8520.4</v>
      </c>
      <c r="D339" s="3">
        <v>35</v>
      </c>
      <c r="E339" s="3">
        <v>4260.2</v>
      </c>
      <c r="F339" s="3">
        <v>6086</v>
      </c>
    </row>
    <row r="340" spans="2:6" x14ac:dyDescent="0.25">
      <c r="B340" s="11" t="s">
        <v>1056</v>
      </c>
      <c r="C340" s="3">
        <v>8520.4</v>
      </c>
      <c r="D340" s="3">
        <v>35</v>
      </c>
      <c r="E340" s="3">
        <v>4260.2</v>
      </c>
      <c r="F340" s="3">
        <v>6086</v>
      </c>
    </row>
    <row r="341" spans="2:6" x14ac:dyDescent="0.25">
      <c r="B341" s="9" t="s">
        <v>175</v>
      </c>
      <c r="C341" s="3">
        <v>2940.69</v>
      </c>
      <c r="D341" s="3">
        <v>122</v>
      </c>
      <c r="E341" s="3">
        <v>2940.69</v>
      </c>
      <c r="F341" s="3">
        <v>3543</v>
      </c>
    </row>
    <row r="342" spans="2:6" x14ac:dyDescent="0.25">
      <c r="B342" s="11" t="s">
        <v>1055</v>
      </c>
      <c r="C342" s="3">
        <v>2940.69</v>
      </c>
      <c r="D342" s="3">
        <v>122</v>
      </c>
      <c r="E342" s="3">
        <v>2940.69</v>
      </c>
      <c r="F342" s="3">
        <v>3543</v>
      </c>
    </row>
    <row r="343" spans="2:6" x14ac:dyDescent="0.25">
      <c r="B343" s="9" t="s">
        <v>176</v>
      </c>
      <c r="C343" s="3">
        <v>5413.14</v>
      </c>
      <c r="D343" s="3">
        <v>197</v>
      </c>
      <c r="E343" s="3">
        <v>5413.14</v>
      </c>
      <c r="F343" s="3">
        <v>6222</v>
      </c>
    </row>
    <row r="344" spans="2:6" x14ac:dyDescent="0.25">
      <c r="B344" s="11" t="s">
        <v>1055</v>
      </c>
      <c r="C344" s="3">
        <v>5413.14</v>
      </c>
      <c r="D344" s="3">
        <v>197</v>
      </c>
      <c r="E344" s="3">
        <v>5413.14</v>
      </c>
      <c r="F344" s="3">
        <v>6222</v>
      </c>
    </row>
    <row r="345" spans="2:6" x14ac:dyDescent="0.25">
      <c r="B345" s="9" t="s">
        <v>177</v>
      </c>
      <c r="C345" s="3">
        <v>5790.69</v>
      </c>
      <c r="D345" s="3">
        <v>78</v>
      </c>
      <c r="E345" s="3">
        <v>5790.69</v>
      </c>
      <c r="F345" s="3">
        <v>7149</v>
      </c>
    </row>
    <row r="346" spans="2:6" x14ac:dyDescent="0.25">
      <c r="B346" s="11" t="s">
        <v>1055</v>
      </c>
      <c r="C346" s="3">
        <v>5790.69</v>
      </c>
      <c r="D346" s="3">
        <v>78</v>
      </c>
      <c r="E346" s="3">
        <v>5790.69</v>
      </c>
      <c r="F346" s="3">
        <v>7149</v>
      </c>
    </row>
    <row r="347" spans="2:6" x14ac:dyDescent="0.25">
      <c r="B347" s="9" t="s">
        <v>178</v>
      </c>
      <c r="C347" s="3">
        <v>5564.98</v>
      </c>
      <c r="D347" s="3">
        <v>26</v>
      </c>
      <c r="E347" s="3">
        <v>5564.98</v>
      </c>
      <c r="F347" s="3">
        <v>7838</v>
      </c>
    </row>
    <row r="348" spans="2:6" x14ac:dyDescent="0.25">
      <c r="B348" s="11" t="s">
        <v>1056</v>
      </c>
      <c r="C348" s="3">
        <v>5564.98</v>
      </c>
      <c r="D348" s="3">
        <v>26</v>
      </c>
      <c r="E348" s="3">
        <v>5564.98</v>
      </c>
      <c r="F348" s="3">
        <v>7838</v>
      </c>
    </row>
    <row r="349" spans="2:6" x14ac:dyDescent="0.25">
      <c r="B349" s="9" t="s">
        <v>179</v>
      </c>
      <c r="C349" s="3">
        <v>9133.44</v>
      </c>
      <c r="D349" s="3">
        <v>60</v>
      </c>
      <c r="E349" s="3">
        <v>3044.48</v>
      </c>
      <c r="F349" s="3">
        <v>4544</v>
      </c>
    </row>
    <row r="350" spans="2:6" x14ac:dyDescent="0.25">
      <c r="B350" s="11" t="s">
        <v>1056</v>
      </c>
      <c r="C350" s="3">
        <v>9133.44</v>
      </c>
      <c r="D350" s="3">
        <v>60</v>
      </c>
      <c r="E350" s="3">
        <v>3044.48</v>
      </c>
      <c r="F350" s="3">
        <v>4544</v>
      </c>
    </row>
    <row r="351" spans="2:6" x14ac:dyDescent="0.25">
      <c r="B351" s="9" t="s">
        <v>180</v>
      </c>
      <c r="C351" s="3">
        <v>4528.17</v>
      </c>
      <c r="D351" s="3">
        <v>90</v>
      </c>
      <c r="E351" s="3">
        <v>1509.39</v>
      </c>
      <c r="F351" s="3">
        <v>1623</v>
      </c>
    </row>
    <row r="352" spans="2:6" x14ac:dyDescent="0.25">
      <c r="B352" s="11" t="s">
        <v>1059</v>
      </c>
      <c r="C352" s="3">
        <v>4528.17</v>
      </c>
      <c r="D352" s="3">
        <v>90</v>
      </c>
      <c r="E352" s="3">
        <v>1509.39</v>
      </c>
      <c r="F352" s="3">
        <v>1623</v>
      </c>
    </row>
    <row r="353" spans="2:6" x14ac:dyDescent="0.25">
      <c r="B353" s="9" t="s">
        <v>181</v>
      </c>
      <c r="C353" s="3">
        <v>3203.34</v>
      </c>
      <c r="D353" s="3">
        <v>114</v>
      </c>
      <c r="E353" s="3">
        <v>3203.34</v>
      </c>
      <c r="F353" s="3">
        <v>3682</v>
      </c>
    </row>
    <row r="354" spans="2:6" x14ac:dyDescent="0.25">
      <c r="B354" s="11" t="s">
        <v>1055</v>
      </c>
      <c r="C354" s="3">
        <v>3203.34</v>
      </c>
      <c r="D354" s="3">
        <v>114</v>
      </c>
      <c r="E354" s="3">
        <v>3203.34</v>
      </c>
      <c r="F354" s="3">
        <v>3682</v>
      </c>
    </row>
    <row r="355" spans="2:6" x14ac:dyDescent="0.25">
      <c r="B355" s="9" t="s">
        <v>182</v>
      </c>
      <c r="C355" s="3">
        <v>567.80999999999995</v>
      </c>
      <c r="D355" s="3">
        <v>22</v>
      </c>
      <c r="E355" s="3">
        <v>567.80999999999995</v>
      </c>
      <c r="F355" s="3">
        <v>701</v>
      </c>
    </row>
    <row r="356" spans="2:6" x14ac:dyDescent="0.25">
      <c r="B356" s="11" t="s">
        <v>1055</v>
      </c>
      <c r="C356" s="3">
        <v>567.80999999999995</v>
      </c>
      <c r="D356" s="3">
        <v>22</v>
      </c>
      <c r="E356" s="3">
        <v>567.80999999999995</v>
      </c>
      <c r="F356" s="3">
        <v>701</v>
      </c>
    </row>
    <row r="357" spans="2:6" x14ac:dyDescent="0.25">
      <c r="B357" s="9" t="s">
        <v>183</v>
      </c>
      <c r="C357" s="3">
        <v>13409.44</v>
      </c>
      <c r="D357" s="3">
        <v>68</v>
      </c>
      <c r="E357" s="3">
        <v>6704.72</v>
      </c>
      <c r="F357" s="3">
        <v>7619</v>
      </c>
    </row>
    <row r="358" spans="2:6" x14ac:dyDescent="0.25">
      <c r="B358" s="11" t="s">
        <v>1055</v>
      </c>
      <c r="C358" s="3">
        <v>13409.44</v>
      </c>
      <c r="D358" s="3">
        <v>68</v>
      </c>
      <c r="E358" s="3">
        <v>6704.72</v>
      </c>
      <c r="F358" s="3">
        <v>7619</v>
      </c>
    </row>
    <row r="359" spans="2:6" x14ac:dyDescent="0.25">
      <c r="B359" s="9" t="s">
        <v>184</v>
      </c>
      <c r="C359" s="3">
        <v>10406.719999999999</v>
      </c>
      <c r="D359" s="3">
        <v>131</v>
      </c>
      <c r="E359" s="3">
        <v>5203.3599999999997</v>
      </c>
      <c r="F359" s="3">
        <v>7652</v>
      </c>
    </row>
    <row r="360" spans="2:6" x14ac:dyDescent="0.25">
      <c r="B360" s="11" t="s">
        <v>1056</v>
      </c>
      <c r="C360" s="3">
        <v>10406.719999999999</v>
      </c>
      <c r="D360" s="3">
        <v>131</v>
      </c>
      <c r="E360" s="3">
        <v>5203.3599999999997</v>
      </c>
      <c r="F360" s="3">
        <v>7652</v>
      </c>
    </row>
    <row r="361" spans="2:6" x14ac:dyDescent="0.25">
      <c r="B361" s="9" t="s">
        <v>185</v>
      </c>
      <c r="C361" s="3">
        <v>5460.84</v>
      </c>
      <c r="D361" s="3">
        <v>144</v>
      </c>
      <c r="E361" s="3">
        <v>1820.28</v>
      </c>
      <c r="F361" s="3">
        <v>2758</v>
      </c>
    </row>
    <row r="362" spans="2:6" x14ac:dyDescent="0.25">
      <c r="B362" s="11" t="s">
        <v>1056</v>
      </c>
      <c r="C362" s="3">
        <v>5460.84</v>
      </c>
      <c r="D362" s="3">
        <v>144</v>
      </c>
      <c r="E362" s="3">
        <v>1820.28</v>
      </c>
      <c r="F362" s="3">
        <v>2758</v>
      </c>
    </row>
    <row r="363" spans="2:6" x14ac:dyDescent="0.25">
      <c r="B363" s="9" t="s">
        <v>186</v>
      </c>
      <c r="C363" s="3">
        <v>8580.42</v>
      </c>
      <c r="D363" s="3">
        <v>189</v>
      </c>
      <c r="E363" s="3">
        <v>2860.14</v>
      </c>
      <c r="F363" s="3">
        <v>3918</v>
      </c>
    </row>
    <row r="364" spans="2:6" x14ac:dyDescent="0.25">
      <c r="B364" s="11" t="s">
        <v>1056</v>
      </c>
      <c r="C364" s="3">
        <v>8580.42</v>
      </c>
      <c r="D364" s="3">
        <v>189</v>
      </c>
      <c r="E364" s="3">
        <v>2860.14</v>
      </c>
      <c r="F364" s="3">
        <v>3918</v>
      </c>
    </row>
    <row r="365" spans="2:6" x14ac:dyDescent="0.25">
      <c r="B365" s="9" t="s">
        <v>187</v>
      </c>
      <c r="C365" s="3">
        <v>8216.64</v>
      </c>
      <c r="D365" s="3">
        <v>12</v>
      </c>
      <c r="E365" s="3">
        <v>2738.88</v>
      </c>
      <c r="F365" s="3">
        <v>3804</v>
      </c>
    </row>
    <row r="366" spans="2:6" x14ac:dyDescent="0.25">
      <c r="B366" s="11" t="s">
        <v>1056</v>
      </c>
      <c r="C366" s="3">
        <v>8216.64</v>
      </c>
      <c r="D366" s="3">
        <v>12</v>
      </c>
      <c r="E366" s="3">
        <v>2738.88</v>
      </c>
      <c r="F366" s="3">
        <v>3804</v>
      </c>
    </row>
    <row r="367" spans="2:6" x14ac:dyDescent="0.25">
      <c r="B367" s="9" t="s">
        <v>188</v>
      </c>
      <c r="C367" s="3">
        <v>6022.9</v>
      </c>
      <c r="D367" s="3">
        <v>195</v>
      </c>
      <c r="E367" s="3">
        <v>6022.9</v>
      </c>
      <c r="F367" s="3">
        <v>7345</v>
      </c>
    </row>
    <row r="368" spans="2:6" x14ac:dyDescent="0.25">
      <c r="B368" s="11" t="s">
        <v>1055</v>
      </c>
      <c r="C368" s="3">
        <v>6022.9</v>
      </c>
      <c r="D368" s="3">
        <v>195</v>
      </c>
      <c r="E368" s="3">
        <v>6022.9</v>
      </c>
      <c r="F368" s="3">
        <v>7345</v>
      </c>
    </row>
    <row r="369" spans="2:6" x14ac:dyDescent="0.25">
      <c r="B369" s="9" t="s">
        <v>189</v>
      </c>
      <c r="C369" s="3">
        <v>7528.5</v>
      </c>
      <c r="D369" s="3">
        <v>158</v>
      </c>
      <c r="E369" s="3">
        <v>3764.25</v>
      </c>
      <c r="F369" s="3">
        <v>5019</v>
      </c>
    </row>
    <row r="370" spans="2:6" x14ac:dyDescent="0.25">
      <c r="B370" s="11" t="s">
        <v>1056</v>
      </c>
      <c r="C370" s="3">
        <v>7528.5</v>
      </c>
      <c r="D370" s="3">
        <v>158</v>
      </c>
      <c r="E370" s="3">
        <v>3764.25</v>
      </c>
      <c r="F370" s="3">
        <v>5019</v>
      </c>
    </row>
    <row r="371" spans="2:6" x14ac:dyDescent="0.25">
      <c r="B371" s="9" t="s">
        <v>190</v>
      </c>
      <c r="C371" s="3">
        <v>4753.7</v>
      </c>
      <c r="D371" s="3">
        <v>21</v>
      </c>
      <c r="E371" s="3">
        <v>4753.7</v>
      </c>
      <c r="F371" s="3">
        <v>6791</v>
      </c>
    </row>
    <row r="372" spans="2:6" x14ac:dyDescent="0.25">
      <c r="B372" s="11" t="s">
        <v>1056</v>
      </c>
      <c r="C372" s="3">
        <v>4753.7</v>
      </c>
      <c r="D372" s="3">
        <v>21</v>
      </c>
      <c r="E372" s="3">
        <v>4753.7</v>
      </c>
      <c r="F372" s="3">
        <v>6791</v>
      </c>
    </row>
    <row r="373" spans="2:6" x14ac:dyDescent="0.25">
      <c r="B373" s="9" t="s">
        <v>191</v>
      </c>
      <c r="C373" s="3">
        <v>2559.1999999999998</v>
      </c>
      <c r="D373" s="3">
        <v>110</v>
      </c>
      <c r="E373" s="3">
        <v>1279.5999999999999</v>
      </c>
      <c r="F373" s="3">
        <v>1828</v>
      </c>
    </row>
    <row r="374" spans="2:6" x14ac:dyDescent="0.25">
      <c r="B374" s="11" t="s">
        <v>1056</v>
      </c>
      <c r="C374" s="3">
        <v>2559.1999999999998</v>
      </c>
      <c r="D374" s="3">
        <v>110</v>
      </c>
      <c r="E374" s="3">
        <v>1279.5999999999999</v>
      </c>
      <c r="F374" s="3">
        <v>1828</v>
      </c>
    </row>
    <row r="375" spans="2:6" x14ac:dyDescent="0.25">
      <c r="B375" s="9" t="s">
        <v>192</v>
      </c>
      <c r="C375" s="3">
        <v>10712.2</v>
      </c>
      <c r="D375" s="3">
        <v>47</v>
      </c>
      <c r="E375" s="3">
        <v>5356.1</v>
      </c>
      <c r="F375" s="3">
        <v>5638</v>
      </c>
    </row>
    <row r="376" spans="2:6" x14ac:dyDescent="0.25">
      <c r="B376" s="11" t="s">
        <v>1059</v>
      </c>
      <c r="C376" s="3">
        <v>10712.2</v>
      </c>
      <c r="D376" s="3">
        <v>47</v>
      </c>
      <c r="E376" s="3">
        <v>5356.1</v>
      </c>
      <c r="F376" s="3">
        <v>5638</v>
      </c>
    </row>
    <row r="377" spans="2:6" x14ac:dyDescent="0.25">
      <c r="B377" s="9" t="s">
        <v>193</v>
      </c>
      <c r="C377" s="3">
        <v>5079.84</v>
      </c>
      <c r="D377" s="3">
        <v>89</v>
      </c>
      <c r="E377" s="3">
        <v>2539.92</v>
      </c>
      <c r="F377" s="3">
        <v>3342</v>
      </c>
    </row>
    <row r="378" spans="2:6" x14ac:dyDescent="0.25">
      <c r="B378" s="11" t="s">
        <v>1056</v>
      </c>
      <c r="C378" s="3">
        <v>5079.84</v>
      </c>
      <c r="D378" s="3">
        <v>89</v>
      </c>
      <c r="E378" s="3">
        <v>2539.92</v>
      </c>
      <c r="F378" s="3">
        <v>3342</v>
      </c>
    </row>
    <row r="379" spans="2:6" x14ac:dyDescent="0.25">
      <c r="B379" s="9" t="s">
        <v>194</v>
      </c>
      <c r="C379" s="3">
        <v>6948.9000000000005</v>
      </c>
      <c r="D379" s="3">
        <v>119</v>
      </c>
      <c r="E379" s="3">
        <v>2316.3000000000002</v>
      </c>
      <c r="F379" s="3">
        <v>3309</v>
      </c>
    </row>
    <row r="380" spans="2:6" x14ac:dyDescent="0.25">
      <c r="B380" s="11" t="s">
        <v>1056</v>
      </c>
      <c r="C380" s="3">
        <v>6948.9000000000005</v>
      </c>
      <c r="D380" s="3">
        <v>119</v>
      </c>
      <c r="E380" s="3">
        <v>2316.3000000000002</v>
      </c>
      <c r="F380" s="3">
        <v>3309</v>
      </c>
    </row>
    <row r="381" spans="2:6" x14ac:dyDescent="0.25">
      <c r="B381" s="9" t="s">
        <v>195</v>
      </c>
      <c r="C381" s="3">
        <v>18772.77</v>
      </c>
      <c r="D381" s="3">
        <v>103</v>
      </c>
      <c r="E381" s="3">
        <v>6257.59</v>
      </c>
      <c r="F381" s="3">
        <v>7921</v>
      </c>
    </row>
    <row r="382" spans="2:6" x14ac:dyDescent="0.25">
      <c r="B382" s="11" t="s">
        <v>1056</v>
      </c>
      <c r="C382" s="3">
        <v>18772.77</v>
      </c>
      <c r="D382" s="3">
        <v>103</v>
      </c>
      <c r="E382" s="3">
        <v>6257.59</v>
      </c>
      <c r="F382" s="3">
        <v>7921</v>
      </c>
    </row>
    <row r="383" spans="2:6" x14ac:dyDescent="0.25">
      <c r="B383" s="9" t="s">
        <v>196</v>
      </c>
      <c r="C383" s="3">
        <v>2059.1999999999998</v>
      </c>
      <c r="D383" s="3">
        <v>127</v>
      </c>
      <c r="E383" s="3">
        <v>2059.1999999999998</v>
      </c>
      <c r="F383" s="3">
        <v>2860</v>
      </c>
    </row>
    <row r="384" spans="2:6" x14ac:dyDescent="0.25">
      <c r="B384" s="11" t="s">
        <v>1056</v>
      </c>
      <c r="C384" s="3">
        <v>2059.1999999999998</v>
      </c>
      <c r="D384" s="3">
        <v>127</v>
      </c>
      <c r="E384" s="3">
        <v>2059.1999999999998</v>
      </c>
      <c r="F384" s="3">
        <v>2860</v>
      </c>
    </row>
    <row r="385" spans="2:6" x14ac:dyDescent="0.25">
      <c r="B385" s="9" t="s">
        <v>197</v>
      </c>
      <c r="C385" s="3">
        <v>1843.43</v>
      </c>
      <c r="D385" s="3">
        <v>153</v>
      </c>
      <c r="E385" s="3">
        <v>1843.43</v>
      </c>
      <c r="F385" s="3">
        <v>2221</v>
      </c>
    </row>
    <row r="386" spans="2:6" x14ac:dyDescent="0.25">
      <c r="B386" s="11" t="s">
        <v>1055</v>
      </c>
      <c r="C386" s="3">
        <v>1843.43</v>
      </c>
      <c r="D386" s="3">
        <v>153</v>
      </c>
      <c r="E386" s="3">
        <v>1843.43</v>
      </c>
      <c r="F386" s="3">
        <v>2221</v>
      </c>
    </row>
    <row r="387" spans="2:6" x14ac:dyDescent="0.25">
      <c r="B387" s="9" t="s">
        <v>198</v>
      </c>
      <c r="C387" s="3">
        <v>4063.5</v>
      </c>
      <c r="D387" s="3">
        <v>90</v>
      </c>
      <c r="E387" s="3">
        <v>1354.5</v>
      </c>
      <c r="F387" s="3">
        <v>1935</v>
      </c>
    </row>
    <row r="388" spans="2:6" x14ac:dyDescent="0.25">
      <c r="B388" s="11" t="s">
        <v>1056</v>
      </c>
      <c r="C388" s="3">
        <v>4063.5</v>
      </c>
      <c r="D388" s="3">
        <v>90</v>
      </c>
      <c r="E388" s="3">
        <v>1354.5</v>
      </c>
      <c r="F388" s="3">
        <v>1935</v>
      </c>
    </row>
    <row r="389" spans="2:6" x14ac:dyDescent="0.25">
      <c r="B389" s="9" t="s">
        <v>199</v>
      </c>
      <c r="C389" s="3">
        <v>3308.2</v>
      </c>
      <c r="D389" s="3">
        <v>58</v>
      </c>
      <c r="E389" s="3">
        <v>3308.2</v>
      </c>
      <c r="F389" s="3">
        <v>4726</v>
      </c>
    </row>
    <row r="390" spans="2:6" x14ac:dyDescent="0.25">
      <c r="B390" s="11" t="s">
        <v>1056</v>
      </c>
      <c r="C390" s="3">
        <v>3308.2</v>
      </c>
      <c r="D390" s="3">
        <v>58</v>
      </c>
      <c r="E390" s="3">
        <v>3308.2</v>
      </c>
      <c r="F390" s="3">
        <v>4726</v>
      </c>
    </row>
    <row r="391" spans="2:6" x14ac:dyDescent="0.25">
      <c r="B391" s="9" t="s">
        <v>200</v>
      </c>
      <c r="C391" s="3">
        <v>7010.8</v>
      </c>
      <c r="D391" s="3">
        <v>109</v>
      </c>
      <c r="E391" s="3">
        <v>3505.4</v>
      </c>
      <c r="F391" s="3">
        <v>5155</v>
      </c>
    </row>
    <row r="392" spans="2:6" x14ac:dyDescent="0.25">
      <c r="B392" s="11" t="s">
        <v>1056</v>
      </c>
      <c r="C392" s="3">
        <v>7010.8</v>
      </c>
      <c r="D392" s="3">
        <v>109</v>
      </c>
      <c r="E392" s="3">
        <v>3505.4</v>
      </c>
      <c r="F392" s="3">
        <v>5155</v>
      </c>
    </row>
    <row r="393" spans="2:6" x14ac:dyDescent="0.25">
      <c r="B393" s="9" t="s">
        <v>201</v>
      </c>
      <c r="C393" s="3">
        <v>12867.48</v>
      </c>
      <c r="D393" s="3">
        <v>167</v>
      </c>
      <c r="E393" s="3">
        <v>6433.74</v>
      </c>
      <c r="F393" s="3">
        <v>6918</v>
      </c>
    </row>
    <row r="394" spans="2:6" x14ac:dyDescent="0.25">
      <c r="B394" s="11" t="s">
        <v>1059</v>
      </c>
      <c r="C394" s="3">
        <v>12867.48</v>
      </c>
      <c r="D394" s="3">
        <v>167</v>
      </c>
      <c r="E394" s="3">
        <v>6433.74</v>
      </c>
      <c r="F394" s="3">
        <v>6918</v>
      </c>
    </row>
    <row r="395" spans="2:6" x14ac:dyDescent="0.25">
      <c r="B395" s="9" t="s">
        <v>202</v>
      </c>
      <c r="C395" s="3">
        <v>2535.12</v>
      </c>
      <c r="D395" s="3">
        <v>79</v>
      </c>
      <c r="E395" s="3">
        <v>2535.12</v>
      </c>
      <c r="F395" s="3">
        <v>3521</v>
      </c>
    </row>
    <row r="396" spans="2:6" x14ac:dyDescent="0.25">
      <c r="B396" s="11" t="s">
        <v>1056</v>
      </c>
      <c r="C396" s="3">
        <v>2535.12</v>
      </c>
      <c r="D396" s="3">
        <v>79</v>
      </c>
      <c r="E396" s="3">
        <v>2535.12</v>
      </c>
      <c r="F396" s="3">
        <v>3521</v>
      </c>
    </row>
    <row r="397" spans="2:6" x14ac:dyDescent="0.25">
      <c r="B397" s="9" t="s">
        <v>203</v>
      </c>
      <c r="C397" s="3">
        <v>12245</v>
      </c>
      <c r="D397" s="3">
        <v>16</v>
      </c>
      <c r="E397" s="3">
        <v>6122.5</v>
      </c>
      <c r="F397" s="3">
        <v>7750</v>
      </c>
    </row>
    <row r="398" spans="2:6" x14ac:dyDescent="0.25">
      <c r="B398" s="11" t="s">
        <v>1056</v>
      </c>
      <c r="C398" s="3">
        <v>12245</v>
      </c>
      <c r="D398" s="3">
        <v>16</v>
      </c>
      <c r="E398" s="3">
        <v>6122.5</v>
      </c>
      <c r="F398" s="3">
        <v>7750</v>
      </c>
    </row>
    <row r="399" spans="2:6" x14ac:dyDescent="0.25">
      <c r="B399" s="9" t="s">
        <v>204</v>
      </c>
      <c r="C399" s="3">
        <v>1049.3</v>
      </c>
      <c r="D399" s="3">
        <v>151</v>
      </c>
      <c r="E399" s="3">
        <v>1049.3</v>
      </c>
      <c r="F399" s="3">
        <v>1499</v>
      </c>
    </row>
    <row r="400" spans="2:6" x14ac:dyDescent="0.25">
      <c r="B400" s="11" t="s">
        <v>1056</v>
      </c>
      <c r="C400" s="3">
        <v>1049.3</v>
      </c>
      <c r="D400" s="3">
        <v>151</v>
      </c>
      <c r="E400" s="3">
        <v>1049.3</v>
      </c>
      <c r="F400" s="3">
        <v>1499</v>
      </c>
    </row>
    <row r="401" spans="2:6" x14ac:dyDescent="0.25">
      <c r="B401" s="9" t="s">
        <v>205</v>
      </c>
      <c r="C401" s="3">
        <v>6100.45</v>
      </c>
      <c r="D401" s="3">
        <v>94</v>
      </c>
      <c r="E401" s="3">
        <v>6100.45</v>
      </c>
      <c r="F401" s="3">
        <v>7177</v>
      </c>
    </row>
    <row r="402" spans="2:6" x14ac:dyDescent="0.25">
      <c r="B402" s="11" t="s">
        <v>1055</v>
      </c>
      <c r="C402" s="3">
        <v>6100.45</v>
      </c>
      <c r="D402" s="3">
        <v>94</v>
      </c>
      <c r="E402" s="3">
        <v>6100.45</v>
      </c>
      <c r="F402" s="3">
        <v>7177</v>
      </c>
    </row>
    <row r="403" spans="2:6" x14ac:dyDescent="0.25">
      <c r="B403" s="9" t="s">
        <v>206</v>
      </c>
      <c r="C403" s="3">
        <v>4824.8</v>
      </c>
      <c r="D403" s="3">
        <v>161</v>
      </c>
      <c r="E403" s="3">
        <v>4824.8</v>
      </c>
      <c r="F403" s="3">
        <v>6520</v>
      </c>
    </row>
    <row r="404" spans="2:6" x14ac:dyDescent="0.25">
      <c r="B404" s="11" t="s">
        <v>1056</v>
      </c>
      <c r="C404" s="3">
        <v>4824.8</v>
      </c>
      <c r="D404" s="3">
        <v>161</v>
      </c>
      <c r="E404" s="3">
        <v>4824.8</v>
      </c>
      <c r="F404" s="3">
        <v>6520</v>
      </c>
    </row>
    <row r="405" spans="2:6" x14ac:dyDescent="0.25">
      <c r="B405" s="9" t="s">
        <v>207</v>
      </c>
      <c r="C405" s="3">
        <v>3598.98</v>
      </c>
      <c r="D405" s="3">
        <v>107</v>
      </c>
      <c r="E405" s="3">
        <v>3598.98</v>
      </c>
      <c r="F405" s="3">
        <v>4674</v>
      </c>
    </row>
    <row r="406" spans="2:6" x14ac:dyDescent="0.25">
      <c r="B406" s="11" t="s">
        <v>1056</v>
      </c>
      <c r="C406" s="3">
        <v>3598.98</v>
      </c>
      <c r="D406" s="3">
        <v>107</v>
      </c>
      <c r="E406" s="3">
        <v>3598.98</v>
      </c>
      <c r="F406" s="3">
        <v>4674</v>
      </c>
    </row>
    <row r="407" spans="2:6" x14ac:dyDescent="0.25">
      <c r="B407" s="9" t="s">
        <v>208</v>
      </c>
      <c r="C407" s="3">
        <v>202.86</v>
      </c>
      <c r="D407" s="3">
        <v>176</v>
      </c>
      <c r="E407" s="3">
        <v>101.43</v>
      </c>
      <c r="F407" s="3">
        <v>147</v>
      </c>
    </row>
    <row r="408" spans="2:6" x14ac:dyDescent="0.25">
      <c r="B408" s="11" t="s">
        <v>1056</v>
      </c>
      <c r="C408" s="3">
        <v>202.86</v>
      </c>
      <c r="D408" s="3">
        <v>176</v>
      </c>
      <c r="E408" s="3">
        <v>101.43</v>
      </c>
      <c r="F408" s="3">
        <v>147</v>
      </c>
    </row>
    <row r="409" spans="2:6" x14ac:dyDescent="0.25">
      <c r="B409" s="9" t="s">
        <v>209</v>
      </c>
      <c r="C409" s="3">
        <v>4731.24</v>
      </c>
      <c r="D409" s="3">
        <v>29</v>
      </c>
      <c r="E409" s="3">
        <v>2365.62</v>
      </c>
      <c r="F409" s="3">
        <v>2658</v>
      </c>
    </row>
    <row r="410" spans="2:6" x14ac:dyDescent="0.25">
      <c r="B410" s="11" t="s">
        <v>1055</v>
      </c>
      <c r="C410" s="3">
        <v>4731.24</v>
      </c>
      <c r="D410" s="3">
        <v>29</v>
      </c>
      <c r="E410" s="3">
        <v>2365.62</v>
      </c>
      <c r="F410" s="3">
        <v>2658</v>
      </c>
    </row>
    <row r="411" spans="2:6" x14ac:dyDescent="0.25">
      <c r="B411" s="9" t="s">
        <v>210</v>
      </c>
      <c r="C411" s="3">
        <v>1619.1</v>
      </c>
      <c r="D411" s="3">
        <v>134</v>
      </c>
      <c r="E411" s="3">
        <v>1619.1</v>
      </c>
      <c r="F411" s="3">
        <v>1799</v>
      </c>
    </row>
    <row r="412" spans="2:6" x14ac:dyDescent="0.25">
      <c r="B412" s="11" t="s">
        <v>1055</v>
      </c>
      <c r="C412" s="3">
        <v>1619.1</v>
      </c>
      <c r="D412" s="3">
        <v>134</v>
      </c>
      <c r="E412" s="3">
        <v>1619.1</v>
      </c>
      <c r="F412" s="3">
        <v>1799</v>
      </c>
    </row>
    <row r="413" spans="2:6" x14ac:dyDescent="0.25">
      <c r="B413" s="9" t="s">
        <v>211</v>
      </c>
      <c r="C413" s="3">
        <v>13828.650000000001</v>
      </c>
      <c r="D413" s="3">
        <v>51</v>
      </c>
      <c r="E413" s="3">
        <v>4609.55</v>
      </c>
      <c r="F413" s="3">
        <v>5423</v>
      </c>
    </row>
    <row r="414" spans="2:6" x14ac:dyDescent="0.25">
      <c r="B414" s="11" t="s">
        <v>1055</v>
      </c>
      <c r="C414" s="3">
        <v>13828.650000000001</v>
      </c>
      <c r="D414" s="3">
        <v>51</v>
      </c>
      <c r="E414" s="3">
        <v>4609.55</v>
      </c>
      <c r="F414" s="3">
        <v>5423</v>
      </c>
    </row>
    <row r="415" spans="2:6" x14ac:dyDescent="0.25">
      <c r="B415" s="9" t="s">
        <v>212</v>
      </c>
      <c r="C415" s="3">
        <v>4555.32</v>
      </c>
      <c r="D415" s="3">
        <v>83</v>
      </c>
      <c r="E415" s="3">
        <v>4555.32</v>
      </c>
      <c r="F415" s="3">
        <v>6902</v>
      </c>
    </row>
    <row r="416" spans="2:6" x14ac:dyDescent="0.25">
      <c r="B416" s="11" t="s">
        <v>1056</v>
      </c>
      <c r="C416" s="3">
        <v>4555.32</v>
      </c>
      <c r="D416" s="3">
        <v>83</v>
      </c>
      <c r="E416" s="3">
        <v>4555.32</v>
      </c>
      <c r="F416" s="3">
        <v>6902</v>
      </c>
    </row>
    <row r="417" spans="2:6" x14ac:dyDescent="0.25">
      <c r="B417" s="9" t="s">
        <v>213</v>
      </c>
      <c r="C417" s="3">
        <v>8331.34</v>
      </c>
      <c r="D417" s="3">
        <v>21</v>
      </c>
      <c r="E417" s="3">
        <v>4165.67</v>
      </c>
      <c r="F417" s="3">
        <v>5273</v>
      </c>
    </row>
    <row r="418" spans="2:6" x14ac:dyDescent="0.25">
      <c r="B418" s="11" t="s">
        <v>1056</v>
      </c>
      <c r="C418" s="3">
        <v>8331.34</v>
      </c>
      <c r="D418" s="3">
        <v>21</v>
      </c>
      <c r="E418" s="3">
        <v>4165.67</v>
      </c>
      <c r="F418" s="3">
        <v>5273</v>
      </c>
    </row>
    <row r="419" spans="2:6" x14ac:dyDescent="0.25">
      <c r="B419" s="9" t="s">
        <v>214</v>
      </c>
      <c r="C419" s="3">
        <v>6077.89</v>
      </c>
      <c r="D419" s="3">
        <v>17</v>
      </c>
      <c r="E419" s="3">
        <v>6077.89</v>
      </c>
      <c r="F419" s="3">
        <v>6679</v>
      </c>
    </row>
    <row r="420" spans="2:6" x14ac:dyDescent="0.25">
      <c r="B420" s="11" t="s">
        <v>1059</v>
      </c>
      <c r="C420" s="3">
        <v>6077.89</v>
      </c>
      <c r="D420" s="3">
        <v>17</v>
      </c>
      <c r="E420" s="3">
        <v>6077.89</v>
      </c>
      <c r="F420" s="3">
        <v>6679</v>
      </c>
    </row>
    <row r="421" spans="2:6" x14ac:dyDescent="0.25">
      <c r="B421" s="9" t="s">
        <v>215</v>
      </c>
      <c r="C421" s="3">
        <v>2526.7800000000002</v>
      </c>
      <c r="D421" s="3">
        <v>148</v>
      </c>
      <c r="E421" s="3">
        <v>1263.3900000000001</v>
      </c>
      <c r="F421" s="3">
        <v>1831</v>
      </c>
    </row>
    <row r="422" spans="2:6" x14ac:dyDescent="0.25">
      <c r="B422" s="11" t="s">
        <v>1056</v>
      </c>
      <c r="C422" s="3">
        <v>2526.7800000000002</v>
      </c>
      <c r="D422" s="3">
        <v>148</v>
      </c>
      <c r="E422" s="3">
        <v>1263.3900000000001</v>
      </c>
      <c r="F422" s="3">
        <v>1831</v>
      </c>
    </row>
    <row r="423" spans="2:6" x14ac:dyDescent="0.25">
      <c r="B423" s="9" t="s">
        <v>216</v>
      </c>
      <c r="C423" s="3">
        <v>11255.7</v>
      </c>
      <c r="D423" s="3">
        <v>68</v>
      </c>
      <c r="E423" s="3">
        <v>3751.9</v>
      </c>
      <c r="F423" s="3">
        <v>4414</v>
      </c>
    </row>
    <row r="424" spans="2:6" x14ac:dyDescent="0.25">
      <c r="B424" s="11" t="s">
        <v>1055</v>
      </c>
      <c r="C424" s="3">
        <v>11255.7</v>
      </c>
      <c r="D424" s="3">
        <v>68</v>
      </c>
      <c r="E424" s="3">
        <v>3751.9</v>
      </c>
      <c r="F424" s="3">
        <v>4414</v>
      </c>
    </row>
    <row r="425" spans="2:6" x14ac:dyDescent="0.25">
      <c r="B425" s="9" t="s">
        <v>217</v>
      </c>
      <c r="C425" s="3">
        <v>4516.75</v>
      </c>
      <c r="D425" s="3">
        <v>198</v>
      </c>
      <c r="E425" s="3">
        <v>4516.75</v>
      </c>
      <c r="F425" s="3">
        <v>5075</v>
      </c>
    </row>
    <row r="426" spans="2:6" x14ac:dyDescent="0.25">
      <c r="B426" s="11" t="s">
        <v>1055</v>
      </c>
      <c r="C426" s="3">
        <v>4516.75</v>
      </c>
      <c r="D426" s="3">
        <v>198</v>
      </c>
      <c r="E426" s="3">
        <v>4516.75</v>
      </c>
      <c r="F426" s="3">
        <v>5075</v>
      </c>
    </row>
    <row r="427" spans="2:6" x14ac:dyDescent="0.25">
      <c r="B427" s="9" t="s">
        <v>218</v>
      </c>
      <c r="C427" s="3">
        <v>7567.04</v>
      </c>
      <c r="D427" s="3">
        <v>140</v>
      </c>
      <c r="E427" s="3">
        <v>3783.52</v>
      </c>
      <c r="F427" s="3">
        <v>5564</v>
      </c>
    </row>
    <row r="428" spans="2:6" x14ac:dyDescent="0.25">
      <c r="B428" s="11" t="s">
        <v>1056</v>
      </c>
      <c r="C428" s="3">
        <v>7567.04</v>
      </c>
      <c r="D428" s="3">
        <v>140</v>
      </c>
      <c r="E428" s="3">
        <v>3783.52</v>
      </c>
      <c r="F428" s="3">
        <v>5564</v>
      </c>
    </row>
    <row r="429" spans="2:6" x14ac:dyDescent="0.25">
      <c r="B429" s="9" t="s">
        <v>219</v>
      </c>
      <c r="C429" s="3">
        <v>6739.6500000000005</v>
      </c>
      <c r="D429" s="3">
        <v>67</v>
      </c>
      <c r="E429" s="3">
        <v>2246.5500000000002</v>
      </c>
      <c r="F429" s="3">
        <v>2643</v>
      </c>
    </row>
    <row r="430" spans="2:6" x14ac:dyDescent="0.25">
      <c r="B430" s="11" t="s">
        <v>1055</v>
      </c>
      <c r="C430" s="3">
        <v>6739.6500000000005</v>
      </c>
      <c r="D430" s="3">
        <v>67</v>
      </c>
      <c r="E430" s="3">
        <v>2246.5500000000002</v>
      </c>
      <c r="F430" s="3">
        <v>2643</v>
      </c>
    </row>
    <row r="431" spans="2:6" x14ac:dyDescent="0.25">
      <c r="B431" s="9" t="s">
        <v>220</v>
      </c>
      <c r="C431" s="3">
        <v>1842.4</v>
      </c>
      <c r="D431" s="3">
        <v>171</v>
      </c>
      <c r="E431" s="3">
        <v>921.2</v>
      </c>
      <c r="F431" s="3">
        <v>980</v>
      </c>
    </row>
    <row r="432" spans="2:6" x14ac:dyDescent="0.25">
      <c r="B432" s="11" t="s">
        <v>1059</v>
      </c>
      <c r="C432" s="3">
        <v>1842.4</v>
      </c>
      <c r="D432" s="3">
        <v>171</v>
      </c>
      <c r="E432" s="3">
        <v>921.2</v>
      </c>
      <c r="F432" s="3">
        <v>980</v>
      </c>
    </row>
    <row r="433" spans="2:6" x14ac:dyDescent="0.25">
      <c r="B433" s="9" t="s">
        <v>221</v>
      </c>
      <c r="C433" s="3">
        <v>8671.6</v>
      </c>
      <c r="D433" s="3">
        <v>76</v>
      </c>
      <c r="E433" s="3">
        <v>4335.8</v>
      </c>
      <c r="F433" s="3">
        <v>6194</v>
      </c>
    </row>
    <row r="434" spans="2:6" x14ac:dyDescent="0.25">
      <c r="B434" s="11" t="s">
        <v>1056</v>
      </c>
      <c r="C434" s="3">
        <v>8671.6</v>
      </c>
      <c r="D434" s="3">
        <v>76</v>
      </c>
      <c r="E434" s="3">
        <v>4335.8</v>
      </c>
      <c r="F434" s="3">
        <v>6194</v>
      </c>
    </row>
    <row r="435" spans="2:6" x14ac:dyDescent="0.25">
      <c r="B435" s="9" t="s">
        <v>222</v>
      </c>
      <c r="C435" s="3">
        <v>2245.5</v>
      </c>
      <c r="D435" s="3">
        <v>154</v>
      </c>
      <c r="E435" s="3">
        <v>748.5</v>
      </c>
      <c r="F435" s="3">
        <v>998</v>
      </c>
    </row>
    <row r="436" spans="2:6" x14ac:dyDescent="0.25">
      <c r="B436" s="11" t="s">
        <v>1056</v>
      </c>
      <c r="C436" s="3">
        <v>2245.5</v>
      </c>
      <c r="D436" s="3">
        <v>154</v>
      </c>
      <c r="E436" s="3">
        <v>748.5</v>
      </c>
      <c r="F436" s="3">
        <v>998</v>
      </c>
    </row>
    <row r="437" spans="2:6" x14ac:dyDescent="0.25">
      <c r="B437" s="9" t="s">
        <v>223</v>
      </c>
      <c r="C437" s="3">
        <v>14189.2</v>
      </c>
      <c r="D437" s="3">
        <v>107</v>
      </c>
      <c r="E437" s="3">
        <v>7094.6</v>
      </c>
      <c r="F437" s="3">
        <v>7468</v>
      </c>
    </row>
    <row r="438" spans="2:6" x14ac:dyDescent="0.25">
      <c r="B438" s="11" t="s">
        <v>1059</v>
      </c>
      <c r="C438" s="3">
        <v>14189.2</v>
      </c>
      <c r="D438" s="3">
        <v>107</v>
      </c>
      <c r="E438" s="3">
        <v>7094.6</v>
      </c>
      <c r="F438" s="3">
        <v>7468</v>
      </c>
    </row>
    <row r="439" spans="2:6" x14ac:dyDescent="0.25">
      <c r="B439" s="9" t="s">
        <v>224</v>
      </c>
      <c r="C439" s="3">
        <v>11393.28</v>
      </c>
      <c r="D439" s="3">
        <v>34</v>
      </c>
      <c r="E439" s="3">
        <v>5696.64</v>
      </c>
      <c r="F439" s="3">
        <v>6192</v>
      </c>
    </row>
    <row r="440" spans="2:6" x14ac:dyDescent="0.25">
      <c r="B440" s="11" t="s">
        <v>1059</v>
      </c>
      <c r="C440" s="3">
        <v>11393.28</v>
      </c>
      <c r="D440" s="3">
        <v>34</v>
      </c>
      <c r="E440" s="3">
        <v>5696.64</v>
      </c>
      <c r="F440" s="3">
        <v>6192</v>
      </c>
    </row>
    <row r="441" spans="2:6" x14ac:dyDescent="0.25">
      <c r="B441" s="9" t="s">
        <v>225</v>
      </c>
      <c r="C441" s="3">
        <v>3327.7799999999997</v>
      </c>
      <c r="D441" s="3">
        <v>182</v>
      </c>
      <c r="E441" s="3">
        <v>1109.26</v>
      </c>
      <c r="F441" s="3">
        <v>1499</v>
      </c>
    </row>
    <row r="442" spans="2:6" x14ac:dyDescent="0.25">
      <c r="B442" s="11" t="s">
        <v>1056</v>
      </c>
      <c r="C442" s="3">
        <v>3327.7799999999997</v>
      </c>
      <c r="D442" s="3">
        <v>182</v>
      </c>
      <c r="E442" s="3">
        <v>1109.26</v>
      </c>
      <c r="F442" s="3">
        <v>1499</v>
      </c>
    </row>
    <row r="443" spans="2:6" x14ac:dyDescent="0.25">
      <c r="B443" s="9" t="s">
        <v>226</v>
      </c>
      <c r="C443" s="3">
        <v>2492.8000000000002</v>
      </c>
      <c r="D443" s="3">
        <v>190</v>
      </c>
      <c r="E443" s="3">
        <v>2492.8000000000002</v>
      </c>
      <c r="F443" s="3">
        <v>3040</v>
      </c>
    </row>
    <row r="444" spans="2:6" x14ac:dyDescent="0.25">
      <c r="B444" s="11" t="s">
        <v>1055</v>
      </c>
      <c r="C444" s="3">
        <v>2492.8000000000002</v>
      </c>
      <c r="D444" s="3">
        <v>190</v>
      </c>
      <c r="E444" s="3">
        <v>2492.8000000000002</v>
      </c>
      <c r="F444" s="3">
        <v>3040</v>
      </c>
    </row>
    <row r="445" spans="2:6" x14ac:dyDescent="0.25">
      <c r="B445" s="9" t="s">
        <v>227</v>
      </c>
      <c r="C445" s="3">
        <v>8794.7999999999993</v>
      </c>
      <c r="D445" s="3">
        <v>196</v>
      </c>
      <c r="E445" s="3">
        <v>4397.3999999999996</v>
      </c>
      <c r="F445" s="3">
        <v>6282</v>
      </c>
    </row>
    <row r="446" spans="2:6" x14ac:dyDescent="0.25">
      <c r="B446" s="11" t="s">
        <v>1056</v>
      </c>
      <c r="C446" s="3">
        <v>8794.7999999999993</v>
      </c>
      <c r="D446" s="3">
        <v>196</v>
      </c>
      <c r="E446" s="3">
        <v>4397.3999999999996</v>
      </c>
      <c r="F446" s="3">
        <v>6282</v>
      </c>
    </row>
    <row r="447" spans="2:6" x14ac:dyDescent="0.25">
      <c r="B447" s="9" t="s">
        <v>228</v>
      </c>
      <c r="C447" s="3">
        <v>18142.739999999998</v>
      </c>
      <c r="D447" s="3">
        <v>136</v>
      </c>
      <c r="E447" s="3">
        <v>6047.58</v>
      </c>
      <c r="F447" s="3">
        <v>7854</v>
      </c>
    </row>
    <row r="448" spans="2:6" x14ac:dyDescent="0.25">
      <c r="B448" s="11" t="s">
        <v>1056</v>
      </c>
      <c r="C448" s="3">
        <v>18142.739999999998</v>
      </c>
      <c r="D448" s="3">
        <v>136</v>
      </c>
      <c r="E448" s="3">
        <v>6047.58</v>
      </c>
      <c r="F448" s="3">
        <v>7854</v>
      </c>
    </row>
    <row r="449" spans="2:6" x14ac:dyDescent="0.25">
      <c r="B449" s="9" t="s">
        <v>229</v>
      </c>
      <c r="C449" s="3">
        <v>538.20000000000005</v>
      </c>
      <c r="D449" s="3">
        <v>158</v>
      </c>
      <c r="E449" s="3">
        <v>538.20000000000005</v>
      </c>
      <c r="F449" s="3">
        <v>828</v>
      </c>
    </row>
    <row r="450" spans="2:6" x14ac:dyDescent="0.25">
      <c r="B450" s="11" t="s">
        <v>1056</v>
      </c>
      <c r="C450" s="3">
        <v>538.20000000000005</v>
      </c>
      <c r="D450" s="3">
        <v>158</v>
      </c>
      <c r="E450" s="3">
        <v>538.20000000000005</v>
      </c>
      <c r="F450" s="3">
        <v>828</v>
      </c>
    </row>
    <row r="451" spans="2:6" x14ac:dyDescent="0.25">
      <c r="B451" s="9" t="s">
        <v>230</v>
      </c>
      <c r="C451" s="3">
        <v>3352.04</v>
      </c>
      <c r="D451" s="3">
        <v>74</v>
      </c>
      <c r="E451" s="3">
        <v>3352.04</v>
      </c>
      <c r="F451" s="3">
        <v>3566</v>
      </c>
    </row>
    <row r="452" spans="2:6" x14ac:dyDescent="0.25">
      <c r="B452" s="11" t="s">
        <v>1059</v>
      </c>
      <c r="C452" s="3">
        <v>3352.04</v>
      </c>
      <c r="D452" s="3">
        <v>74</v>
      </c>
      <c r="E452" s="3">
        <v>3352.04</v>
      </c>
      <c r="F452" s="3">
        <v>3566</v>
      </c>
    </row>
    <row r="453" spans="2:6" x14ac:dyDescent="0.25">
      <c r="B453" s="9" t="s">
        <v>231</v>
      </c>
      <c r="C453" s="3">
        <v>5732.1</v>
      </c>
      <c r="D453" s="3">
        <v>30</v>
      </c>
      <c r="E453" s="3">
        <v>1910.7</v>
      </c>
      <c r="F453" s="3">
        <v>2123</v>
      </c>
    </row>
    <row r="454" spans="2:6" x14ac:dyDescent="0.25">
      <c r="B454" s="11" t="s">
        <v>1055</v>
      </c>
      <c r="C454" s="3">
        <v>5732.1</v>
      </c>
      <c r="D454" s="3">
        <v>30</v>
      </c>
      <c r="E454" s="3">
        <v>1910.7</v>
      </c>
      <c r="F454" s="3">
        <v>2123</v>
      </c>
    </row>
    <row r="455" spans="2:6" x14ac:dyDescent="0.25">
      <c r="B455" s="9" t="s">
        <v>232</v>
      </c>
      <c r="C455" s="3">
        <v>11850.08</v>
      </c>
      <c r="D455" s="3">
        <v>76</v>
      </c>
      <c r="E455" s="3">
        <v>5925.04</v>
      </c>
      <c r="F455" s="3">
        <v>6733</v>
      </c>
    </row>
    <row r="456" spans="2:6" x14ac:dyDescent="0.25">
      <c r="B456" s="11" t="s">
        <v>1055</v>
      </c>
      <c r="C456" s="3">
        <v>11850.08</v>
      </c>
      <c r="D456" s="3">
        <v>76</v>
      </c>
      <c r="E456" s="3">
        <v>5925.04</v>
      </c>
      <c r="F456" s="3">
        <v>6733</v>
      </c>
    </row>
    <row r="457" spans="2:6" x14ac:dyDescent="0.25">
      <c r="B457" s="9" t="s">
        <v>233</v>
      </c>
      <c r="C457" s="3">
        <v>3771.15</v>
      </c>
      <c r="D457" s="3">
        <v>154</v>
      </c>
      <c r="E457" s="3">
        <v>3771.15</v>
      </c>
      <c r="F457" s="3">
        <v>4055</v>
      </c>
    </row>
    <row r="458" spans="2:6" x14ac:dyDescent="0.25">
      <c r="B458" s="11" t="s">
        <v>1059</v>
      </c>
      <c r="C458" s="3">
        <v>3771.15</v>
      </c>
      <c r="D458" s="3">
        <v>154</v>
      </c>
      <c r="E458" s="3">
        <v>3771.15</v>
      </c>
      <c r="F458" s="3">
        <v>4055</v>
      </c>
    </row>
    <row r="459" spans="2:6" x14ac:dyDescent="0.25">
      <c r="B459" s="9" t="s">
        <v>234</v>
      </c>
      <c r="C459" s="3">
        <v>7796.2</v>
      </c>
      <c r="D459" s="3">
        <v>177</v>
      </c>
      <c r="E459" s="3">
        <v>3898.1</v>
      </c>
      <c r="F459" s="3">
        <v>4586</v>
      </c>
    </row>
    <row r="460" spans="2:6" x14ac:dyDescent="0.25">
      <c r="B460" s="11" t="s">
        <v>1055</v>
      </c>
      <c r="C460" s="3">
        <v>7796.2</v>
      </c>
      <c r="D460" s="3">
        <v>177</v>
      </c>
      <c r="E460" s="3">
        <v>3898.1</v>
      </c>
      <c r="F460" s="3">
        <v>4586</v>
      </c>
    </row>
    <row r="461" spans="2:6" x14ac:dyDescent="0.25">
      <c r="B461" s="9" t="s">
        <v>235</v>
      </c>
      <c r="C461" s="3">
        <v>4422.88</v>
      </c>
      <c r="D461" s="3">
        <v>133</v>
      </c>
      <c r="E461" s="3">
        <v>4422.88</v>
      </c>
      <c r="F461" s="3">
        <v>5026</v>
      </c>
    </row>
    <row r="462" spans="2:6" x14ac:dyDescent="0.25">
      <c r="B462" s="11" t="s">
        <v>1055</v>
      </c>
      <c r="C462" s="3">
        <v>4422.88</v>
      </c>
      <c r="D462" s="3">
        <v>133</v>
      </c>
      <c r="E462" s="3">
        <v>4422.88</v>
      </c>
      <c r="F462" s="3">
        <v>5026</v>
      </c>
    </row>
    <row r="463" spans="2:6" x14ac:dyDescent="0.25">
      <c r="B463" s="9" t="s">
        <v>236</v>
      </c>
      <c r="C463" s="3">
        <v>2156.73</v>
      </c>
      <c r="D463" s="3">
        <v>58</v>
      </c>
      <c r="E463" s="3">
        <v>2156.73</v>
      </c>
      <c r="F463" s="3">
        <v>2479</v>
      </c>
    </row>
    <row r="464" spans="2:6" x14ac:dyDescent="0.25">
      <c r="B464" s="11" t="s">
        <v>1055</v>
      </c>
      <c r="C464" s="3">
        <v>2156.73</v>
      </c>
      <c r="D464" s="3">
        <v>58</v>
      </c>
      <c r="E464" s="3">
        <v>2156.73</v>
      </c>
      <c r="F464" s="3">
        <v>2479</v>
      </c>
    </row>
    <row r="465" spans="2:6" x14ac:dyDescent="0.25">
      <c r="B465" s="9" t="s">
        <v>237</v>
      </c>
      <c r="C465" s="3">
        <v>3406.5</v>
      </c>
      <c r="D465" s="3">
        <v>148</v>
      </c>
      <c r="E465" s="3">
        <v>3406.5</v>
      </c>
      <c r="F465" s="3">
        <v>4542</v>
      </c>
    </row>
    <row r="466" spans="2:6" x14ac:dyDescent="0.25">
      <c r="B466" s="11" t="s">
        <v>1056</v>
      </c>
      <c r="C466" s="3">
        <v>3406.5</v>
      </c>
      <c r="D466" s="3">
        <v>148</v>
      </c>
      <c r="E466" s="3">
        <v>3406.5</v>
      </c>
      <c r="F466" s="3">
        <v>4542</v>
      </c>
    </row>
    <row r="467" spans="2:6" x14ac:dyDescent="0.25">
      <c r="B467" s="9" t="s">
        <v>238</v>
      </c>
      <c r="C467" s="3">
        <v>3450.75</v>
      </c>
      <c r="D467" s="3">
        <v>198</v>
      </c>
      <c r="E467" s="3">
        <v>3450.75</v>
      </c>
      <c r="F467" s="3">
        <v>4601</v>
      </c>
    </row>
    <row r="468" spans="2:6" x14ac:dyDescent="0.25">
      <c r="B468" s="11" t="s">
        <v>1056</v>
      </c>
      <c r="C468" s="3">
        <v>3450.75</v>
      </c>
      <c r="D468" s="3">
        <v>198</v>
      </c>
      <c r="E468" s="3">
        <v>3450.75</v>
      </c>
      <c r="F468" s="3">
        <v>4601</v>
      </c>
    </row>
    <row r="469" spans="2:6" x14ac:dyDescent="0.25">
      <c r="B469" s="9" t="s">
        <v>239</v>
      </c>
      <c r="C469" s="3">
        <v>12071.28</v>
      </c>
      <c r="D469" s="3">
        <v>186</v>
      </c>
      <c r="E469" s="3">
        <v>4023.76</v>
      </c>
      <c r="F469" s="3">
        <v>5512</v>
      </c>
    </row>
    <row r="470" spans="2:6" x14ac:dyDescent="0.25">
      <c r="B470" s="11" t="s">
        <v>1056</v>
      </c>
      <c r="C470" s="3">
        <v>12071.28</v>
      </c>
      <c r="D470" s="3">
        <v>186</v>
      </c>
      <c r="E470" s="3">
        <v>4023.76</v>
      </c>
      <c r="F470" s="3">
        <v>5512</v>
      </c>
    </row>
    <row r="471" spans="2:6" x14ac:dyDescent="0.25">
      <c r="B471" s="9" t="s">
        <v>240</v>
      </c>
      <c r="C471" s="3">
        <v>6076.98</v>
      </c>
      <c r="D471" s="3">
        <v>93</v>
      </c>
      <c r="E471" s="3">
        <v>6076.98</v>
      </c>
      <c r="F471" s="3">
        <v>6678</v>
      </c>
    </row>
    <row r="472" spans="2:6" x14ac:dyDescent="0.25">
      <c r="B472" s="11" t="s">
        <v>1059</v>
      </c>
      <c r="C472" s="3">
        <v>6076.98</v>
      </c>
      <c r="D472" s="3">
        <v>93</v>
      </c>
      <c r="E472" s="3">
        <v>6076.98</v>
      </c>
      <c r="F472" s="3">
        <v>6678</v>
      </c>
    </row>
    <row r="473" spans="2:6" x14ac:dyDescent="0.25">
      <c r="B473" s="9" t="s">
        <v>241</v>
      </c>
      <c r="C473" s="3">
        <v>2938.5</v>
      </c>
      <c r="D473" s="3">
        <v>84</v>
      </c>
      <c r="E473" s="3">
        <v>2938.5</v>
      </c>
      <c r="F473" s="3">
        <v>3918</v>
      </c>
    </row>
    <row r="474" spans="2:6" x14ac:dyDescent="0.25">
      <c r="B474" s="11" t="s">
        <v>1056</v>
      </c>
      <c r="C474" s="3">
        <v>2938.5</v>
      </c>
      <c r="D474" s="3">
        <v>84</v>
      </c>
      <c r="E474" s="3">
        <v>2938.5</v>
      </c>
      <c r="F474" s="3">
        <v>3918</v>
      </c>
    </row>
    <row r="475" spans="2:6" x14ac:dyDescent="0.25">
      <c r="B475" s="9" t="s">
        <v>242</v>
      </c>
      <c r="C475" s="3">
        <v>598.6</v>
      </c>
      <c r="D475" s="3">
        <v>11</v>
      </c>
      <c r="E475" s="3">
        <v>598.6</v>
      </c>
      <c r="F475" s="3">
        <v>820</v>
      </c>
    </row>
    <row r="476" spans="2:6" x14ac:dyDescent="0.25">
      <c r="B476" s="11" t="s">
        <v>1056</v>
      </c>
      <c r="C476" s="3">
        <v>598.6</v>
      </c>
      <c r="D476" s="3">
        <v>11</v>
      </c>
      <c r="E476" s="3">
        <v>598.6</v>
      </c>
      <c r="F476" s="3">
        <v>820</v>
      </c>
    </row>
    <row r="477" spans="2:6" x14ac:dyDescent="0.25">
      <c r="B477" s="9" t="s">
        <v>243</v>
      </c>
      <c r="C477" s="3">
        <v>1865.6</v>
      </c>
      <c r="D477" s="3">
        <v>110</v>
      </c>
      <c r="E477" s="3">
        <v>1865.6</v>
      </c>
      <c r="F477" s="3">
        <v>2332</v>
      </c>
    </row>
    <row r="478" spans="2:6" x14ac:dyDescent="0.25">
      <c r="B478" s="11" t="s">
        <v>1056</v>
      </c>
      <c r="C478" s="3">
        <v>1865.6</v>
      </c>
      <c r="D478" s="3">
        <v>110</v>
      </c>
      <c r="E478" s="3">
        <v>1865.6</v>
      </c>
      <c r="F478" s="3">
        <v>2332</v>
      </c>
    </row>
    <row r="479" spans="2:6" x14ac:dyDescent="0.25">
      <c r="B479" s="9" t="s">
        <v>244</v>
      </c>
      <c r="C479" s="3">
        <v>4653.8099999999995</v>
      </c>
      <c r="D479" s="3">
        <v>173</v>
      </c>
      <c r="E479" s="3">
        <v>1551.27</v>
      </c>
      <c r="F479" s="3">
        <v>1869</v>
      </c>
    </row>
    <row r="480" spans="2:6" x14ac:dyDescent="0.25">
      <c r="B480" s="11" t="s">
        <v>1055</v>
      </c>
      <c r="C480" s="3">
        <v>4653.8099999999995</v>
      </c>
      <c r="D480" s="3">
        <v>173</v>
      </c>
      <c r="E480" s="3">
        <v>1551.27</v>
      </c>
      <c r="F480" s="3">
        <v>1869</v>
      </c>
    </row>
    <row r="481" spans="2:6" x14ac:dyDescent="0.25">
      <c r="B481" s="9" t="s">
        <v>245</v>
      </c>
      <c r="C481" s="3">
        <v>4828.1099999999997</v>
      </c>
      <c r="D481" s="3">
        <v>181</v>
      </c>
      <c r="E481" s="3">
        <v>1609.37</v>
      </c>
      <c r="F481" s="3">
        <v>1939</v>
      </c>
    </row>
    <row r="482" spans="2:6" x14ac:dyDescent="0.25">
      <c r="B482" s="11" t="s">
        <v>1055</v>
      </c>
      <c r="C482" s="3">
        <v>4828.1099999999997</v>
      </c>
      <c r="D482" s="3">
        <v>181</v>
      </c>
      <c r="E482" s="3">
        <v>1609.37</v>
      </c>
      <c r="F482" s="3">
        <v>1939</v>
      </c>
    </row>
    <row r="483" spans="2:6" x14ac:dyDescent="0.25">
      <c r="B483" s="9" t="s">
        <v>246</v>
      </c>
      <c r="C483" s="3">
        <v>1762.68</v>
      </c>
      <c r="D483" s="3">
        <v>176</v>
      </c>
      <c r="E483" s="3">
        <v>881.34</v>
      </c>
      <c r="F483" s="3">
        <v>1191</v>
      </c>
    </row>
    <row r="484" spans="2:6" x14ac:dyDescent="0.25">
      <c r="B484" s="11" t="s">
        <v>1056</v>
      </c>
      <c r="C484" s="3">
        <v>1762.68</v>
      </c>
      <c r="D484" s="3">
        <v>176</v>
      </c>
      <c r="E484" s="3">
        <v>881.34</v>
      </c>
      <c r="F484" s="3">
        <v>1191</v>
      </c>
    </row>
    <row r="485" spans="2:6" x14ac:dyDescent="0.25">
      <c r="B485" s="9" t="s">
        <v>247</v>
      </c>
      <c r="C485" s="3">
        <v>16795.920000000002</v>
      </c>
      <c r="D485" s="3">
        <v>172</v>
      </c>
      <c r="E485" s="3">
        <v>5598.64</v>
      </c>
      <c r="F485" s="3">
        <v>5956</v>
      </c>
    </row>
    <row r="486" spans="2:6" x14ac:dyDescent="0.25">
      <c r="B486" s="11" t="s">
        <v>1059</v>
      </c>
      <c r="C486" s="3">
        <v>16795.920000000002</v>
      </c>
      <c r="D486" s="3">
        <v>172</v>
      </c>
      <c r="E486" s="3">
        <v>5598.64</v>
      </c>
      <c r="F486" s="3">
        <v>5956</v>
      </c>
    </row>
    <row r="487" spans="2:6" x14ac:dyDescent="0.25">
      <c r="B487" s="9" t="s">
        <v>248</v>
      </c>
      <c r="C487" s="3">
        <v>10298.44</v>
      </c>
      <c r="D487" s="3">
        <v>193</v>
      </c>
      <c r="E487" s="3">
        <v>5149.22</v>
      </c>
      <c r="F487" s="3">
        <v>6518</v>
      </c>
    </row>
    <row r="488" spans="2:6" x14ac:dyDescent="0.25">
      <c r="B488" s="11" t="s">
        <v>1056</v>
      </c>
      <c r="C488" s="3">
        <v>10298.44</v>
      </c>
      <c r="D488" s="3">
        <v>193</v>
      </c>
      <c r="E488" s="3">
        <v>5149.22</v>
      </c>
      <c r="F488" s="3">
        <v>6518</v>
      </c>
    </row>
    <row r="489" spans="2:6" x14ac:dyDescent="0.25">
      <c r="B489" s="9" t="s">
        <v>249</v>
      </c>
      <c r="C489" s="3">
        <v>5544</v>
      </c>
      <c r="D489" s="3">
        <v>13</v>
      </c>
      <c r="E489" s="3">
        <v>2772</v>
      </c>
      <c r="F489" s="3">
        <v>3465</v>
      </c>
    </row>
    <row r="490" spans="2:6" x14ac:dyDescent="0.25">
      <c r="B490" s="11" t="s">
        <v>1056</v>
      </c>
      <c r="C490" s="3">
        <v>5544</v>
      </c>
      <c r="D490" s="3">
        <v>13</v>
      </c>
      <c r="E490" s="3">
        <v>2772</v>
      </c>
      <c r="F490" s="3">
        <v>3465</v>
      </c>
    </row>
    <row r="491" spans="2:6" x14ac:dyDescent="0.25">
      <c r="B491" s="9" t="s">
        <v>250</v>
      </c>
      <c r="C491" s="3">
        <v>5117.58</v>
      </c>
      <c r="D491" s="3">
        <v>131</v>
      </c>
      <c r="E491" s="3">
        <v>5117.58</v>
      </c>
      <c r="F491" s="3">
        <v>6318</v>
      </c>
    </row>
    <row r="492" spans="2:6" x14ac:dyDescent="0.25">
      <c r="B492" s="11" t="s">
        <v>1055</v>
      </c>
      <c r="C492" s="3">
        <v>5117.58</v>
      </c>
      <c r="D492" s="3">
        <v>131</v>
      </c>
      <c r="E492" s="3">
        <v>5117.58</v>
      </c>
      <c r="F492" s="3">
        <v>6318</v>
      </c>
    </row>
    <row r="493" spans="2:6" x14ac:dyDescent="0.25">
      <c r="B493" s="9" t="s">
        <v>251</v>
      </c>
      <c r="C493" s="3">
        <v>14667.93</v>
      </c>
      <c r="D493" s="3">
        <v>68</v>
      </c>
      <c r="E493" s="3">
        <v>4889.3100000000004</v>
      </c>
      <c r="F493" s="3">
        <v>6189</v>
      </c>
    </row>
    <row r="494" spans="2:6" x14ac:dyDescent="0.25">
      <c r="B494" s="11" t="s">
        <v>1056</v>
      </c>
      <c r="C494" s="3">
        <v>14667.93</v>
      </c>
      <c r="D494" s="3">
        <v>68</v>
      </c>
      <c r="E494" s="3">
        <v>4889.3100000000004</v>
      </c>
      <c r="F494" s="3">
        <v>6189</v>
      </c>
    </row>
    <row r="495" spans="2:6" x14ac:dyDescent="0.25">
      <c r="B495" s="9" t="s">
        <v>252</v>
      </c>
      <c r="C495" s="3">
        <v>7481.7000000000007</v>
      </c>
      <c r="D495" s="3">
        <v>96</v>
      </c>
      <c r="E495" s="3">
        <v>2493.9</v>
      </c>
      <c r="F495" s="3">
        <v>2771</v>
      </c>
    </row>
    <row r="496" spans="2:6" x14ac:dyDescent="0.25">
      <c r="B496" s="11" t="s">
        <v>1055</v>
      </c>
      <c r="C496" s="3">
        <v>7481.7000000000007</v>
      </c>
      <c r="D496" s="3">
        <v>96</v>
      </c>
      <c r="E496" s="3">
        <v>2493.9</v>
      </c>
      <c r="F496" s="3">
        <v>2771</v>
      </c>
    </row>
    <row r="497" spans="2:6" x14ac:dyDescent="0.25">
      <c r="B497" s="9" t="s">
        <v>253</v>
      </c>
      <c r="C497" s="3">
        <v>1127.52</v>
      </c>
      <c r="D497" s="3">
        <v>112</v>
      </c>
      <c r="E497" s="3">
        <v>375.84</v>
      </c>
      <c r="F497" s="3">
        <v>432</v>
      </c>
    </row>
    <row r="498" spans="2:6" x14ac:dyDescent="0.25">
      <c r="B498" s="11" t="s">
        <v>1055</v>
      </c>
      <c r="C498" s="3">
        <v>1127.52</v>
      </c>
      <c r="D498" s="3">
        <v>112</v>
      </c>
      <c r="E498" s="3">
        <v>375.84</v>
      </c>
      <c r="F498" s="3">
        <v>432</v>
      </c>
    </row>
    <row r="499" spans="2:6" x14ac:dyDescent="0.25">
      <c r="B499" s="9" t="s">
        <v>254</v>
      </c>
      <c r="C499" s="3">
        <v>8534.06</v>
      </c>
      <c r="D499" s="3">
        <v>91</v>
      </c>
      <c r="E499" s="3">
        <v>4267.03</v>
      </c>
      <c r="F499" s="3">
        <v>5141</v>
      </c>
    </row>
    <row r="500" spans="2:6" x14ac:dyDescent="0.25">
      <c r="B500" s="11" t="s">
        <v>1055</v>
      </c>
      <c r="C500" s="3">
        <v>8534.06</v>
      </c>
      <c r="D500" s="3">
        <v>91</v>
      </c>
      <c r="E500" s="3">
        <v>4267.03</v>
      </c>
      <c r="F500" s="3">
        <v>5141</v>
      </c>
    </row>
    <row r="501" spans="2:6" x14ac:dyDescent="0.25">
      <c r="B501" s="9" t="s">
        <v>255</v>
      </c>
      <c r="C501" s="3">
        <v>16305.300000000001</v>
      </c>
      <c r="D501" s="3">
        <v>156</v>
      </c>
      <c r="E501" s="3">
        <v>5435.1</v>
      </c>
      <c r="F501" s="3">
        <v>6710</v>
      </c>
    </row>
    <row r="502" spans="2:6" x14ac:dyDescent="0.25">
      <c r="B502" s="11" t="s">
        <v>1055</v>
      </c>
      <c r="C502" s="3">
        <v>16305.300000000001</v>
      </c>
      <c r="D502" s="3">
        <v>156</v>
      </c>
      <c r="E502" s="3">
        <v>5435.1</v>
      </c>
      <c r="F502" s="3">
        <v>6710</v>
      </c>
    </row>
    <row r="503" spans="2:6" x14ac:dyDescent="0.25">
      <c r="B503" s="9" t="s">
        <v>256</v>
      </c>
      <c r="C503" s="3">
        <v>2132.13</v>
      </c>
      <c r="D503" s="3">
        <v>14</v>
      </c>
      <c r="E503" s="3">
        <v>2132.13</v>
      </c>
      <c r="F503" s="3">
        <v>2343</v>
      </c>
    </row>
    <row r="504" spans="2:6" x14ac:dyDescent="0.25">
      <c r="B504" s="11" t="s">
        <v>1059</v>
      </c>
      <c r="C504" s="3">
        <v>2132.13</v>
      </c>
      <c r="D504" s="3">
        <v>14</v>
      </c>
      <c r="E504" s="3">
        <v>2132.13</v>
      </c>
      <c r="F504" s="3">
        <v>2343</v>
      </c>
    </row>
    <row r="505" spans="2:6" x14ac:dyDescent="0.25">
      <c r="B505" s="9" t="s">
        <v>257</v>
      </c>
      <c r="C505" s="3">
        <v>20757.96</v>
      </c>
      <c r="D505" s="3">
        <v>79</v>
      </c>
      <c r="E505" s="3">
        <v>6919.32</v>
      </c>
      <c r="F505" s="3">
        <v>7521</v>
      </c>
    </row>
    <row r="506" spans="2:6" x14ac:dyDescent="0.25">
      <c r="B506" s="11" t="s">
        <v>1059</v>
      </c>
      <c r="C506" s="3">
        <v>20757.96</v>
      </c>
      <c r="D506" s="3">
        <v>79</v>
      </c>
      <c r="E506" s="3">
        <v>6919.32</v>
      </c>
      <c r="F506" s="3">
        <v>7521</v>
      </c>
    </row>
    <row r="507" spans="2:6" x14ac:dyDescent="0.25">
      <c r="B507" s="9" t="s">
        <v>258</v>
      </c>
      <c r="C507" s="3">
        <v>3498.88</v>
      </c>
      <c r="D507" s="3">
        <v>188</v>
      </c>
      <c r="E507" s="3">
        <v>3498.88</v>
      </c>
      <c r="F507" s="3">
        <v>4544</v>
      </c>
    </row>
    <row r="508" spans="2:6" x14ac:dyDescent="0.25">
      <c r="B508" s="11" t="s">
        <v>1056</v>
      </c>
      <c r="C508" s="3">
        <v>3498.88</v>
      </c>
      <c r="D508" s="3">
        <v>188</v>
      </c>
      <c r="E508" s="3">
        <v>3498.88</v>
      </c>
      <c r="F508" s="3">
        <v>4544</v>
      </c>
    </row>
    <row r="509" spans="2:6" x14ac:dyDescent="0.25">
      <c r="B509" s="9" t="s">
        <v>259</v>
      </c>
      <c r="C509" s="3">
        <v>335.34</v>
      </c>
      <c r="D509" s="3">
        <v>81</v>
      </c>
      <c r="E509" s="3">
        <v>335.34</v>
      </c>
      <c r="F509" s="3">
        <v>414</v>
      </c>
    </row>
    <row r="510" spans="2:6" x14ac:dyDescent="0.25">
      <c r="B510" s="11" t="s">
        <v>1055</v>
      </c>
      <c r="C510" s="3">
        <v>335.34</v>
      </c>
      <c r="D510" s="3">
        <v>81</v>
      </c>
      <c r="E510" s="3">
        <v>335.34</v>
      </c>
      <c r="F510" s="3">
        <v>414</v>
      </c>
    </row>
    <row r="511" spans="2:6" x14ac:dyDescent="0.25">
      <c r="B511" s="9" t="s">
        <v>260</v>
      </c>
      <c r="C511" s="3">
        <v>13510.32</v>
      </c>
      <c r="D511" s="3">
        <v>198</v>
      </c>
      <c r="E511" s="3">
        <v>4503.4399999999996</v>
      </c>
      <c r="F511" s="3">
        <v>5492</v>
      </c>
    </row>
    <row r="512" spans="2:6" x14ac:dyDescent="0.25">
      <c r="B512" s="11" t="s">
        <v>1055</v>
      </c>
      <c r="C512" s="3">
        <v>13510.32</v>
      </c>
      <c r="D512" s="3">
        <v>198</v>
      </c>
      <c r="E512" s="3">
        <v>4503.4399999999996</v>
      </c>
      <c r="F512" s="3">
        <v>5492</v>
      </c>
    </row>
    <row r="513" spans="2:6" x14ac:dyDescent="0.25">
      <c r="B513" s="9" t="s">
        <v>261</v>
      </c>
      <c r="C513" s="3">
        <v>8198.19</v>
      </c>
      <c r="D513" s="3">
        <v>178</v>
      </c>
      <c r="E513" s="3">
        <v>2732.73</v>
      </c>
      <c r="F513" s="3">
        <v>3003</v>
      </c>
    </row>
    <row r="514" spans="2:6" x14ac:dyDescent="0.25">
      <c r="B514" s="11" t="s">
        <v>1059</v>
      </c>
      <c r="C514" s="3">
        <v>8198.19</v>
      </c>
      <c r="D514" s="3">
        <v>178</v>
      </c>
      <c r="E514" s="3">
        <v>2732.73</v>
      </c>
      <c r="F514" s="3">
        <v>3003</v>
      </c>
    </row>
    <row r="515" spans="2:6" x14ac:dyDescent="0.25">
      <c r="B515" s="9" t="s">
        <v>262</v>
      </c>
      <c r="C515" s="3">
        <v>6071.1</v>
      </c>
      <c r="D515" s="3">
        <v>144</v>
      </c>
      <c r="E515" s="3">
        <v>2023.7</v>
      </c>
      <c r="F515" s="3">
        <v>2891</v>
      </c>
    </row>
    <row r="516" spans="2:6" x14ac:dyDescent="0.25">
      <c r="B516" s="11" t="s">
        <v>1056</v>
      </c>
      <c r="C516" s="3">
        <v>6071.1</v>
      </c>
      <c r="D516" s="3">
        <v>144</v>
      </c>
      <c r="E516" s="3">
        <v>2023.7</v>
      </c>
      <c r="F516" s="3">
        <v>2891</v>
      </c>
    </row>
    <row r="517" spans="2:6" x14ac:dyDescent="0.25">
      <c r="B517" s="9" t="s">
        <v>263</v>
      </c>
      <c r="C517" s="3">
        <v>3450.96</v>
      </c>
      <c r="D517" s="3">
        <v>136</v>
      </c>
      <c r="E517" s="3">
        <v>3450.96</v>
      </c>
      <c r="F517" s="3">
        <v>4793</v>
      </c>
    </row>
    <row r="518" spans="2:6" x14ac:dyDescent="0.25">
      <c r="B518" s="11" t="s">
        <v>1056</v>
      </c>
      <c r="C518" s="3">
        <v>3450.96</v>
      </c>
      <c r="D518" s="3">
        <v>136</v>
      </c>
      <c r="E518" s="3">
        <v>3450.96</v>
      </c>
      <c r="F518" s="3">
        <v>4793</v>
      </c>
    </row>
    <row r="519" spans="2:6" x14ac:dyDescent="0.25">
      <c r="B519" s="9" t="s">
        <v>264</v>
      </c>
      <c r="C519" s="3">
        <v>16874.22</v>
      </c>
      <c r="D519" s="3">
        <v>84</v>
      </c>
      <c r="E519" s="3">
        <v>5624.74</v>
      </c>
      <c r="F519" s="3">
        <v>7601</v>
      </c>
    </row>
    <row r="520" spans="2:6" x14ac:dyDescent="0.25">
      <c r="B520" s="11" t="s">
        <v>1056</v>
      </c>
      <c r="C520" s="3">
        <v>16874.22</v>
      </c>
      <c r="D520" s="3">
        <v>84</v>
      </c>
      <c r="E520" s="3">
        <v>5624.74</v>
      </c>
      <c r="F520" s="3">
        <v>7601</v>
      </c>
    </row>
    <row r="521" spans="2:6" x14ac:dyDescent="0.25">
      <c r="B521" s="9" t="s">
        <v>265</v>
      </c>
      <c r="C521" s="3">
        <v>1722.2</v>
      </c>
      <c r="D521" s="3">
        <v>177</v>
      </c>
      <c r="E521" s="3">
        <v>1722.2</v>
      </c>
      <c r="F521" s="3">
        <v>2180</v>
      </c>
    </row>
    <row r="522" spans="2:6" x14ac:dyDescent="0.25">
      <c r="B522" s="11" t="s">
        <v>1056</v>
      </c>
      <c r="C522" s="3">
        <v>1722.2</v>
      </c>
      <c r="D522" s="3">
        <v>177</v>
      </c>
      <c r="E522" s="3">
        <v>1722.2</v>
      </c>
      <c r="F522" s="3">
        <v>2180</v>
      </c>
    </row>
    <row r="523" spans="2:6" x14ac:dyDescent="0.25">
      <c r="B523" s="9" t="s">
        <v>266</v>
      </c>
      <c r="C523" s="3">
        <v>5895.36</v>
      </c>
      <c r="D523" s="3">
        <v>145</v>
      </c>
      <c r="E523" s="3">
        <v>1965.12</v>
      </c>
      <c r="F523" s="3">
        <v>2208</v>
      </c>
    </row>
    <row r="524" spans="2:6" x14ac:dyDescent="0.25">
      <c r="B524" s="11" t="s">
        <v>1055</v>
      </c>
      <c r="C524" s="3">
        <v>5895.36</v>
      </c>
      <c r="D524" s="3">
        <v>145</v>
      </c>
      <c r="E524" s="3">
        <v>1965.12</v>
      </c>
      <c r="F524" s="3">
        <v>2208</v>
      </c>
    </row>
    <row r="525" spans="2:6" x14ac:dyDescent="0.25">
      <c r="B525" s="9" t="s">
        <v>267</v>
      </c>
      <c r="C525" s="3">
        <v>3456.64</v>
      </c>
      <c r="D525" s="3">
        <v>190</v>
      </c>
      <c r="E525" s="3">
        <v>3456.64</v>
      </c>
      <c r="F525" s="3">
        <v>3928</v>
      </c>
    </row>
    <row r="526" spans="2:6" x14ac:dyDescent="0.25">
      <c r="B526" s="11" t="s">
        <v>1055</v>
      </c>
      <c r="C526" s="3">
        <v>3456.64</v>
      </c>
      <c r="D526" s="3">
        <v>190</v>
      </c>
      <c r="E526" s="3">
        <v>3456.64</v>
      </c>
      <c r="F526" s="3">
        <v>3928</v>
      </c>
    </row>
    <row r="527" spans="2:6" x14ac:dyDescent="0.25">
      <c r="B527" s="9" t="s">
        <v>268</v>
      </c>
      <c r="C527" s="3">
        <v>371.2</v>
      </c>
      <c r="D527" s="3">
        <v>19</v>
      </c>
      <c r="E527" s="3">
        <v>185.6</v>
      </c>
      <c r="F527" s="3">
        <v>232</v>
      </c>
    </row>
    <row r="528" spans="2:6" x14ac:dyDescent="0.25">
      <c r="B528" s="11" t="s">
        <v>1056</v>
      </c>
      <c r="C528" s="3">
        <v>371.2</v>
      </c>
      <c r="D528" s="3">
        <v>19</v>
      </c>
      <c r="E528" s="3">
        <v>185.6</v>
      </c>
      <c r="F528" s="3">
        <v>232</v>
      </c>
    </row>
    <row r="529" spans="2:6" x14ac:dyDescent="0.25">
      <c r="B529" s="9" t="s">
        <v>269</v>
      </c>
      <c r="C529" s="3">
        <v>72.42</v>
      </c>
      <c r="D529" s="3">
        <v>13</v>
      </c>
      <c r="E529" s="3">
        <v>72.42</v>
      </c>
      <c r="F529" s="3">
        <v>102</v>
      </c>
    </row>
    <row r="530" spans="2:6" x14ac:dyDescent="0.25">
      <c r="B530" s="11" t="s">
        <v>1056</v>
      </c>
      <c r="C530" s="3">
        <v>72.42</v>
      </c>
      <c r="D530" s="3">
        <v>13</v>
      </c>
      <c r="E530" s="3">
        <v>72.42</v>
      </c>
      <c r="F530" s="3">
        <v>102</v>
      </c>
    </row>
    <row r="531" spans="2:6" x14ac:dyDescent="0.25">
      <c r="B531" s="9" t="s">
        <v>270</v>
      </c>
      <c r="C531" s="3">
        <v>18187.560000000001</v>
      </c>
      <c r="D531" s="3">
        <v>58</v>
      </c>
      <c r="E531" s="3">
        <v>6062.52</v>
      </c>
      <c r="F531" s="3">
        <v>7977</v>
      </c>
    </row>
    <row r="532" spans="2:6" x14ac:dyDescent="0.25">
      <c r="B532" s="11" t="s">
        <v>1056</v>
      </c>
      <c r="C532" s="3">
        <v>18187.560000000001</v>
      </c>
      <c r="D532" s="3">
        <v>58</v>
      </c>
      <c r="E532" s="3">
        <v>6062.52</v>
      </c>
      <c r="F532" s="3">
        <v>7977</v>
      </c>
    </row>
    <row r="533" spans="2:6" x14ac:dyDescent="0.25">
      <c r="B533" s="9" t="s">
        <v>271</v>
      </c>
      <c r="C533" s="3">
        <v>1625.88</v>
      </c>
      <c r="D533" s="3">
        <v>17</v>
      </c>
      <c r="E533" s="3">
        <v>1625.88</v>
      </c>
      <c r="F533" s="3">
        <v>2391</v>
      </c>
    </row>
    <row r="534" spans="2:6" x14ac:dyDescent="0.25">
      <c r="B534" s="11" t="s">
        <v>1056</v>
      </c>
      <c r="C534" s="3">
        <v>1625.88</v>
      </c>
      <c r="D534" s="3">
        <v>17</v>
      </c>
      <c r="E534" s="3">
        <v>1625.88</v>
      </c>
      <c r="F534" s="3">
        <v>2391</v>
      </c>
    </row>
    <row r="535" spans="2:6" x14ac:dyDescent="0.25">
      <c r="B535" s="9" t="s">
        <v>272</v>
      </c>
      <c r="C535" s="3">
        <v>12286.56</v>
      </c>
      <c r="D535" s="3">
        <v>109</v>
      </c>
      <c r="E535" s="3">
        <v>6143.28</v>
      </c>
      <c r="F535" s="3">
        <v>7876</v>
      </c>
    </row>
    <row r="536" spans="2:6" x14ac:dyDescent="0.25">
      <c r="B536" s="11" t="s">
        <v>1056</v>
      </c>
      <c r="C536" s="3">
        <v>12286.56</v>
      </c>
      <c r="D536" s="3">
        <v>109</v>
      </c>
      <c r="E536" s="3">
        <v>6143.28</v>
      </c>
      <c r="F536" s="3">
        <v>7876</v>
      </c>
    </row>
    <row r="537" spans="2:6" x14ac:dyDescent="0.25">
      <c r="B537" s="9" t="s">
        <v>273</v>
      </c>
      <c r="C537" s="3">
        <v>6333.28</v>
      </c>
      <c r="D537" s="3">
        <v>166</v>
      </c>
      <c r="E537" s="3">
        <v>6333.28</v>
      </c>
      <c r="F537" s="3">
        <v>6884</v>
      </c>
    </row>
    <row r="538" spans="2:6" x14ac:dyDescent="0.25">
      <c r="B538" s="11" t="s">
        <v>1059</v>
      </c>
      <c r="C538" s="3">
        <v>6333.28</v>
      </c>
      <c r="D538" s="3">
        <v>166</v>
      </c>
      <c r="E538" s="3">
        <v>6333.28</v>
      </c>
      <c r="F538" s="3">
        <v>6884</v>
      </c>
    </row>
    <row r="539" spans="2:6" x14ac:dyDescent="0.25">
      <c r="B539" s="9" t="s">
        <v>274</v>
      </c>
      <c r="C539" s="3">
        <v>639</v>
      </c>
      <c r="D539" s="3">
        <v>117</v>
      </c>
      <c r="E539" s="3">
        <v>213</v>
      </c>
      <c r="F539" s="3">
        <v>284</v>
      </c>
    </row>
    <row r="540" spans="2:6" x14ac:dyDescent="0.25">
      <c r="B540" s="11" t="s">
        <v>1056</v>
      </c>
      <c r="C540" s="3">
        <v>639</v>
      </c>
      <c r="D540" s="3">
        <v>117</v>
      </c>
      <c r="E540" s="3">
        <v>213</v>
      </c>
      <c r="F540" s="3">
        <v>284</v>
      </c>
    </row>
    <row r="541" spans="2:6" x14ac:dyDescent="0.25">
      <c r="B541" s="9" t="s">
        <v>275</v>
      </c>
      <c r="C541" s="3">
        <v>8955.84</v>
      </c>
      <c r="D541" s="3">
        <v>110</v>
      </c>
      <c r="E541" s="3">
        <v>4477.92</v>
      </c>
      <c r="F541" s="3">
        <v>5892</v>
      </c>
    </row>
    <row r="542" spans="2:6" x14ac:dyDescent="0.25">
      <c r="B542" s="11" t="s">
        <v>1056</v>
      </c>
      <c r="C542" s="3">
        <v>8955.84</v>
      </c>
      <c r="D542" s="3">
        <v>110</v>
      </c>
      <c r="E542" s="3">
        <v>4477.92</v>
      </c>
      <c r="F542" s="3">
        <v>5892</v>
      </c>
    </row>
    <row r="543" spans="2:6" x14ac:dyDescent="0.25">
      <c r="B543" s="9" t="s">
        <v>276</v>
      </c>
      <c r="C543" s="3">
        <v>8845.92</v>
      </c>
      <c r="D543" s="3">
        <v>22</v>
      </c>
      <c r="E543" s="3">
        <v>4422.96</v>
      </c>
      <c r="F543" s="3">
        <v>6143</v>
      </c>
    </row>
    <row r="544" spans="2:6" x14ac:dyDescent="0.25">
      <c r="B544" s="11" t="s">
        <v>1056</v>
      </c>
      <c r="C544" s="3">
        <v>8845.92</v>
      </c>
      <c r="D544" s="3">
        <v>22</v>
      </c>
      <c r="E544" s="3">
        <v>4422.96</v>
      </c>
      <c r="F544" s="3">
        <v>6143</v>
      </c>
    </row>
    <row r="545" spans="2:6" x14ac:dyDescent="0.25">
      <c r="B545" s="9" t="s">
        <v>277</v>
      </c>
      <c r="C545" s="3">
        <v>4108.4399999999996</v>
      </c>
      <c r="D545" s="3">
        <v>109</v>
      </c>
      <c r="E545" s="3">
        <v>4108.4399999999996</v>
      </c>
      <c r="F545" s="3">
        <v>5628</v>
      </c>
    </row>
    <row r="546" spans="2:6" x14ac:dyDescent="0.25">
      <c r="B546" s="11" t="s">
        <v>1056</v>
      </c>
      <c r="C546" s="3">
        <v>4108.4399999999996</v>
      </c>
      <c r="D546" s="3">
        <v>109</v>
      </c>
      <c r="E546" s="3">
        <v>4108.4399999999996</v>
      </c>
      <c r="F546" s="3">
        <v>5628</v>
      </c>
    </row>
    <row r="547" spans="2:6" x14ac:dyDescent="0.25">
      <c r="B547" s="9" t="s">
        <v>278</v>
      </c>
      <c r="C547" s="3">
        <v>4720.91</v>
      </c>
      <c r="D547" s="3">
        <v>181</v>
      </c>
      <c r="E547" s="3">
        <v>4720.91</v>
      </c>
      <c r="F547" s="3">
        <v>6467</v>
      </c>
    </row>
    <row r="548" spans="2:6" x14ac:dyDescent="0.25">
      <c r="B548" s="11" t="s">
        <v>1056</v>
      </c>
      <c r="C548" s="3">
        <v>4720.91</v>
      </c>
      <c r="D548" s="3">
        <v>181</v>
      </c>
      <c r="E548" s="3">
        <v>4720.91</v>
      </c>
      <c r="F548" s="3">
        <v>6467</v>
      </c>
    </row>
    <row r="549" spans="2:6" x14ac:dyDescent="0.25">
      <c r="B549" s="9" t="s">
        <v>279</v>
      </c>
      <c r="C549" s="3">
        <v>9630</v>
      </c>
      <c r="D549" s="3">
        <v>63</v>
      </c>
      <c r="E549" s="3">
        <v>4815</v>
      </c>
      <c r="F549" s="3">
        <v>6420</v>
      </c>
    </row>
    <row r="550" spans="2:6" x14ac:dyDescent="0.25">
      <c r="B550" s="11" t="s">
        <v>1056</v>
      </c>
      <c r="C550" s="3">
        <v>9630</v>
      </c>
      <c r="D550" s="3">
        <v>63</v>
      </c>
      <c r="E550" s="3">
        <v>4815</v>
      </c>
      <c r="F550" s="3">
        <v>6420</v>
      </c>
    </row>
    <row r="551" spans="2:6" x14ac:dyDescent="0.25">
      <c r="B551" s="9" t="s">
        <v>280</v>
      </c>
      <c r="C551" s="3">
        <v>2611</v>
      </c>
      <c r="D551" s="3">
        <v>151</v>
      </c>
      <c r="E551" s="3">
        <v>1305.5</v>
      </c>
      <c r="F551" s="3">
        <v>1865</v>
      </c>
    </row>
    <row r="552" spans="2:6" x14ac:dyDescent="0.25">
      <c r="B552" s="11" t="s">
        <v>1056</v>
      </c>
      <c r="C552" s="3">
        <v>2611</v>
      </c>
      <c r="D552" s="3">
        <v>151</v>
      </c>
      <c r="E552" s="3">
        <v>1305.5</v>
      </c>
      <c r="F552" s="3">
        <v>1865</v>
      </c>
    </row>
    <row r="553" spans="2:6" x14ac:dyDescent="0.25">
      <c r="B553" s="9" t="s">
        <v>281</v>
      </c>
      <c r="C553" s="3">
        <v>11319.38</v>
      </c>
      <c r="D553" s="3">
        <v>131</v>
      </c>
      <c r="E553" s="3">
        <v>5659.69</v>
      </c>
      <c r="F553" s="3">
        <v>7753</v>
      </c>
    </row>
    <row r="554" spans="2:6" x14ac:dyDescent="0.25">
      <c r="B554" s="11" t="s">
        <v>1056</v>
      </c>
      <c r="C554" s="3">
        <v>11319.38</v>
      </c>
      <c r="D554" s="3">
        <v>131</v>
      </c>
      <c r="E554" s="3">
        <v>5659.69</v>
      </c>
      <c r="F554" s="3">
        <v>7753</v>
      </c>
    </row>
    <row r="555" spans="2:6" x14ac:dyDescent="0.25">
      <c r="B555" s="9" t="s">
        <v>282</v>
      </c>
      <c r="C555" s="3">
        <v>4917</v>
      </c>
      <c r="D555" s="3">
        <v>190</v>
      </c>
      <c r="E555" s="3">
        <v>2458.5</v>
      </c>
      <c r="F555" s="3">
        <v>3725</v>
      </c>
    </row>
    <row r="556" spans="2:6" x14ac:dyDescent="0.25">
      <c r="B556" s="11" t="s">
        <v>1056</v>
      </c>
      <c r="C556" s="3">
        <v>4917</v>
      </c>
      <c r="D556" s="3">
        <v>190</v>
      </c>
      <c r="E556" s="3">
        <v>2458.5</v>
      </c>
      <c r="F556" s="3">
        <v>3725</v>
      </c>
    </row>
    <row r="557" spans="2:6" x14ac:dyDescent="0.25">
      <c r="B557" s="9" t="s">
        <v>283</v>
      </c>
      <c r="C557" s="3">
        <v>15234.900000000001</v>
      </c>
      <c r="D557" s="3">
        <v>195</v>
      </c>
      <c r="E557" s="3">
        <v>5078.3</v>
      </c>
      <c r="F557" s="3">
        <v>5905</v>
      </c>
    </row>
    <row r="558" spans="2:6" x14ac:dyDescent="0.25">
      <c r="B558" s="11" t="s">
        <v>1055</v>
      </c>
      <c r="C558" s="3">
        <v>15234.900000000001</v>
      </c>
      <c r="D558" s="3">
        <v>195</v>
      </c>
      <c r="E558" s="3">
        <v>5078.3</v>
      </c>
      <c r="F558" s="3">
        <v>5905</v>
      </c>
    </row>
    <row r="559" spans="2:6" x14ac:dyDescent="0.25">
      <c r="B559" s="9" t="s">
        <v>284</v>
      </c>
      <c r="C559" s="3">
        <v>5112</v>
      </c>
      <c r="D559" s="3">
        <v>17</v>
      </c>
      <c r="E559" s="3">
        <v>5112</v>
      </c>
      <c r="F559" s="3">
        <v>6816</v>
      </c>
    </row>
    <row r="560" spans="2:6" x14ac:dyDescent="0.25">
      <c r="B560" s="11" t="s">
        <v>1056</v>
      </c>
      <c r="C560" s="3">
        <v>5112</v>
      </c>
      <c r="D560" s="3">
        <v>17</v>
      </c>
      <c r="E560" s="3">
        <v>5112</v>
      </c>
      <c r="F560" s="3">
        <v>6816</v>
      </c>
    </row>
    <row r="561" spans="2:6" x14ac:dyDescent="0.25">
      <c r="B561" s="9" t="s">
        <v>285</v>
      </c>
      <c r="C561" s="3">
        <v>3560.48</v>
      </c>
      <c r="D561" s="3">
        <v>165</v>
      </c>
      <c r="E561" s="3">
        <v>3560.48</v>
      </c>
      <c r="F561" s="3">
        <v>4046</v>
      </c>
    </row>
    <row r="562" spans="2:6" x14ac:dyDescent="0.25">
      <c r="B562" s="11" t="s">
        <v>1055</v>
      </c>
      <c r="C562" s="3">
        <v>3560.48</v>
      </c>
      <c r="D562" s="3">
        <v>165</v>
      </c>
      <c r="E562" s="3">
        <v>3560.48</v>
      </c>
      <c r="F562" s="3">
        <v>4046</v>
      </c>
    </row>
    <row r="563" spans="2:6" x14ac:dyDescent="0.25">
      <c r="B563" s="9" t="s">
        <v>286</v>
      </c>
      <c r="C563" s="3">
        <v>2466.1</v>
      </c>
      <c r="D563" s="3">
        <v>152</v>
      </c>
      <c r="E563" s="3">
        <v>1233.05</v>
      </c>
      <c r="F563" s="3">
        <v>1897</v>
      </c>
    </row>
    <row r="564" spans="2:6" x14ac:dyDescent="0.25">
      <c r="B564" s="11" t="s">
        <v>1056</v>
      </c>
      <c r="C564" s="3">
        <v>2466.1</v>
      </c>
      <c r="D564" s="3">
        <v>152</v>
      </c>
      <c r="E564" s="3">
        <v>1233.05</v>
      </c>
      <c r="F564" s="3">
        <v>1897</v>
      </c>
    </row>
    <row r="565" spans="2:6" x14ac:dyDescent="0.25">
      <c r="B565" s="9" t="s">
        <v>287</v>
      </c>
      <c r="C565" s="3">
        <v>14352.54</v>
      </c>
      <c r="D565" s="3">
        <v>190</v>
      </c>
      <c r="E565" s="3">
        <v>4784.18</v>
      </c>
      <c r="F565" s="3">
        <v>5563</v>
      </c>
    </row>
    <row r="566" spans="2:6" x14ac:dyDescent="0.25">
      <c r="B566" s="11" t="s">
        <v>1055</v>
      </c>
      <c r="C566" s="3">
        <v>14352.54</v>
      </c>
      <c r="D566" s="3">
        <v>190</v>
      </c>
      <c r="E566" s="3">
        <v>4784.18</v>
      </c>
      <c r="F566" s="3">
        <v>5563</v>
      </c>
    </row>
    <row r="567" spans="2:6" x14ac:dyDescent="0.25">
      <c r="B567" s="9" t="s">
        <v>288</v>
      </c>
      <c r="C567" s="3">
        <v>12401.1</v>
      </c>
      <c r="D567" s="3">
        <v>183</v>
      </c>
      <c r="E567" s="3">
        <v>6200.55</v>
      </c>
      <c r="F567" s="3">
        <v>7655</v>
      </c>
    </row>
    <row r="568" spans="2:6" x14ac:dyDescent="0.25">
      <c r="B568" s="11" t="s">
        <v>1055</v>
      </c>
      <c r="C568" s="3">
        <v>12401.1</v>
      </c>
      <c r="D568" s="3">
        <v>183</v>
      </c>
      <c r="E568" s="3">
        <v>6200.55</v>
      </c>
      <c r="F568" s="3">
        <v>7655</v>
      </c>
    </row>
    <row r="569" spans="2:6" x14ac:dyDescent="0.25">
      <c r="B569" s="9" t="s">
        <v>289</v>
      </c>
      <c r="C569" s="3">
        <v>4760.05</v>
      </c>
      <c r="D569" s="3">
        <v>24</v>
      </c>
      <c r="E569" s="3">
        <v>4760.05</v>
      </c>
      <c r="F569" s="3">
        <v>5735</v>
      </c>
    </row>
    <row r="570" spans="2:6" x14ac:dyDescent="0.25">
      <c r="B570" s="11" t="s">
        <v>1055</v>
      </c>
      <c r="C570" s="3">
        <v>4760.05</v>
      </c>
      <c r="D570" s="3">
        <v>24</v>
      </c>
      <c r="E570" s="3">
        <v>4760.05</v>
      </c>
      <c r="F570" s="3">
        <v>5735</v>
      </c>
    </row>
    <row r="571" spans="2:6" x14ac:dyDescent="0.25">
      <c r="B571" s="9" t="s">
        <v>290</v>
      </c>
      <c r="C571" s="3">
        <v>10116.74</v>
      </c>
      <c r="D571" s="3">
        <v>12</v>
      </c>
      <c r="E571" s="3">
        <v>5058.37</v>
      </c>
      <c r="F571" s="3">
        <v>6403</v>
      </c>
    </row>
    <row r="572" spans="2:6" x14ac:dyDescent="0.25">
      <c r="B572" s="11" t="s">
        <v>1056</v>
      </c>
      <c r="C572" s="3">
        <v>10116.74</v>
      </c>
      <c r="D572" s="3">
        <v>12</v>
      </c>
      <c r="E572" s="3">
        <v>5058.37</v>
      </c>
      <c r="F572" s="3">
        <v>6403</v>
      </c>
    </row>
    <row r="573" spans="2:6" x14ac:dyDescent="0.25">
      <c r="B573" s="9" t="s">
        <v>291</v>
      </c>
      <c r="C573" s="3">
        <v>9264.08</v>
      </c>
      <c r="D573" s="3">
        <v>165</v>
      </c>
      <c r="E573" s="3">
        <v>4632.04</v>
      </c>
      <c r="F573" s="3">
        <v>6524</v>
      </c>
    </row>
    <row r="574" spans="2:6" x14ac:dyDescent="0.25">
      <c r="B574" s="11" t="s">
        <v>1056</v>
      </c>
      <c r="C574" s="3">
        <v>9264.08</v>
      </c>
      <c r="D574" s="3">
        <v>165</v>
      </c>
      <c r="E574" s="3">
        <v>4632.04</v>
      </c>
      <c r="F574" s="3">
        <v>6524</v>
      </c>
    </row>
    <row r="575" spans="2:6" x14ac:dyDescent="0.25">
      <c r="B575" s="9" t="s">
        <v>292</v>
      </c>
      <c r="C575" s="3">
        <v>5772.53</v>
      </c>
      <c r="D575" s="3">
        <v>110</v>
      </c>
      <c r="E575" s="3">
        <v>5772.53</v>
      </c>
      <c r="F575" s="3">
        <v>7307</v>
      </c>
    </row>
    <row r="576" spans="2:6" x14ac:dyDescent="0.25">
      <c r="B576" s="11" t="s">
        <v>1056</v>
      </c>
      <c r="C576" s="3">
        <v>5772.53</v>
      </c>
      <c r="D576" s="3">
        <v>110</v>
      </c>
      <c r="E576" s="3">
        <v>5772.53</v>
      </c>
      <c r="F576" s="3">
        <v>7307</v>
      </c>
    </row>
    <row r="577" spans="2:6" x14ac:dyDescent="0.25">
      <c r="B577" s="9" t="s">
        <v>293</v>
      </c>
      <c r="C577" s="3">
        <v>474.99</v>
      </c>
      <c r="D577" s="3">
        <v>107</v>
      </c>
      <c r="E577" s="3">
        <v>474.99</v>
      </c>
      <c r="F577" s="3">
        <v>669</v>
      </c>
    </row>
    <row r="578" spans="2:6" x14ac:dyDescent="0.25">
      <c r="B578" s="11" t="s">
        <v>1056</v>
      </c>
      <c r="C578" s="3">
        <v>474.99</v>
      </c>
      <c r="D578" s="3">
        <v>107</v>
      </c>
      <c r="E578" s="3">
        <v>474.99</v>
      </c>
      <c r="F578" s="3">
        <v>669</v>
      </c>
    </row>
    <row r="579" spans="2:6" x14ac:dyDescent="0.25">
      <c r="B579" s="9" t="s">
        <v>294</v>
      </c>
      <c r="C579" s="3">
        <v>41.04</v>
      </c>
      <c r="D579" s="3">
        <v>103</v>
      </c>
      <c r="E579" s="3">
        <v>41.04</v>
      </c>
      <c r="F579" s="3">
        <v>57</v>
      </c>
    </row>
    <row r="580" spans="2:6" x14ac:dyDescent="0.25">
      <c r="B580" s="11" t="s">
        <v>1056</v>
      </c>
      <c r="C580" s="3">
        <v>41.04</v>
      </c>
      <c r="D580" s="3">
        <v>103</v>
      </c>
      <c r="E580" s="3">
        <v>41.04</v>
      </c>
      <c r="F580" s="3">
        <v>57</v>
      </c>
    </row>
    <row r="581" spans="2:6" x14ac:dyDescent="0.25">
      <c r="B581" s="9" t="s">
        <v>295</v>
      </c>
      <c r="C581" s="3">
        <v>103.95</v>
      </c>
      <c r="D581" s="3">
        <v>45</v>
      </c>
      <c r="E581" s="3">
        <v>103.95</v>
      </c>
      <c r="F581" s="3">
        <v>135</v>
      </c>
    </row>
    <row r="582" spans="2:6" x14ac:dyDescent="0.25">
      <c r="B582" s="11" t="s">
        <v>1056</v>
      </c>
      <c r="C582" s="3">
        <v>103.95</v>
      </c>
      <c r="D582" s="3">
        <v>45</v>
      </c>
      <c r="E582" s="3">
        <v>103.95</v>
      </c>
      <c r="F582" s="3">
        <v>135</v>
      </c>
    </row>
    <row r="583" spans="2:6" x14ac:dyDescent="0.25">
      <c r="B583" s="9" t="s">
        <v>296</v>
      </c>
      <c r="C583" s="3">
        <v>16019.099999999999</v>
      </c>
      <c r="D583" s="3">
        <v>185</v>
      </c>
      <c r="E583" s="3">
        <v>5339.7</v>
      </c>
      <c r="F583" s="3">
        <v>5933</v>
      </c>
    </row>
    <row r="584" spans="2:6" x14ac:dyDescent="0.25">
      <c r="B584" s="11" t="s">
        <v>1055</v>
      </c>
      <c r="C584" s="3">
        <v>16019.099999999999</v>
      </c>
      <c r="D584" s="3">
        <v>185</v>
      </c>
      <c r="E584" s="3">
        <v>5339.7</v>
      </c>
      <c r="F584" s="3">
        <v>5933</v>
      </c>
    </row>
    <row r="585" spans="2:6" x14ac:dyDescent="0.25">
      <c r="B585" s="9" t="s">
        <v>297</v>
      </c>
      <c r="C585" s="3">
        <v>5650.8</v>
      </c>
      <c r="D585" s="3">
        <v>164</v>
      </c>
      <c r="E585" s="3">
        <v>2825.4</v>
      </c>
      <c r="F585" s="3">
        <v>4155</v>
      </c>
    </row>
    <row r="586" spans="2:6" x14ac:dyDescent="0.25">
      <c r="B586" s="11" t="s">
        <v>1056</v>
      </c>
      <c r="C586" s="3">
        <v>5650.8</v>
      </c>
      <c r="D586" s="3">
        <v>164</v>
      </c>
      <c r="E586" s="3">
        <v>2825.4</v>
      </c>
      <c r="F586" s="3">
        <v>4155</v>
      </c>
    </row>
    <row r="587" spans="2:6" x14ac:dyDescent="0.25">
      <c r="B587" s="9" t="s">
        <v>298</v>
      </c>
      <c r="C587" s="3">
        <v>5402.16</v>
      </c>
      <c r="D587" s="3">
        <v>122</v>
      </c>
      <c r="E587" s="3">
        <v>1800.72</v>
      </c>
      <c r="F587" s="3">
        <v>2501</v>
      </c>
    </row>
    <row r="588" spans="2:6" x14ac:dyDescent="0.25">
      <c r="B588" s="11" t="s">
        <v>1056</v>
      </c>
      <c r="C588" s="3">
        <v>5402.16</v>
      </c>
      <c r="D588" s="3">
        <v>122</v>
      </c>
      <c r="E588" s="3">
        <v>1800.72</v>
      </c>
      <c r="F588" s="3">
        <v>2501</v>
      </c>
    </row>
    <row r="589" spans="2:6" x14ac:dyDescent="0.25">
      <c r="B589" s="9" t="s">
        <v>299</v>
      </c>
      <c r="C589" s="3">
        <v>623.28</v>
      </c>
      <c r="D589" s="3">
        <v>123</v>
      </c>
      <c r="E589" s="3">
        <v>623.28</v>
      </c>
      <c r="F589" s="3">
        <v>742</v>
      </c>
    </row>
    <row r="590" spans="2:6" x14ac:dyDescent="0.25">
      <c r="B590" s="11" t="s">
        <v>1055</v>
      </c>
      <c r="C590" s="3">
        <v>623.28</v>
      </c>
      <c r="D590" s="3">
        <v>123</v>
      </c>
      <c r="E590" s="3">
        <v>623.28</v>
      </c>
      <c r="F590" s="3">
        <v>742</v>
      </c>
    </row>
    <row r="591" spans="2:6" x14ac:dyDescent="0.25">
      <c r="B591" s="9" t="s">
        <v>300</v>
      </c>
      <c r="C591" s="3">
        <v>5705.8</v>
      </c>
      <c r="D591" s="3">
        <v>107</v>
      </c>
      <c r="E591" s="3">
        <v>5705.8</v>
      </c>
      <c r="F591" s="3">
        <v>6070</v>
      </c>
    </row>
    <row r="592" spans="2:6" x14ac:dyDescent="0.25">
      <c r="B592" s="11" t="s">
        <v>1059</v>
      </c>
      <c r="C592" s="3">
        <v>5705.8</v>
      </c>
      <c r="D592" s="3">
        <v>107</v>
      </c>
      <c r="E592" s="3">
        <v>5705.8</v>
      </c>
      <c r="F592" s="3">
        <v>6070</v>
      </c>
    </row>
    <row r="593" spans="2:6" x14ac:dyDescent="0.25">
      <c r="B593" s="9" t="s">
        <v>301</v>
      </c>
      <c r="C593" s="3">
        <v>16044.599999999999</v>
      </c>
      <c r="D593" s="3">
        <v>118</v>
      </c>
      <c r="E593" s="3">
        <v>5348.2</v>
      </c>
      <c r="F593" s="3">
        <v>6292</v>
      </c>
    </row>
    <row r="594" spans="2:6" x14ac:dyDescent="0.25">
      <c r="B594" s="11" t="s">
        <v>1055</v>
      </c>
      <c r="C594" s="3">
        <v>16044.599999999999</v>
      </c>
      <c r="D594" s="3">
        <v>118</v>
      </c>
      <c r="E594" s="3">
        <v>5348.2</v>
      </c>
      <c r="F594" s="3">
        <v>6292</v>
      </c>
    </row>
    <row r="595" spans="2:6" x14ac:dyDescent="0.25">
      <c r="B595" s="9" t="s">
        <v>302</v>
      </c>
      <c r="C595" s="3">
        <v>627.64</v>
      </c>
      <c r="D595" s="3">
        <v>118</v>
      </c>
      <c r="E595" s="3">
        <v>627.64</v>
      </c>
      <c r="F595" s="3">
        <v>923</v>
      </c>
    </row>
    <row r="596" spans="2:6" x14ac:dyDescent="0.25">
      <c r="B596" s="11" t="s">
        <v>1056</v>
      </c>
      <c r="C596" s="3">
        <v>627.64</v>
      </c>
      <c r="D596" s="3">
        <v>118</v>
      </c>
      <c r="E596" s="3">
        <v>627.64</v>
      </c>
      <c r="F596" s="3">
        <v>923</v>
      </c>
    </row>
    <row r="597" spans="2:6" x14ac:dyDescent="0.25">
      <c r="B597" s="9" t="s">
        <v>303</v>
      </c>
      <c r="C597" s="3">
        <v>3045.84</v>
      </c>
      <c r="D597" s="3">
        <v>174</v>
      </c>
      <c r="E597" s="3">
        <v>3045.84</v>
      </c>
      <c r="F597" s="3">
        <v>3626</v>
      </c>
    </row>
    <row r="598" spans="2:6" x14ac:dyDescent="0.25">
      <c r="B598" s="11" t="s">
        <v>1055</v>
      </c>
      <c r="C598" s="3">
        <v>3045.84</v>
      </c>
      <c r="D598" s="3">
        <v>174</v>
      </c>
      <c r="E598" s="3">
        <v>3045.84</v>
      </c>
      <c r="F598" s="3">
        <v>3626</v>
      </c>
    </row>
    <row r="599" spans="2:6" x14ac:dyDescent="0.25">
      <c r="B599" s="9" t="s">
        <v>304</v>
      </c>
      <c r="C599" s="3">
        <v>8867.52</v>
      </c>
      <c r="D599" s="3">
        <v>76</v>
      </c>
      <c r="E599" s="3">
        <v>4433.76</v>
      </c>
      <c r="F599" s="3">
        <v>6158</v>
      </c>
    </row>
    <row r="600" spans="2:6" x14ac:dyDescent="0.25">
      <c r="B600" s="11" t="s">
        <v>1056</v>
      </c>
      <c r="C600" s="3">
        <v>8867.52</v>
      </c>
      <c r="D600" s="3">
        <v>76</v>
      </c>
      <c r="E600" s="3">
        <v>4433.76</v>
      </c>
      <c r="F600" s="3">
        <v>6158</v>
      </c>
    </row>
    <row r="601" spans="2:6" x14ac:dyDescent="0.25">
      <c r="B601" s="9" t="s">
        <v>305</v>
      </c>
      <c r="C601" s="3">
        <v>4557.28</v>
      </c>
      <c r="D601" s="3">
        <v>66</v>
      </c>
      <c r="E601" s="3">
        <v>4557.28</v>
      </c>
      <c r="F601" s="3">
        <v>5008</v>
      </c>
    </row>
    <row r="602" spans="2:6" x14ac:dyDescent="0.25">
      <c r="B602" s="11" t="s">
        <v>1059</v>
      </c>
      <c r="C602" s="3">
        <v>4557.28</v>
      </c>
      <c r="D602" s="3">
        <v>66</v>
      </c>
      <c r="E602" s="3">
        <v>4557.28</v>
      </c>
      <c r="F602" s="3">
        <v>5008</v>
      </c>
    </row>
    <row r="603" spans="2:6" x14ac:dyDescent="0.25">
      <c r="B603" s="9" t="s">
        <v>306</v>
      </c>
      <c r="C603" s="3">
        <v>14922.72</v>
      </c>
      <c r="D603" s="3">
        <v>12</v>
      </c>
      <c r="E603" s="3">
        <v>4974.24</v>
      </c>
      <c r="F603" s="3">
        <v>5784</v>
      </c>
    </row>
    <row r="604" spans="2:6" x14ac:dyDescent="0.25">
      <c r="B604" s="11" t="s">
        <v>1055</v>
      </c>
      <c r="C604" s="3">
        <v>14922.72</v>
      </c>
      <c r="D604" s="3">
        <v>12</v>
      </c>
      <c r="E604" s="3">
        <v>4974.24</v>
      </c>
      <c r="F604" s="3">
        <v>5784</v>
      </c>
    </row>
    <row r="605" spans="2:6" x14ac:dyDescent="0.25">
      <c r="B605" s="9" t="s">
        <v>307</v>
      </c>
      <c r="C605" s="3">
        <v>2934.72</v>
      </c>
      <c r="D605" s="3">
        <v>39</v>
      </c>
      <c r="E605" s="3">
        <v>1467.36</v>
      </c>
      <c r="F605" s="3">
        <v>2038</v>
      </c>
    </row>
    <row r="606" spans="2:6" x14ac:dyDescent="0.25">
      <c r="B606" s="11" t="s">
        <v>1056</v>
      </c>
      <c r="C606" s="3">
        <v>2934.72</v>
      </c>
      <c r="D606" s="3">
        <v>39</v>
      </c>
      <c r="E606" s="3">
        <v>1467.36</v>
      </c>
      <c r="F606" s="3">
        <v>2038</v>
      </c>
    </row>
    <row r="607" spans="2:6" x14ac:dyDescent="0.25">
      <c r="B607" s="9" t="s">
        <v>308</v>
      </c>
      <c r="C607" s="3">
        <v>4550</v>
      </c>
      <c r="D607" s="3">
        <v>25</v>
      </c>
      <c r="E607" s="3">
        <v>2275</v>
      </c>
      <c r="F607" s="3">
        <v>3500</v>
      </c>
    </row>
    <row r="608" spans="2:6" x14ac:dyDescent="0.25">
      <c r="B608" s="11" t="s">
        <v>1056</v>
      </c>
      <c r="C608" s="3">
        <v>4550</v>
      </c>
      <c r="D608" s="3">
        <v>25</v>
      </c>
      <c r="E608" s="3">
        <v>2275</v>
      </c>
      <c r="F608" s="3">
        <v>3500</v>
      </c>
    </row>
    <row r="609" spans="2:6" x14ac:dyDescent="0.25">
      <c r="B609" s="9" t="s">
        <v>309</v>
      </c>
      <c r="C609" s="3">
        <v>3123.62</v>
      </c>
      <c r="D609" s="3">
        <v>18</v>
      </c>
      <c r="E609" s="3">
        <v>3123.62</v>
      </c>
      <c r="F609" s="3">
        <v>3323</v>
      </c>
    </row>
    <row r="610" spans="2:6" x14ac:dyDescent="0.25">
      <c r="B610" s="11" t="s">
        <v>1059</v>
      </c>
      <c r="C610" s="3">
        <v>3123.62</v>
      </c>
      <c r="D610" s="3">
        <v>18</v>
      </c>
      <c r="E610" s="3">
        <v>3123.62</v>
      </c>
      <c r="F610" s="3">
        <v>3323</v>
      </c>
    </row>
    <row r="611" spans="2:6" x14ac:dyDescent="0.25">
      <c r="B611" s="9" t="s">
        <v>310</v>
      </c>
      <c r="C611" s="3">
        <v>3907.2</v>
      </c>
      <c r="D611" s="3">
        <v>111</v>
      </c>
      <c r="E611" s="3">
        <v>3907.2</v>
      </c>
      <c r="F611" s="3">
        <v>5280</v>
      </c>
    </row>
    <row r="612" spans="2:6" x14ac:dyDescent="0.25">
      <c r="B612" s="11" t="s">
        <v>1056</v>
      </c>
      <c r="C612" s="3">
        <v>3907.2</v>
      </c>
      <c r="D612" s="3">
        <v>111</v>
      </c>
      <c r="E612" s="3">
        <v>3907.2</v>
      </c>
      <c r="F612" s="3">
        <v>5280</v>
      </c>
    </row>
    <row r="613" spans="2:6" x14ac:dyDescent="0.25">
      <c r="B613" s="9" t="s">
        <v>311</v>
      </c>
      <c r="C613" s="3">
        <v>10968.28</v>
      </c>
      <c r="D613" s="3">
        <v>132</v>
      </c>
      <c r="E613" s="3">
        <v>5484.14</v>
      </c>
      <c r="F613" s="3">
        <v>7411</v>
      </c>
    </row>
    <row r="614" spans="2:6" x14ac:dyDescent="0.25">
      <c r="B614" s="11" t="s">
        <v>1056</v>
      </c>
      <c r="C614" s="3">
        <v>10968.28</v>
      </c>
      <c r="D614" s="3">
        <v>132</v>
      </c>
      <c r="E614" s="3">
        <v>5484.14</v>
      </c>
      <c r="F614" s="3">
        <v>7411</v>
      </c>
    </row>
    <row r="615" spans="2:6" x14ac:dyDescent="0.25">
      <c r="B615" s="9" t="s">
        <v>312</v>
      </c>
      <c r="C615" s="3">
        <v>5025.38</v>
      </c>
      <c r="D615" s="3">
        <v>150</v>
      </c>
      <c r="E615" s="3">
        <v>2512.69</v>
      </c>
      <c r="F615" s="3">
        <v>3539</v>
      </c>
    </row>
    <row r="616" spans="2:6" x14ac:dyDescent="0.25">
      <c r="B616" s="11" t="s">
        <v>1056</v>
      </c>
      <c r="C616" s="3">
        <v>5025.38</v>
      </c>
      <c r="D616" s="3">
        <v>150</v>
      </c>
      <c r="E616" s="3">
        <v>2512.69</v>
      </c>
      <c r="F616" s="3">
        <v>3539</v>
      </c>
    </row>
    <row r="617" spans="2:6" x14ac:dyDescent="0.25">
      <c r="B617" s="9" t="s">
        <v>313</v>
      </c>
      <c r="C617" s="3">
        <v>1523.34</v>
      </c>
      <c r="D617" s="3">
        <v>74</v>
      </c>
      <c r="E617" s="3">
        <v>1523.34</v>
      </c>
      <c r="F617" s="3">
        <v>1953</v>
      </c>
    </row>
    <row r="618" spans="2:6" x14ac:dyDescent="0.25">
      <c r="B618" s="11" t="s">
        <v>1056</v>
      </c>
      <c r="C618" s="3">
        <v>1523.34</v>
      </c>
      <c r="D618" s="3">
        <v>74</v>
      </c>
      <c r="E618" s="3">
        <v>1523.34</v>
      </c>
      <c r="F618" s="3">
        <v>1953</v>
      </c>
    </row>
    <row r="619" spans="2:6" x14ac:dyDescent="0.25">
      <c r="B619" s="9" t="s">
        <v>314</v>
      </c>
      <c r="C619" s="3">
        <v>1835.35</v>
      </c>
      <c r="D619" s="3">
        <v>171</v>
      </c>
      <c r="E619" s="3">
        <v>1835.35</v>
      </c>
      <c r="F619" s="3">
        <v>2585</v>
      </c>
    </row>
    <row r="620" spans="2:6" x14ac:dyDescent="0.25">
      <c r="B620" s="11" t="s">
        <v>1056</v>
      </c>
      <c r="C620" s="3">
        <v>1835.35</v>
      </c>
      <c r="D620" s="3">
        <v>171</v>
      </c>
      <c r="E620" s="3">
        <v>1835.35</v>
      </c>
      <c r="F620" s="3">
        <v>2585</v>
      </c>
    </row>
    <row r="621" spans="2:6" x14ac:dyDescent="0.25">
      <c r="B621" s="9" t="s">
        <v>315</v>
      </c>
      <c r="C621" s="3">
        <v>9926.82</v>
      </c>
      <c r="D621" s="3">
        <v>36</v>
      </c>
      <c r="E621" s="3">
        <v>4963.41</v>
      </c>
      <c r="F621" s="3">
        <v>5337</v>
      </c>
    </row>
    <row r="622" spans="2:6" x14ac:dyDescent="0.25">
      <c r="B622" s="11" t="s">
        <v>1059</v>
      </c>
      <c r="C622" s="3">
        <v>9926.82</v>
      </c>
      <c r="D622" s="3">
        <v>36</v>
      </c>
      <c r="E622" s="3">
        <v>4963.41</v>
      </c>
      <c r="F622" s="3">
        <v>5337</v>
      </c>
    </row>
    <row r="623" spans="2:6" x14ac:dyDescent="0.25">
      <c r="B623" s="9" t="s">
        <v>316</v>
      </c>
      <c r="C623" s="3">
        <v>16088.04</v>
      </c>
      <c r="D623" s="3">
        <v>181</v>
      </c>
      <c r="E623" s="3">
        <v>5362.68</v>
      </c>
      <c r="F623" s="3">
        <v>7772</v>
      </c>
    </row>
    <row r="624" spans="2:6" x14ac:dyDescent="0.25">
      <c r="B624" s="11" t="s">
        <v>1056</v>
      </c>
      <c r="C624" s="3">
        <v>16088.04</v>
      </c>
      <c r="D624" s="3">
        <v>181</v>
      </c>
      <c r="E624" s="3">
        <v>5362.68</v>
      </c>
      <c r="F624" s="3">
        <v>7772</v>
      </c>
    </row>
    <row r="625" spans="2:6" x14ac:dyDescent="0.25">
      <c r="B625" s="9" t="s">
        <v>317</v>
      </c>
      <c r="C625" s="3">
        <v>992.16000000000008</v>
      </c>
      <c r="D625" s="3">
        <v>92</v>
      </c>
      <c r="E625" s="3">
        <v>330.72</v>
      </c>
      <c r="F625" s="3">
        <v>424</v>
      </c>
    </row>
    <row r="626" spans="2:6" x14ac:dyDescent="0.25">
      <c r="B626" s="11" t="s">
        <v>1056</v>
      </c>
      <c r="C626" s="3">
        <v>992.16000000000008</v>
      </c>
      <c r="D626" s="3">
        <v>92</v>
      </c>
      <c r="E626" s="3">
        <v>330.72</v>
      </c>
      <c r="F626" s="3">
        <v>424</v>
      </c>
    </row>
    <row r="627" spans="2:6" x14ac:dyDescent="0.25">
      <c r="B627" s="9" t="s">
        <v>318</v>
      </c>
      <c r="C627" s="3">
        <v>1658.16</v>
      </c>
      <c r="D627" s="3">
        <v>106</v>
      </c>
      <c r="E627" s="3">
        <v>1658.16</v>
      </c>
      <c r="F627" s="3">
        <v>1974</v>
      </c>
    </row>
    <row r="628" spans="2:6" x14ac:dyDescent="0.25">
      <c r="B628" s="11" t="s">
        <v>1055</v>
      </c>
      <c r="C628" s="3">
        <v>1658.16</v>
      </c>
      <c r="D628" s="3">
        <v>106</v>
      </c>
      <c r="E628" s="3">
        <v>1658.16</v>
      </c>
      <c r="F628" s="3">
        <v>1974</v>
      </c>
    </row>
    <row r="629" spans="2:6" x14ac:dyDescent="0.25">
      <c r="B629" s="9" t="s">
        <v>319</v>
      </c>
      <c r="C629" s="3">
        <v>162.36000000000001</v>
      </c>
      <c r="D629" s="3">
        <v>132</v>
      </c>
      <c r="E629" s="3">
        <v>81.180000000000007</v>
      </c>
      <c r="F629" s="3">
        <v>99</v>
      </c>
    </row>
    <row r="630" spans="2:6" x14ac:dyDescent="0.25">
      <c r="B630" s="11" t="s">
        <v>1055</v>
      </c>
      <c r="C630" s="3">
        <v>162.36000000000001</v>
      </c>
      <c r="D630" s="3">
        <v>132</v>
      </c>
      <c r="E630" s="3">
        <v>81.180000000000007</v>
      </c>
      <c r="F630" s="3">
        <v>99</v>
      </c>
    </row>
    <row r="631" spans="2:6" x14ac:dyDescent="0.25">
      <c r="B631" s="9" t="s">
        <v>320</v>
      </c>
      <c r="C631" s="3">
        <v>3880.4</v>
      </c>
      <c r="D631" s="3">
        <v>63</v>
      </c>
      <c r="E631" s="3">
        <v>3880.4</v>
      </c>
      <c r="F631" s="3">
        <v>4360</v>
      </c>
    </row>
    <row r="632" spans="2:6" x14ac:dyDescent="0.25">
      <c r="B632" s="11" t="s">
        <v>1055</v>
      </c>
      <c r="C632" s="3">
        <v>3880.4</v>
      </c>
      <c r="D632" s="3">
        <v>63</v>
      </c>
      <c r="E632" s="3">
        <v>3880.4</v>
      </c>
      <c r="F632" s="3">
        <v>4360</v>
      </c>
    </row>
    <row r="633" spans="2:6" x14ac:dyDescent="0.25">
      <c r="B633" s="9" t="s">
        <v>321</v>
      </c>
      <c r="C633" s="3">
        <v>10385.82</v>
      </c>
      <c r="D633" s="3">
        <v>75</v>
      </c>
      <c r="E633" s="3">
        <v>5192.91</v>
      </c>
      <c r="F633" s="3">
        <v>6411</v>
      </c>
    </row>
    <row r="634" spans="2:6" x14ac:dyDescent="0.25">
      <c r="B634" s="11" t="s">
        <v>1055</v>
      </c>
      <c r="C634" s="3">
        <v>10385.82</v>
      </c>
      <c r="D634" s="3">
        <v>75</v>
      </c>
      <c r="E634" s="3">
        <v>5192.91</v>
      </c>
      <c r="F634" s="3">
        <v>6411</v>
      </c>
    </row>
    <row r="635" spans="2:6" x14ac:dyDescent="0.25">
      <c r="B635" s="9" t="s">
        <v>322</v>
      </c>
      <c r="C635" s="3">
        <v>12201.900000000001</v>
      </c>
      <c r="D635" s="3">
        <v>80</v>
      </c>
      <c r="E635" s="3">
        <v>4067.3</v>
      </c>
      <c r="F635" s="3">
        <v>4570</v>
      </c>
    </row>
    <row r="636" spans="2:6" x14ac:dyDescent="0.25">
      <c r="B636" s="11" t="s">
        <v>1055</v>
      </c>
      <c r="C636" s="3">
        <v>12201.900000000001</v>
      </c>
      <c r="D636" s="3">
        <v>80</v>
      </c>
      <c r="E636" s="3">
        <v>4067.3</v>
      </c>
      <c r="F636" s="3">
        <v>4570</v>
      </c>
    </row>
    <row r="637" spans="2:6" x14ac:dyDescent="0.25">
      <c r="B637" s="9" t="s">
        <v>323</v>
      </c>
      <c r="C637" s="3">
        <v>5956.26</v>
      </c>
      <c r="D637" s="3">
        <v>192</v>
      </c>
      <c r="E637" s="3">
        <v>1985.42</v>
      </c>
      <c r="F637" s="3">
        <v>2683</v>
      </c>
    </row>
    <row r="638" spans="2:6" x14ac:dyDescent="0.25">
      <c r="B638" s="11" t="s">
        <v>1056</v>
      </c>
      <c r="C638" s="3">
        <v>5956.26</v>
      </c>
      <c r="D638" s="3">
        <v>192</v>
      </c>
      <c r="E638" s="3">
        <v>1985.42</v>
      </c>
      <c r="F638" s="3">
        <v>2683</v>
      </c>
    </row>
    <row r="639" spans="2:6" x14ac:dyDescent="0.25">
      <c r="B639" s="9" t="s">
        <v>324</v>
      </c>
      <c r="C639" s="3">
        <v>3456.48</v>
      </c>
      <c r="D639" s="3">
        <v>167</v>
      </c>
      <c r="E639" s="3">
        <v>3456.48</v>
      </c>
      <c r="F639" s="3">
        <v>4548</v>
      </c>
    </row>
    <row r="640" spans="2:6" x14ac:dyDescent="0.25">
      <c r="B640" s="11" t="s">
        <v>1056</v>
      </c>
      <c r="C640" s="3">
        <v>3456.48</v>
      </c>
      <c r="D640" s="3">
        <v>167</v>
      </c>
      <c r="E640" s="3">
        <v>3456.48</v>
      </c>
      <c r="F640" s="3">
        <v>4548</v>
      </c>
    </row>
    <row r="641" spans="2:6" x14ac:dyDescent="0.25">
      <c r="B641" s="9" t="s">
        <v>325</v>
      </c>
      <c r="C641" s="3">
        <v>17484.39</v>
      </c>
      <c r="D641" s="3">
        <v>109</v>
      </c>
      <c r="E641" s="3">
        <v>5828.13</v>
      </c>
      <c r="F641" s="3">
        <v>7569</v>
      </c>
    </row>
    <row r="642" spans="2:6" x14ac:dyDescent="0.25">
      <c r="B642" s="11" t="s">
        <v>1056</v>
      </c>
      <c r="C642" s="3">
        <v>17484.39</v>
      </c>
      <c r="D642" s="3">
        <v>109</v>
      </c>
      <c r="E642" s="3">
        <v>5828.13</v>
      </c>
      <c r="F642" s="3">
        <v>7569</v>
      </c>
    </row>
    <row r="643" spans="2:6" x14ac:dyDescent="0.25">
      <c r="B643" s="9" t="s">
        <v>326</v>
      </c>
      <c r="C643" s="3">
        <v>19480.32</v>
      </c>
      <c r="D643" s="3">
        <v>158</v>
      </c>
      <c r="E643" s="3">
        <v>6493.44</v>
      </c>
      <c r="F643" s="3">
        <v>7296</v>
      </c>
    </row>
    <row r="644" spans="2:6" x14ac:dyDescent="0.25">
      <c r="B644" s="11" t="s">
        <v>1055</v>
      </c>
      <c r="C644" s="3">
        <v>19480.32</v>
      </c>
      <c r="D644" s="3">
        <v>158</v>
      </c>
      <c r="E644" s="3">
        <v>6493.44</v>
      </c>
      <c r="F644" s="3">
        <v>7296</v>
      </c>
    </row>
    <row r="645" spans="2:6" x14ac:dyDescent="0.25">
      <c r="B645" s="9" t="s">
        <v>327</v>
      </c>
      <c r="C645" s="3">
        <v>7415.2199999999993</v>
      </c>
      <c r="D645" s="3">
        <v>146</v>
      </c>
      <c r="E645" s="3">
        <v>2471.7399999999998</v>
      </c>
      <c r="F645" s="3">
        <v>2978</v>
      </c>
    </row>
    <row r="646" spans="2:6" x14ac:dyDescent="0.25">
      <c r="B646" s="11" t="s">
        <v>1055</v>
      </c>
      <c r="C646" s="3">
        <v>7415.2199999999993</v>
      </c>
      <c r="D646" s="3">
        <v>146</v>
      </c>
      <c r="E646" s="3">
        <v>2471.7399999999998</v>
      </c>
      <c r="F646" s="3">
        <v>2978</v>
      </c>
    </row>
    <row r="647" spans="2:6" x14ac:dyDescent="0.25">
      <c r="B647" s="9" t="s">
        <v>328</v>
      </c>
      <c r="C647" s="3">
        <v>12780.900000000001</v>
      </c>
      <c r="D647" s="3">
        <v>123</v>
      </c>
      <c r="E647" s="3">
        <v>4260.3</v>
      </c>
      <c r="F647" s="3">
        <v>6455</v>
      </c>
    </row>
    <row r="648" spans="2:6" x14ac:dyDescent="0.25">
      <c r="B648" s="11" t="s">
        <v>1056</v>
      </c>
      <c r="C648" s="3">
        <v>12780.900000000001</v>
      </c>
      <c r="D648" s="3">
        <v>123</v>
      </c>
      <c r="E648" s="3">
        <v>4260.3</v>
      </c>
      <c r="F648" s="3">
        <v>6455</v>
      </c>
    </row>
    <row r="649" spans="2:6" x14ac:dyDescent="0.25">
      <c r="B649" s="9" t="s">
        <v>329</v>
      </c>
      <c r="C649" s="3">
        <v>4748.8</v>
      </c>
      <c r="D649" s="3">
        <v>164</v>
      </c>
      <c r="E649" s="3">
        <v>2374.4</v>
      </c>
      <c r="F649" s="3">
        <v>3392</v>
      </c>
    </row>
    <row r="650" spans="2:6" x14ac:dyDescent="0.25">
      <c r="B650" s="11" t="s">
        <v>1056</v>
      </c>
      <c r="C650" s="3">
        <v>4748.8</v>
      </c>
      <c r="D650" s="3">
        <v>164</v>
      </c>
      <c r="E650" s="3">
        <v>2374.4</v>
      </c>
      <c r="F650" s="3">
        <v>3392</v>
      </c>
    </row>
    <row r="651" spans="2:6" x14ac:dyDescent="0.25">
      <c r="B651" s="9" t="s">
        <v>330</v>
      </c>
      <c r="C651" s="3">
        <v>6165.0300000000007</v>
      </c>
      <c r="D651" s="3">
        <v>160</v>
      </c>
      <c r="E651" s="3">
        <v>2055.0100000000002</v>
      </c>
      <c r="F651" s="3">
        <v>2309</v>
      </c>
    </row>
    <row r="652" spans="2:6" x14ac:dyDescent="0.25">
      <c r="B652" s="11" t="s">
        <v>1055</v>
      </c>
      <c r="C652" s="3">
        <v>6165.0300000000007</v>
      </c>
      <c r="D652" s="3">
        <v>160</v>
      </c>
      <c r="E652" s="3">
        <v>2055.0100000000002</v>
      </c>
      <c r="F652" s="3">
        <v>2309</v>
      </c>
    </row>
    <row r="653" spans="2:6" x14ac:dyDescent="0.25">
      <c r="B653" s="9" t="s">
        <v>331</v>
      </c>
      <c r="C653" s="3">
        <v>10381.56</v>
      </c>
      <c r="D653" s="3">
        <v>187</v>
      </c>
      <c r="E653" s="3">
        <v>3460.52</v>
      </c>
      <c r="F653" s="3">
        <v>5089</v>
      </c>
    </row>
    <row r="654" spans="2:6" x14ac:dyDescent="0.25">
      <c r="B654" s="11" t="s">
        <v>1056</v>
      </c>
      <c r="C654" s="3">
        <v>10381.56</v>
      </c>
      <c r="D654" s="3">
        <v>187</v>
      </c>
      <c r="E654" s="3">
        <v>3460.52</v>
      </c>
      <c r="F654" s="3">
        <v>5089</v>
      </c>
    </row>
    <row r="655" spans="2:6" x14ac:dyDescent="0.25">
      <c r="B655" s="9" t="s">
        <v>332</v>
      </c>
      <c r="C655" s="3">
        <v>3514.92</v>
      </c>
      <c r="D655" s="3">
        <v>173</v>
      </c>
      <c r="E655" s="3">
        <v>1171.6400000000001</v>
      </c>
      <c r="F655" s="3">
        <v>1723</v>
      </c>
    </row>
    <row r="656" spans="2:6" x14ac:dyDescent="0.25">
      <c r="B656" s="11" t="s">
        <v>1056</v>
      </c>
      <c r="C656" s="3">
        <v>3514.92</v>
      </c>
      <c r="D656" s="3">
        <v>173</v>
      </c>
      <c r="E656" s="3">
        <v>1171.6400000000001</v>
      </c>
      <c r="F656" s="3">
        <v>1723</v>
      </c>
    </row>
    <row r="657" spans="2:6" x14ac:dyDescent="0.25">
      <c r="B657" s="9" t="s">
        <v>333</v>
      </c>
      <c r="C657" s="3">
        <v>1274.6500000000001</v>
      </c>
      <c r="D657" s="3">
        <v>82</v>
      </c>
      <c r="E657" s="3">
        <v>1274.6500000000001</v>
      </c>
      <c r="F657" s="3">
        <v>1961</v>
      </c>
    </row>
    <row r="658" spans="2:6" x14ac:dyDescent="0.25">
      <c r="B658" s="11" t="s">
        <v>1056</v>
      </c>
      <c r="C658" s="3">
        <v>1274.6500000000001</v>
      </c>
      <c r="D658" s="3">
        <v>82</v>
      </c>
      <c r="E658" s="3">
        <v>1274.6500000000001</v>
      </c>
      <c r="F658" s="3">
        <v>1961</v>
      </c>
    </row>
    <row r="659" spans="2:6" x14ac:dyDescent="0.25">
      <c r="B659" s="9" t="s">
        <v>334</v>
      </c>
      <c r="C659" s="3">
        <v>3969</v>
      </c>
      <c r="D659" s="3">
        <v>94</v>
      </c>
      <c r="E659" s="3">
        <v>1984.5</v>
      </c>
      <c r="F659" s="3">
        <v>2646</v>
      </c>
    </row>
    <row r="660" spans="2:6" x14ac:dyDescent="0.25">
      <c r="B660" s="11" t="s">
        <v>1056</v>
      </c>
      <c r="C660" s="3">
        <v>3969</v>
      </c>
      <c r="D660" s="3">
        <v>94</v>
      </c>
      <c r="E660" s="3">
        <v>1984.5</v>
      </c>
      <c r="F660" s="3">
        <v>2646</v>
      </c>
    </row>
    <row r="661" spans="2:6" x14ac:dyDescent="0.25">
      <c r="B661" s="9" t="s">
        <v>335</v>
      </c>
      <c r="C661" s="3">
        <v>5695.44</v>
      </c>
      <c r="D661" s="3">
        <v>101</v>
      </c>
      <c r="E661" s="3">
        <v>2847.72</v>
      </c>
      <c r="F661" s="3">
        <v>3747</v>
      </c>
    </row>
    <row r="662" spans="2:6" x14ac:dyDescent="0.25">
      <c r="B662" s="11" t="s">
        <v>1056</v>
      </c>
      <c r="C662" s="3">
        <v>5695.44</v>
      </c>
      <c r="D662" s="3">
        <v>101</v>
      </c>
      <c r="E662" s="3">
        <v>2847.72</v>
      </c>
      <c r="F662" s="3">
        <v>3747</v>
      </c>
    </row>
    <row r="663" spans="2:6" x14ac:dyDescent="0.25">
      <c r="B663" s="9" t="s">
        <v>336</v>
      </c>
      <c r="C663" s="3">
        <v>10958.49</v>
      </c>
      <c r="D663" s="3">
        <v>97</v>
      </c>
      <c r="E663" s="3">
        <v>3652.83</v>
      </c>
      <c r="F663" s="3">
        <v>4401</v>
      </c>
    </row>
    <row r="664" spans="2:6" x14ac:dyDescent="0.25">
      <c r="B664" s="11" t="s">
        <v>1055</v>
      </c>
      <c r="C664" s="3">
        <v>10958.49</v>
      </c>
      <c r="D664" s="3">
        <v>97</v>
      </c>
      <c r="E664" s="3">
        <v>3652.83</v>
      </c>
      <c r="F664" s="3">
        <v>4401</v>
      </c>
    </row>
    <row r="665" spans="2:6" x14ac:dyDescent="0.25">
      <c r="B665" s="9" t="s">
        <v>337</v>
      </c>
      <c r="C665" s="3">
        <v>6674.6</v>
      </c>
      <c r="D665" s="3">
        <v>101</v>
      </c>
      <c r="E665" s="3">
        <v>6674.6</v>
      </c>
      <c r="F665" s="3">
        <v>7255</v>
      </c>
    </row>
    <row r="666" spans="2:6" x14ac:dyDescent="0.25">
      <c r="B666" s="11" t="s">
        <v>1059</v>
      </c>
      <c r="C666" s="3">
        <v>6674.6</v>
      </c>
      <c r="D666" s="3">
        <v>101</v>
      </c>
      <c r="E666" s="3">
        <v>6674.6</v>
      </c>
      <c r="F666" s="3">
        <v>7255</v>
      </c>
    </row>
    <row r="667" spans="2:6" x14ac:dyDescent="0.25">
      <c r="B667" s="9" t="s">
        <v>338</v>
      </c>
      <c r="C667" s="3">
        <v>9112.56</v>
      </c>
      <c r="D667" s="3">
        <v>65</v>
      </c>
      <c r="E667" s="3">
        <v>4556.28</v>
      </c>
      <c r="F667" s="3">
        <v>5298</v>
      </c>
    </row>
    <row r="668" spans="2:6" x14ac:dyDescent="0.25">
      <c r="B668" s="11" t="s">
        <v>1055</v>
      </c>
      <c r="C668" s="3">
        <v>9112.56</v>
      </c>
      <c r="D668" s="3">
        <v>65</v>
      </c>
      <c r="E668" s="3">
        <v>4556.28</v>
      </c>
      <c r="F668" s="3">
        <v>5298</v>
      </c>
    </row>
    <row r="669" spans="2:6" x14ac:dyDescent="0.25">
      <c r="B669" s="9" t="s">
        <v>339</v>
      </c>
      <c r="C669" s="3">
        <v>5089.4799999999996</v>
      </c>
      <c r="D669" s="3">
        <v>105</v>
      </c>
      <c r="E669" s="3">
        <v>5089.4799999999996</v>
      </c>
      <c r="F669" s="3">
        <v>5918</v>
      </c>
    </row>
    <row r="670" spans="2:6" x14ac:dyDescent="0.25">
      <c r="B670" s="11" t="s">
        <v>1055</v>
      </c>
      <c r="C670" s="3">
        <v>5089.4799999999996</v>
      </c>
      <c r="D670" s="3">
        <v>105</v>
      </c>
      <c r="E670" s="3">
        <v>5089.4799999999996</v>
      </c>
      <c r="F670" s="3">
        <v>5918</v>
      </c>
    </row>
    <row r="671" spans="2:6" x14ac:dyDescent="0.25">
      <c r="B671" s="9" t="s">
        <v>340</v>
      </c>
      <c r="C671" s="3">
        <v>2623.44</v>
      </c>
      <c r="D671" s="3">
        <v>118</v>
      </c>
      <c r="E671" s="3">
        <v>874.48</v>
      </c>
      <c r="F671" s="3">
        <v>1286</v>
      </c>
    </row>
    <row r="672" spans="2:6" x14ac:dyDescent="0.25">
      <c r="B672" s="11" t="s">
        <v>1056</v>
      </c>
      <c r="C672" s="3">
        <v>2623.44</v>
      </c>
      <c r="D672" s="3">
        <v>118</v>
      </c>
      <c r="E672" s="3">
        <v>874.48</v>
      </c>
      <c r="F672" s="3">
        <v>1286</v>
      </c>
    </row>
    <row r="673" spans="2:6" x14ac:dyDescent="0.25">
      <c r="B673" s="9" t="s">
        <v>341</v>
      </c>
      <c r="C673" s="3">
        <v>10795.68</v>
      </c>
      <c r="D673" s="3">
        <v>136</v>
      </c>
      <c r="E673" s="3">
        <v>5397.84</v>
      </c>
      <c r="F673" s="3">
        <v>6664</v>
      </c>
    </row>
    <row r="674" spans="2:6" x14ac:dyDescent="0.25">
      <c r="B674" s="11" t="s">
        <v>1055</v>
      </c>
      <c r="C674" s="3">
        <v>10795.68</v>
      </c>
      <c r="D674" s="3">
        <v>136</v>
      </c>
      <c r="E674" s="3">
        <v>5397.84</v>
      </c>
      <c r="F674" s="3">
        <v>6664</v>
      </c>
    </row>
    <row r="675" spans="2:6" x14ac:dyDescent="0.25">
      <c r="B675" s="9" t="s">
        <v>342</v>
      </c>
      <c r="C675" s="3">
        <v>3712</v>
      </c>
      <c r="D675" s="3">
        <v>113</v>
      </c>
      <c r="E675" s="3">
        <v>3712</v>
      </c>
      <c r="F675" s="3">
        <v>4640</v>
      </c>
    </row>
    <row r="676" spans="2:6" x14ac:dyDescent="0.25">
      <c r="B676" s="11" t="s">
        <v>1056</v>
      </c>
      <c r="C676" s="3">
        <v>3712</v>
      </c>
      <c r="D676" s="3">
        <v>113</v>
      </c>
      <c r="E676" s="3">
        <v>3712</v>
      </c>
      <c r="F676" s="3">
        <v>4640</v>
      </c>
    </row>
    <row r="677" spans="2:6" x14ac:dyDescent="0.25">
      <c r="B677" s="9" t="s">
        <v>343</v>
      </c>
      <c r="C677" s="3">
        <v>1278.2</v>
      </c>
      <c r="D677" s="3">
        <v>131</v>
      </c>
      <c r="E677" s="3">
        <v>639.1</v>
      </c>
      <c r="F677" s="3">
        <v>770</v>
      </c>
    </row>
    <row r="678" spans="2:6" x14ac:dyDescent="0.25">
      <c r="B678" s="11" t="s">
        <v>1055</v>
      </c>
      <c r="C678" s="3">
        <v>1278.2</v>
      </c>
      <c r="D678" s="3">
        <v>131</v>
      </c>
      <c r="E678" s="3">
        <v>639.1</v>
      </c>
      <c r="F678" s="3">
        <v>770</v>
      </c>
    </row>
    <row r="679" spans="2:6" x14ac:dyDescent="0.25">
      <c r="B679" s="9" t="s">
        <v>344</v>
      </c>
      <c r="C679" s="3">
        <v>14686.56</v>
      </c>
      <c r="D679" s="3">
        <v>156</v>
      </c>
      <c r="E679" s="3">
        <v>7343.28</v>
      </c>
      <c r="F679" s="3">
        <v>7896</v>
      </c>
    </row>
    <row r="680" spans="2:6" x14ac:dyDescent="0.25">
      <c r="B680" s="11" t="s">
        <v>1059</v>
      </c>
      <c r="C680" s="3">
        <v>14686.56</v>
      </c>
      <c r="D680" s="3">
        <v>156</v>
      </c>
      <c r="E680" s="3">
        <v>7343.28</v>
      </c>
      <c r="F680" s="3">
        <v>7896</v>
      </c>
    </row>
    <row r="681" spans="2:6" x14ac:dyDescent="0.25">
      <c r="B681" s="9" t="s">
        <v>345</v>
      </c>
      <c r="C681" s="3">
        <v>5691.16</v>
      </c>
      <c r="D681" s="3">
        <v>184</v>
      </c>
      <c r="E681" s="3">
        <v>2845.58</v>
      </c>
      <c r="F681" s="3">
        <v>3602</v>
      </c>
    </row>
    <row r="682" spans="2:6" x14ac:dyDescent="0.25">
      <c r="B682" s="11" t="s">
        <v>1056</v>
      </c>
      <c r="C682" s="3">
        <v>5691.16</v>
      </c>
      <c r="D682" s="3">
        <v>184</v>
      </c>
      <c r="E682" s="3">
        <v>2845.58</v>
      </c>
      <c r="F682" s="3">
        <v>3602</v>
      </c>
    </row>
    <row r="683" spans="2:6" x14ac:dyDescent="0.25">
      <c r="B683" s="9" t="s">
        <v>346</v>
      </c>
      <c r="C683" s="3">
        <v>2723.55</v>
      </c>
      <c r="D683" s="3">
        <v>73</v>
      </c>
      <c r="E683" s="3">
        <v>2723.55</v>
      </c>
      <c r="F683" s="3">
        <v>4065</v>
      </c>
    </row>
    <row r="684" spans="2:6" x14ac:dyDescent="0.25">
      <c r="B684" s="11" t="s">
        <v>1056</v>
      </c>
      <c r="C684" s="3">
        <v>2723.55</v>
      </c>
      <c r="D684" s="3">
        <v>73</v>
      </c>
      <c r="E684" s="3">
        <v>2723.55</v>
      </c>
      <c r="F684" s="3">
        <v>4065</v>
      </c>
    </row>
    <row r="685" spans="2:6" x14ac:dyDescent="0.25">
      <c r="B685" s="9" t="s">
        <v>347</v>
      </c>
      <c r="C685" s="3">
        <v>3337.5</v>
      </c>
      <c r="D685" s="3">
        <v>112</v>
      </c>
      <c r="E685" s="3">
        <v>3337.5</v>
      </c>
      <c r="F685" s="3">
        <v>4450</v>
      </c>
    </row>
    <row r="686" spans="2:6" x14ac:dyDescent="0.25">
      <c r="B686" s="11" t="s">
        <v>1056</v>
      </c>
      <c r="C686" s="3">
        <v>3337.5</v>
      </c>
      <c r="D686" s="3">
        <v>112</v>
      </c>
      <c r="E686" s="3">
        <v>3337.5</v>
      </c>
      <c r="F686" s="3">
        <v>4450</v>
      </c>
    </row>
    <row r="687" spans="2:6" x14ac:dyDescent="0.25">
      <c r="B687" s="9" t="s">
        <v>348</v>
      </c>
      <c r="C687" s="3">
        <v>5048.32</v>
      </c>
      <c r="D687" s="3">
        <v>35</v>
      </c>
      <c r="E687" s="3">
        <v>5048.32</v>
      </c>
      <c r="F687" s="3">
        <v>7424</v>
      </c>
    </row>
    <row r="688" spans="2:6" x14ac:dyDescent="0.25">
      <c r="B688" s="11" t="s">
        <v>1056</v>
      </c>
      <c r="C688" s="3">
        <v>5048.32</v>
      </c>
      <c r="D688" s="3">
        <v>35</v>
      </c>
      <c r="E688" s="3">
        <v>5048.32</v>
      </c>
      <c r="F688" s="3">
        <v>7424</v>
      </c>
    </row>
    <row r="689" spans="2:6" x14ac:dyDescent="0.25">
      <c r="B689" s="9" t="s">
        <v>349</v>
      </c>
      <c r="C689" s="3">
        <v>7087.08</v>
      </c>
      <c r="D689" s="3">
        <v>166</v>
      </c>
      <c r="E689" s="3">
        <v>2362.36</v>
      </c>
      <c r="F689" s="3">
        <v>2596</v>
      </c>
    </row>
    <row r="690" spans="2:6" x14ac:dyDescent="0.25">
      <c r="B690" s="11" t="s">
        <v>1059</v>
      </c>
      <c r="C690" s="3">
        <v>7087.08</v>
      </c>
      <c r="D690" s="3">
        <v>166</v>
      </c>
      <c r="E690" s="3">
        <v>2362.36</v>
      </c>
      <c r="F690" s="3">
        <v>2596</v>
      </c>
    </row>
    <row r="691" spans="2:6" x14ac:dyDescent="0.25">
      <c r="B691" s="9" t="s">
        <v>350</v>
      </c>
      <c r="C691" s="3">
        <v>3058.68</v>
      </c>
      <c r="D691" s="3">
        <v>57</v>
      </c>
      <c r="E691" s="3">
        <v>1529.34</v>
      </c>
      <c r="F691" s="3">
        <v>2154</v>
      </c>
    </row>
    <row r="692" spans="2:6" x14ac:dyDescent="0.25">
      <c r="B692" s="11" t="s">
        <v>1056</v>
      </c>
      <c r="C692" s="3">
        <v>3058.68</v>
      </c>
      <c r="D692" s="3">
        <v>57</v>
      </c>
      <c r="E692" s="3">
        <v>1529.34</v>
      </c>
      <c r="F692" s="3">
        <v>2154</v>
      </c>
    </row>
    <row r="693" spans="2:6" x14ac:dyDescent="0.25">
      <c r="B693" s="9" t="s">
        <v>351</v>
      </c>
      <c r="C693" s="3">
        <v>1233.98</v>
      </c>
      <c r="D693" s="3">
        <v>91</v>
      </c>
      <c r="E693" s="3">
        <v>616.99</v>
      </c>
      <c r="F693" s="3">
        <v>781</v>
      </c>
    </row>
    <row r="694" spans="2:6" x14ac:dyDescent="0.25">
      <c r="B694" s="11" t="s">
        <v>1056</v>
      </c>
      <c r="C694" s="3">
        <v>1233.98</v>
      </c>
      <c r="D694" s="3">
        <v>91</v>
      </c>
      <c r="E694" s="3">
        <v>616.99</v>
      </c>
      <c r="F694" s="3">
        <v>781</v>
      </c>
    </row>
    <row r="695" spans="2:6" x14ac:dyDescent="0.25">
      <c r="B695" s="9" t="s">
        <v>352</v>
      </c>
      <c r="C695" s="3">
        <v>131.04</v>
      </c>
      <c r="D695" s="3">
        <v>68</v>
      </c>
      <c r="E695" s="3">
        <v>43.68</v>
      </c>
      <c r="F695" s="3">
        <v>52</v>
      </c>
    </row>
    <row r="696" spans="2:6" x14ac:dyDescent="0.25">
      <c r="B696" s="11" t="s">
        <v>1055</v>
      </c>
      <c r="C696" s="3">
        <v>131.04</v>
      </c>
      <c r="D696" s="3">
        <v>68</v>
      </c>
      <c r="E696" s="3">
        <v>43.68</v>
      </c>
      <c r="F696" s="3">
        <v>52</v>
      </c>
    </row>
    <row r="697" spans="2:6" x14ac:dyDescent="0.25">
      <c r="B697" s="9" t="s">
        <v>353</v>
      </c>
      <c r="C697" s="3">
        <v>6715.28</v>
      </c>
      <c r="D697" s="3">
        <v>58</v>
      </c>
      <c r="E697" s="3">
        <v>6715.28</v>
      </c>
      <c r="F697" s="3">
        <v>7631</v>
      </c>
    </row>
    <row r="698" spans="2:6" x14ac:dyDescent="0.25">
      <c r="B698" s="11" t="s">
        <v>1055</v>
      </c>
      <c r="C698" s="3">
        <v>6715.28</v>
      </c>
      <c r="D698" s="3">
        <v>58</v>
      </c>
      <c r="E698" s="3">
        <v>6715.28</v>
      </c>
      <c r="F698" s="3">
        <v>7631</v>
      </c>
    </row>
    <row r="699" spans="2:6" x14ac:dyDescent="0.25">
      <c r="B699" s="9" t="s">
        <v>354</v>
      </c>
      <c r="C699" s="3">
        <v>1443.6</v>
      </c>
      <c r="D699" s="3">
        <v>110</v>
      </c>
      <c r="E699" s="3">
        <v>1443.6</v>
      </c>
      <c r="F699" s="3">
        <v>2005</v>
      </c>
    </row>
    <row r="700" spans="2:6" x14ac:dyDescent="0.25">
      <c r="B700" s="11" t="s">
        <v>1056</v>
      </c>
      <c r="C700" s="3">
        <v>1443.6</v>
      </c>
      <c r="D700" s="3">
        <v>110</v>
      </c>
      <c r="E700" s="3">
        <v>1443.6</v>
      </c>
      <c r="F700" s="3">
        <v>2005</v>
      </c>
    </row>
    <row r="701" spans="2:6" x14ac:dyDescent="0.25">
      <c r="B701" s="9" t="s">
        <v>355</v>
      </c>
      <c r="C701" s="3">
        <v>203.67000000000002</v>
      </c>
      <c r="D701" s="3">
        <v>18</v>
      </c>
      <c r="E701" s="3">
        <v>67.89</v>
      </c>
      <c r="F701" s="3">
        <v>93</v>
      </c>
    </row>
    <row r="702" spans="2:6" x14ac:dyDescent="0.25">
      <c r="B702" s="11" t="s">
        <v>1056</v>
      </c>
      <c r="C702" s="3">
        <v>203.67000000000002</v>
      </c>
      <c r="D702" s="3">
        <v>18</v>
      </c>
      <c r="E702" s="3">
        <v>67.89</v>
      </c>
      <c r="F702" s="3">
        <v>93</v>
      </c>
    </row>
    <row r="703" spans="2:6" x14ac:dyDescent="0.25">
      <c r="B703" s="9" t="s">
        <v>356</v>
      </c>
      <c r="C703" s="3">
        <v>11221.92</v>
      </c>
      <c r="D703" s="3">
        <v>71</v>
      </c>
      <c r="E703" s="3">
        <v>5610.96</v>
      </c>
      <c r="F703" s="3">
        <v>7793</v>
      </c>
    </row>
    <row r="704" spans="2:6" x14ac:dyDescent="0.25">
      <c r="B704" s="11" t="s">
        <v>1056</v>
      </c>
      <c r="C704" s="3">
        <v>11221.92</v>
      </c>
      <c r="D704" s="3">
        <v>71</v>
      </c>
      <c r="E704" s="3">
        <v>5610.96</v>
      </c>
      <c r="F704" s="3">
        <v>7793</v>
      </c>
    </row>
    <row r="705" spans="2:6" x14ac:dyDescent="0.25">
      <c r="B705" s="9" t="s">
        <v>357</v>
      </c>
      <c r="C705" s="3">
        <v>9305.84</v>
      </c>
      <c r="D705" s="3">
        <v>139</v>
      </c>
      <c r="E705" s="3">
        <v>4652.92</v>
      </c>
      <c r="F705" s="3">
        <v>5228</v>
      </c>
    </row>
    <row r="706" spans="2:6" x14ac:dyDescent="0.25">
      <c r="B706" s="11" t="s">
        <v>1055</v>
      </c>
      <c r="C706" s="3">
        <v>9305.84</v>
      </c>
      <c r="D706" s="3">
        <v>139</v>
      </c>
      <c r="E706" s="3">
        <v>4652.92</v>
      </c>
      <c r="F706" s="3">
        <v>5228</v>
      </c>
    </row>
    <row r="707" spans="2:6" x14ac:dyDescent="0.25">
      <c r="B707" s="9" t="s">
        <v>358</v>
      </c>
      <c r="C707" s="3">
        <v>5542.32</v>
      </c>
      <c r="D707" s="3">
        <v>155</v>
      </c>
      <c r="E707" s="3">
        <v>2771.16</v>
      </c>
      <c r="F707" s="3">
        <v>3299</v>
      </c>
    </row>
    <row r="708" spans="2:6" x14ac:dyDescent="0.25">
      <c r="B708" s="11" t="s">
        <v>1055</v>
      </c>
      <c r="C708" s="3">
        <v>5542.32</v>
      </c>
      <c r="D708" s="3">
        <v>155</v>
      </c>
      <c r="E708" s="3">
        <v>2771.16</v>
      </c>
      <c r="F708" s="3">
        <v>3299</v>
      </c>
    </row>
    <row r="709" spans="2:6" x14ac:dyDescent="0.25">
      <c r="B709" s="9" t="s">
        <v>359</v>
      </c>
      <c r="C709" s="3">
        <v>3103.84</v>
      </c>
      <c r="D709" s="3">
        <v>182</v>
      </c>
      <c r="E709" s="3">
        <v>3103.84</v>
      </c>
      <c r="F709" s="3">
        <v>4084</v>
      </c>
    </row>
    <row r="710" spans="2:6" x14ac:dyDescent="0.25">
      <c r="B710" s="11" t="s">
        <v>1056</v>
      </c>
      <c r="C710" s="3">
        <v>3103.84</v>
      </c>
      <c r="D710" s="3">
        <v>182</v>
      </c>
      <c r="E710" s="3">
        <v>3103.84</v>
      </c>
      <c r="F710" s="3">
        <v>4084</v>
      </c>
    </row>
    <row r="711" spans="2:6" x14ac:dyDescent="0.25">
      <c r="B711" s="9" t="s">
        <v>360</v>
      </c>
      <c r="C711" s="3">
        <v>16303.02</v>
      </c>
      <c r="D711" s="3">
        <v>32</v>
      </c>
      <c r="E711" s="3">
        <v>5434.34</v>
      </c>
      <c r="F711" s="3">
        <v>7654</v>
      </c>
    </row>
    <row r="712" spans="2:6" x14ac:dyDescent="0.25">
      <c r="B712" s="11" t="s">
        <v>1056</v>
      </c>
      <c r="C712" s="3">
        <v>16303.02</v>
      </c>
      <c r="D712" s="3">
        <v>32</v>
      </c>
      <c r="E712" s="3">
        <v>5434.34</v>
      </c>
      <c r="F712" s="3">
        <v>7654</v>
      </c>
    </row>
    <row r="713" spans="2:6" x14ac:dyDescent="0.25">
      <c r="B713" s="9" t="s">
        <v>361</v>
      </c>
      <c r="C713" s="3">
        <v>4264.78</v>
      </c>
      <c r="D713" s="3">
        <v>79</v>
      </c>
      <c r="E713" s="3">
        <v>4264.78</v>
      </c>
      <c r="F713" s="3">
        <v>4537</v>
      </c>
    </row>
    <row r="714" spans="2:6" x14ac:dyDescent="0.25">
      <c r="B714" s="11" t="s">
        <v>1059</v>
      </c>
      <c r="C714" s="3">
        <v>4264.78</v>
      </c>
      <c r="D714" s="3">
        <v>79</v>
      </c>
      <c r="E714" s="3">
        <v>4264.78</v>
      </c>
      <c r="F714" s="3">
        <v>4537</v>
      </c>
    </row>
    <row r="715" spans="2:6" x14ac:dyDescent="0.25">
      <c r="B715" s="9" t="s">
        <v>362</v>
      </c>
      <c r="C715" s="3">
        <v>9712.9500000000007</v>
      </c>
      <c r="D715" s="3">
        <v>196</v>
      </c>
      <c r="E715" s="3">
        <v>3237.65</v>
      </c>
      <c r="F715" s="3">
        <v>3809</v>
      </c>
    </row>
    <row r="716" spans="2:6" x14ac:dyDescent="0.25">
      <c r="B716" s="11" t="s">
        <v>1055</v>
      </c>
      <c r="C716" s="3">
        <v>9712.9500000000007</v>
      </c>
      <c r="D716" s="3">
        <v>196</v>
      </c>
      <c r="E716" s="3">
        <v>3237.65</v>
      </c>
      <c r="F716" s="3">
        <v>3809</v>
      </c>
    </row>
    <row r="717" spans="2:6" x14ac:dyDescent="0.25">
      <c r="B717" s="9" t="s">
        <v>363</v>
      </c>
      <c r="C717" s="3">
        <v>2786.1000000000004</v>
      </c>
      <c r="D717" s="3">
        <v>36</v>
      </c>
      <c r="E717" s="3">
        <v>928.7</v>
      </c>
      <c r="F717" s="3">
        <v>1255</v>
      </c>
    </row>
    <row r="718" spans="2:6" x14ac:dyDescent="0.25">
      <c r="B718" s="11" t="s">
        <v>1056</v>
      </c>
      <c r="C718" s="3">
        <v>2786.1000000000004</v>
      </c>
      <c r="D718" s="3">
        <v>36</v>
      </c>
      <c r="E718" s="3">
        <v>928.7</v>
      </c>
      <c r="F718" s="3">
        <v>1255</v>
      </c>
    </row>
    <row r="719" spans="2:6" x14ac:dyDescent="0.25">
      <c r="B719" s="9" t="s">
        <v>364</v>
      </c>
      <c r="C719" s="3">
        <v>12678.72</v>
      </c>
      <c r="D719" s="3">
        <v>122</v>
      </c>
      <c r="E719" s="3">
        <v>4226.24</v>
      </c>
      <c r="F719" s="3">
        <v>4496</v>
      </c>
    </row>
    <row r="720" spans="2:6" x14ac:dyDescent="0.25">
      <c r="B720" s="11" t="s">
        <v>1059</v>
      </c>
      <c r="C720" s="3">
        <v>12678.72</v>
      </c>
      <c r="D720" s="3">
        <v>122</v>
      </c>
      <c r="E720" s="3">
        <v>4226.24</v>
      </c>
      <c r="F720" s="3">
        <v>4496</v>
      </c>
    </row>
    <row r="721" spans="2:6" x14ac:dyDescent="0.25">
      <c r="B721" s="9" t="s">
        <v>365</v>
      </c>
      <c r="C721" s="3">
        <v>10469.25</v>
      </c>
      <c r="D721" s="3">
        <v>175</v>
      </c>
      <c r="E721" s="3">
        <v>3489.75</v>
      </c>
      <c r="F721" s="3">
        <v>4653</v>
      </c>
    </row>
    <row r="722" spans="2:6" x14ac:dyDescent="0.25">
      <c r="B722" s="11" t="s">
        <v>1056</v>
      </c>
      <c r="C722" s="3">
        <v>10469.25</v>
      </c>
      <c r="D722" s="3">
        <v>175</v>
      </c>
      <c r="E722" s="3">
        <v>3489.75</v>
      </c>
      <c r="F722" s="3">
        <v>4653</v>
      </c>
    </row>
    <row r="723" spans="2:6" x14ac:dyDescent="0.25">
      <c r="B723" s="9" t="s">
        <v>366</v>
      </c>
      <c r="C723" s="3">
        <v>2955.64</v>
      </c>
      <c r="D723" s="3">
        <v>94</v>
      </c>
      <c r="E723" s="3">
        <v>2955.64</v>
      </c>
      <c r="F723" s="3">
        <v>3889</v>
      </c>
    </row>
    <row r="724" spans="2:6" x14ac:dyDescent="0.25">
      <c r="B724" s="11" t="s">
        <v>1056</v>
      </c>
      <c r="C724" s="3">
        <v>2955.64</v>
      </c>
      <c r="D724" s="3">
        <v>94</v>
      </c>
      <c r="E724" s="3">
        <v>2955.64</v>
      </c>
      <c r="F724" s="3">
        <v>3889</v>
      </c>
    </row>
    <row r="725" spans="2:6" x14ac:dyDescent="0.25">
      <c r="B725" s="9" t="s">
        <v>367</v>
      </c>
      <c r="C725" s="3">
        <v>17108.91</v>
      </c>
      <c r="D725" s="3">
        <v>57</v>
      </c>
      <c r="E725" s="3">
        <v>5702.97</v>
      </c>
      <c r="F725" s="3">
        <v>6267</v>
      </c>
    </row>
    <row r="726" spans="2:6" x14ac:dyDescent="0.25">
      <c r="B726" s="11" t="s">
        <v>1059</v>
      </c>
      <c r="C726" s="3">
        <v>17108.91</v>
      </c>
      <c r="D726" s="3">
        <v>57</v>
      </c>
      <c r="E726" s="3">
        <v>5702.97</v>
      </c>
      <c r="F726" s="3">
        <v>6267</v>
      </c>
    </row>
    <row r="727" spans="2:6" x14ac:dyDescent="0.25">
      <c r="B727" s="9" t="s">
        <v>368</v>
      </c>
      <c r="C727" s="3">
        <v>2248.56</v>
      </c>
      <c r="D727" s="3">
        <v>59</v>
      </c>
      <c r="E727" s="3">
        <v>1124.28</v>
      </c>
      <c r="F727" s="3">
        <v>1388</v>
      </c>
    </row>
    <row r="728" spans="2:6" x14ac:dyDescent="0.25">
      <c r="B728" s="11" t="s">
        <v>1055</v>
      </c>
      <c r="C728" s="3">
        <v>2248.56</v>
      </c>
      <c r="D728" s="3">
        <v>59</v>
      </c>
      <c r="E728" s="3">
        <v>1124.28</v>
      </c>
      <c r="F728" s="3">
        <v>1388</v>
      </c>
    </row>
    <row r="729" spans="2:6" x14ac:dyDescent="0.25">
      <c r="B729" s="9" t="s">
        <v>369</v>
      </c>
      <c r="C729" s="3">
        <v>14359.5</v>
      </c>
      <c r="D729" s="3">
        <v>129</v>
      </c>
      <c r="E729" s="3">
        <v>4786.5</v>
      </c>
      <c r="F729" s="3">
        <v>6382</v>
      </c>
    </row>
    <row r="730" spans="2:6" x14ac:dyDescent="0.25">
      <c r="B730" s="11" t="s">
        <v>1056</v>
      </c>
      <c r="C730" s="3">
        <v>14359.5</v>
      </c>
      <c r="D730" s="3">
        <v>129</v>
      </c>
      <c r="E730" s="3">
        <v>4786.5</v>
      </c>
      <c r="F730" s="3">
        <v>6382</v>
      </c>
    </row>
    <row r="731" spans="2:6" x14ac:dyDescent="0.25">
      <c r="B731" s="9" t="s">
        <v>370</v>
      </c>
      <c r="C731" s="3">
        <v>13966.11</v>
      </c>
      <c r="D731" s="3">
        <v>73</v>
      </c>
      <c r="E731" s="3">
        <v>4655.37</v>
      </c>
      <c r="F731" s="3">
        <v>5351</v>
      </c>
    </row>
    <row r="732" spans="2:6" x14ac:dyDescent="0.25">
      <c r="B732" s="11" t="s">
        <v>1055</v>
      </c>
      <c r="C732" s="3">
        <v>13966.11</v>
      </c>
      <c r="D732" s="3">
        <v>73</v>
      </c>
      <c r="E732" s="3">
        <v>4655.37</v>
      </c>
      <c r="F732" s="3">
        <v>5351</v>
      </c>
    </row>
    <row r="733" spans="2:6" x14ac:dyDescent="0.25">
      <c r="B733" s="9" t="s">
        <v>371</v>
      </c>
      <c r="C733" s="3">
        <v>2274.3000000000002</v>
      </c>
      <c r="D733" s="3">
        <v>121</v>
      </c>
      <c r="E733" s="3">
        <v>2274.3000000000002</v>
      </c>
      <c r="F733" s="3">
        <v>2527</v>
      </c>
    </row>
    <row r="734" spans="2:6" x14ac:dyDescent="0.25">
      <c r="B734" s="11" t="s">
        <v>1055</v>
      </c>
      <c r="C734" s="3">
        <v>2274.3000000000002</v>
      </c>
      <c r="D734" s="3">
        <v>121</v>
      </c>
      <c r="E734" s="3">
        <v>2274.3000000000002</v>
      </c>
      <c r="F734" s="3">
        <v>2527</v>
      </c>
    </row>
    <row r="735" spans="2:6" x14ac:dyDescent="0.25">
      <c r="B735" s="9" t="s">
        <v>372</v>
      </c>
      <c r="C735" s="3">
        <v>5023.6099999999997</v>
      </c>
      <c r="D735" s="3">
        <v>103</v>
      </c>
      <c r="E735" s="3">
        <v>5023.6099999999997</v>
      </c>
      <c r="F735" s="3">
        <v>6359</v>
      </c>
    </row>
    <row r="736" spans="2:6" x14ac:dyDescent="0.25">
      <c r="B736" s="11" t="s">
        <v>1056</v>
      </c>
      <c r="C736" s="3">
        <v>5023.6099999999997</v>
      </c>
      <c r="D736" s="3">
        <v>103</v>
      </c>
      <c r="E736" s="3">
        <v>5023.6099999999997</v>
      </c>
      <c r="F736" s="3">
        <v>6359</v>
      </c>
    </row>
    <row r="737" spans="2:6" x14ac:dyDescent="0.25">
      <c r="B737" s="9" t="s">
        <v>373</v>
      </c>
      <c r="C737" s="3">
        <v>1278.2</v>
      </c>
      <c r="D737" s="3">
        <v>159</v>
      </c>
      <c r="E737" s="3">
        <v>1278.2</v>
      </c>
      <c r="F737" s="3">
        <v>1660</v>
      </c>
    </row>
    <row r="738" spans="2:6" x14ac:dyDescent="0.25">
      <c r="B738" s="11" t="s">
        <v>1056</v>
      </c>
      <c r="C738" s="3">
        <v>1278.2</v>
      </c>
      <c r="D738" s="3">
        <v>159</v>
      </c>
      <c r="E738" s="3">
        <v>1278.2</v>
      </c>
      <c r="F738" s="3">
        <v>1660</v>
      </c>
    </row>
    <row r="739" spans="2:6" x14ac:dyDescent="0.25">
      <c r="B739" s="9" t="s">
        <v>374</v>
      </c>
      <c r="C739" s="3">
        <v>2121.75</v>
      </c>
      <c r="D739" s="3">
        <v>185</v>
      </c>
      <c r="E739" s="3">
        <v>707.25</v>
      </c>
      <c r="F739" s="3">
        <v>1025</v>
      </c>
    </row>
    <row r="740" spans="2:6" x14ac:dyDescent="0.25">
      <c r="B740" s="11" t="s">
        <v>1056</v>
      </c>
      <c r="C740" s="3">
        <v>2121.75</v>
      </c>
      <c r="D740" s="3">
        <v>185</v>
      </c>
      <c r="E740" s="3">
        <v>707.25</v>
      </c>
      <c r="F740" s="3">
        <v>1025</v>
      </c>
    </row>
    <row r="741" spans="2:6" x14ac:dyDescent="0.25">
      <c r="B741" s="9" t="s">
        <v>375</v>
      </c>
      <c r="C741" s="3">
        <v>2901.54</v>
      </c>
      <c r="D741" s="3">
        <v>66</v>
      </c>
      <c r="E741" s="3">
        <v>967.18</v>
      </c>
      <c r="F741" s="3">
        <v>1307</v>
      </c>
    </row>
    <row r="742" spans="2:6" x14ac:dyDescent="0.25">
      <c r="B742" s="11" t="s">
        <v>1056</v>
      </c>
      <c r="C742" s="3">
        <v>2901.54</v>
      </c>
      <c r="D742" s="3">
        <v>66</v>
      </c>
      <c r="E742" s="3">
        <v>967.18</v>
      </c>
      <c r="F742" s="3">
        <v>1307</v>
      </c>
    </row>
    <row r="743" spans="2:6" x14ac:dyDescent="0.25">
      <c r="B743" s="9" t="s">
        <v>376</v>
      </c>
      <c r="C743" s="3">
        <v>5390.28</v>
      </c>
      <c r="D743" s="3">
        <v>156</v>
      </c>
      <c r="E743" s="3">
        <v>2695.14</v>
      </c>
      <c r="F743" s="3">
        <v>3906</v>
      </c>
    </row>
    <row r="744" spans="2:6" x14ac:dyDescent="0.25">
      <c r="B744" s="11" t="s">
        <v>1056</v>
      </c>
      <c r="C744" s="3">
        <v>5390.28</v>
      </c>
      <c r="D744" s="3">
        <v>156</v>
      </c>
      <c r="E744" s="3">
        <v>2695.14</v>
      </c>
      <c r="F744" s="3">
        <v>3906</v>
      </c>
    </row>
    <row r="745" spans="2:6" x14ac:dyDescent="0.25">
      <c r="B745" s="9" t="s">
        <v>377</v>
      </c>
      <c r="C745" s="3">
        <v>7797</v>
      </c>
      <c r="D745" s="3">
        <v>93</v>
      </c>
      <c r="E745" s="3">
        <v>2599</v>
      </c>
      <c r="F745" s="3">
        <v>2825</v>
      </c>
    </row>
    <row r="746" spans="2:6" x14ac:dyDescent="0.25">
      <c r="B746" s="11" t="s">
        <v>1059</v>
      </c>
      <c r="C746" s="3">
        <v>7797</v>
      </c>
      <c r="D746" s="3">
        <v>93</v>
      </c>
      <c r="E746" s="3">
        <v>2599</v>
      </c>
      <c r="F746" s="3">
        <v>2825</v>
      </c>
    </row>
    <row r="747" spans="2:6" x14ac:dyDescent="0.25">
      <c r="B747" s="9" t="s">
        <v>378</v>
      </c>
      <c r="C747" s="3">
        <v>4630.5600000000004</v>
      </c>
      <c r="D747" s="3">
        <v>48</v>
      </c>
      <c r="E747" s="3">
        <v>4630.5600000000004</v>
      </c>
      <c r="F747" s="3">
        <v>5262</v>
      </c>
    </row>
    <row r="748" spans="2:6" x14ac:dyDescent="0.25">
      <c r="B748" s="11" t="s">
        <v>1055</v>
      </c>
      <c r="C748" s="3">
        <v>4630.5600000000004</v>
      </c>
      <c r="D748" s="3">
        <v>48</v>
      </c>
      <c r="E748" s="3">
        <v>4630.5600000000004</v>
      </c>
      <c r="F748" s="3">
        <v>5262</v>
      </c>
    </row>
    <row r="749" spans="2:6" x14ac:dyDescent="0.25">
      <c r="B749" s="9" t="s">
        <v>379</v>
      </c>
      <c r="C749" s="3">
        <v>17099.91</v>
      </c>
      <c r="D749" s="3">
        <v>129</v>
      </c>
      <c r="E749" s="3">
        <v>5699.97</v>
      </c>
      <c r="F749" s="3">
        <v>6129</v>
      </c>
    </row>
    <row r="750" spans="2:6" x14ac:dyDescent="0.25">
      <c r="B750" s="11" t="s">
        <v>1059</v>
      </c>
      <c r="C750" s="3">
        <v>17099.91</v>
      </c>
      <c r="D750" s="3">
        <v>129</v>
      </c>
      <c r="E750" s="3">
        <v>5699.97</v>
      </c>
      <c r="F750" s="3">
        <v>6129</v>
      </c>
    </row>
    <row r="751" spans="2:6" x14ac:dyDescent="0.25">
      <c r="B751" s="9" t="s">
        <v>380</v>
      </c>
      <c r="C751" s="3">
        <v>4131</v>
      </c>
      <c r="D751" s="3">
        <v>137</v>
      </c>
      <c r="E751" s="3">
        <v>2065.5</v>
      </c>
      <c r="F751" s="3">
        <v>2550</v>
      </c>
    </row>
    <row r="752" spans="2:6" x14ac:dyDescent="0.25">
      <c r="B752" s="11" t="s">
        <v>1055</v>
      </c>
      <c r="C752" s="3">
        <v>4131</v>
      </c>
      <c r="D752" s="3">
        <v>137</v>
      </c>
      <c r="E752" s="3">
        <v>2065.5</v>
      </c>
      <c r="F752" s="3">
        <v>2550</v>
      </c>
    </row>
    <row r="753" spans="2:6" x14ac:dyDescent="0.25">
      <c r="B753" s="9" t="s">
        <v>381</v>
      </c>
      <c r="C753" s="3">
        <v>1726.4</v>
      </c>
      <c r="D753" s="3">
        <v>190</v>
      </c>
      <c r="E753" s="3">
        <v>863.2</v>
      </c>
      <c r="F753" s="3">
        <v>1040</v>
      </c>
    </row>
    <row r="754" spans="2:6" x14ac:dyDescent="0.25">
      <c r="B754" s="11" t="s">
        <v>1055</v>
      </c>
      <c r="C754" s="3">
        <v>1726.4</v>
      </c>
      <c r="D754" s="3">
        <v>190</v>
      </c>
      <c r="E754" s="3">
        <v>863.2</v>
      </c>
      <c r="F754" s="3">
        <v>1040</v>
      </c>
    </row>
    <row r="755" spans="2:6" x14ac:dyDescent="0.25">
      <c r="B755" s="9" t="s">
        <v>382</v>
      </c>
      <c r="C755" s="3">
        <v>1894.58</v>
      </c>
      <c r="D755" s="3">
        <v>176</v>
      </c>
      <c r="E755" s="3">
        <v>1894.58</v>
      </c>
      <c r="F755" s="3">
        <v>2203</v>
      </c>
    </row>
    <row r="756" spans="2:6" x14ac:dyDescent="0.25">
      <c r="B756" s="11" t="s">
        <v>1055</v>
      </c>
      <c r="C756" s="3">
        <v>1894.58</v>
      </c>
      <c r="D756" s="3">
        <v>176</v>
      </c>
      <c r="E756" s="3">
        <v>1894.58</v>
      </c>
      <c r="F756" s="3">
        <v>2203</v>
      </c>
    </row>
    <row r="757" spans="2:6" x14ac:dyDescent="0.25">
      <c r="B757" s="9" t="s">
        <v>383</v>
      </c>
      <c r="C757" s="3">
        <v>15345.599999999999</v>
      </c>
      <c r="D757" s="3">
        <v>197</v>
      </c>
      <c r="E757" s="3">
        <v>5115.2</v>
      </c>
      <c r="F757" s="3">
        <v>6394</v>
      </c>
    </row>
    <row r="758" spans="2:6" x14ac:dyDescent="0.25">
      <c r="B758" s="11" t="s">
        <v>1056</v>
      </c>
      <c r="C758" s="3">
        <v>15345.599999999999</v>
      </c>
      <c r="D758" s="3">
        <v>197</v>
      </c>
      <c r="E758" s="3">
        <v>5115.2</v>
      </c>
      <c r="F758" s="3">
        <v>6394</v>
      </c>
    </row>
    <row r="759" spans="2:6" x14ac:dyDescent="0.25">
      <c r="B759" s="9" t="s">
        <v>384</v>
      </c>
      <c r="C759" s="3">
        <v>5839.47</v>
      </c>
      <c r="D759" s="3">
        <v>90</v>
      </c>
      <c r="E759" s="3">
        <v>5839.47</v>
      </c>
      <c r="F759" s="3">
        <v>6417</v>
      </c>
    </row>
    <row r="760" spans="2:6" x14ac:dyDescent="0.25">
      <c r="B760" s="11" t="s">
        <v>1059</v>
      </c>
      <c r="C760" s="3">
        <v>5839.47</v>
      </c>
      <c r="D760" s="3">
        <v>90</v>
      </c>
      <c r="E760" s="3">
        <v>5839.47</v>
      </c>
      <c r="F760" s="3">
        <v>6417</v>
      </c>
    </row>
    <row r="761" spans="2:6" x14ac:dyDescent="0.25">
      <c r="B761" s="9" t="s">
        <v>385</v>
      </c>
      <c r="C761" s="3">
        <v>6440.9400000000005</v>
      </c>
      <c r="D761" s="3">
        <v>86</v>
      </c>
      <c r="E761" s="3">
        <v>2146.98</v>
      </c>
      <c r="F761" s="3">
        <v>3253</v>
      </c>
    </row>
    <row r="762" spans="2:6" x14ac:dyDescent="0.25">
      <c r="B762" s="11" t="s">
        <v>1056</v>
      </c>
      <c r="C762" s="3">
        <v>6440.9400000000005</v>
      </c>
      <c r="D762" s="3">
        <v>86</v>
      </c>
      <c r="E762" s="3">
        <v>2146.98</v>
      </c>
      <c r="F762" s="3">
        <v>3253</v>
      </c>
    </row>
    <row r="763" spans="2:6" x14ac:dyDescent="0.25">
      <c r="B763" s="9" t="s">
        <v>386</v>
      </c>
      <c r="C763" s="3">
        <v>14597.099999999999</v>
      </c>
      <c r="D763" s="3">
        <v>175</v>
      </c>
      <c r="E763" s="3">
        <v>4865.7</v>
      </c>
      <c r="F763" s="3">
        <v>6951</v>
      </c>
    </row>
    <row r="764" spans="2:6" x14ac:dyDescent="0.25">
      <c r="B764" s="11" t="s">
        <v>1056</v>
      </c>
      <c r="C764" s="3">
        <v>14597.099999999999</v>
      </c>
      <c r="D764" s="3">
        <v>175</v>
      </c>
      <c r="E764" s="3">
        <v>4865.7</v>
      </c>
      <c r="F764" s="3">
        <v>6951</v>
      </c>
    </row>
    <row r="765" spans="2:6" x14ac:dyDescent="0.25">
      <c r="B765" s="9" t="s">
        <v>387</v>
      </c>
      <c r="C765" s="3">
        <v>5462.04</v>
      </c>
      <c r="D765" s="3">
        <v>40</v>
      </c>
      <c r="E765" s="3">
        <v>5462.04</v>
      </c>
      <c r="F765" s="3">
        <v>5937</v>
      </c>
    </row>
    <row r="766" spans="2:6" x14ac:dyDescent="0.25">
      <c r="B766" s="11" t="s">
        <v>1059</v>
      </c>
      <c r="C766" s="3">
        <v>5462.04</v>
      </c>
      <c r="D766" s="3">
        <v>40</v>
      </c>
      <c r="E766" s="3">
        <v>5462.04</v>
      </c>
      <c r="F766" s="3">
        <v>5937</v>
      </c>
    </row>
    <row r="767" spans="2:6" x14ac:dyDescent="0.25">
      <c r="B767" s="9" t="s">
        <v>388</v>
      </c>
      <c r="C767" s="3">
        <v>2258.61</v>
      </c>
      <c r="D767" s="3">
        <v>141</v>
      </c>
      <c r="E767" s="3">
        <v>2258.61</v>
      </c>
      <c r="F767" s="3">
        <v>2859</v>
      </c>
    </row>
    <row r="768" spans="2:6" x14ac:dyDescent="0.25">
      <c r="B768" s="11" t="s">
        <v>1056</v>
      </c>
      <c r="C768" s="3">
        <v>2258.61</v>
      </c>
      <c r="D768" s="3">
        <v>141</v>
      </c>
      <c r="E768" s="3">
        <v>2258.61</v>
      </c>
      <c r="F768" s="3">
        <v>2859</v>
      </c>
    </row>
    <row r="769" spans="2:6" x14ac:dyDescent="0.25">
      <c r="B769" s="9" t="s">
        <v>389</v>
      </c>
      <c r="C769" s="3">
        <v>4906.9799999999996</v>
      </c>
      <c r="D769" s="3">
        <v>26</v>
      </c>
      <c r="E769" s="3">
        <v>2453.4899999999998</v>
      </c>
      <c r="F769" s="3">
        <v>3029</v>
      </c>
    </row>
    <row r="770" spans="2:6" x14ac:dyDescent="0.25">
      <c r="B770" s="11" t="s">
        <v>1055</v>
      </c>
      <c r="C770" s="3">
        <v>4906.9799999999996</v>
      </c>
      <c r="D770" s="3">
        <v>26</v>
      </c>
      <c r="E770" s="3">
        <v>2453.4899999999998</v>
      </c>
      <c r="F770" s="3">
        <v>3029</v>
      </c>
    </row>
    <row r="771" spans="2:6" x14ac:dyDescent="0.25">
      <c r="B771" s="9" t="s">
        <v>390</v>
      </c>
      <c r="C771" s="3">
        <v>2552.4499999999998</v>
      </c>
      <c r="D771" s="3">
        <v>165</v>
      </c>
      <c r="E771" s="3">
        <v>2552.4499999999998</v>
      </c>
      <c r="F771" s="3">
        <v>3595</v>
      </c>
    </row>
    <row r="772" spans="2:6" x14ac:dyDescent="0.25">
      <c r="B772" s="11" t="s">
        <v>1056</v>
      </c>
      <c r="C772" s="3">
        <v>2552.4499999999998</v>
      </c>
      <c r="D772" s="3">
        <v>165</v>
      </c>
      <c r="E772" s="3">
        <v>2552.4499999999998</v>
      </c>
      <c r="F772" s="3">
        <v>3595</v>
      </c>
    </row>
    <row r="773" spans="2:6" x14ac:dyDescent="0.25">
      <c r="B773" s="9" t="s">
        <v>391</v>
      </c>
      <c r="C773" s="3">
        <v>1232.8</v>
      </c>
      <c r="D773" s="3">
        <v>103</v>
      </c>
      <c r="E773" s="3">
        <v>616.4</v>
      </c>
      <c r="F773" s="3">
        <v>920</v>
      </c>
    </row>
    <row r="774" spans="2:6" x14ac:dyDescent="0.25">
      <c r="B774" s="11" t="s">
        <v>1056</v>
      </c>
      <c r="C774" s="3">
        <v>1232.8</v>
      </c>
      <c r="D774" s="3">
        <v>103</v>
      </c>
      <c r="E774" s="3">
        <v>616.4</v>
      </c>
      <c r="F774" s="3">
        <v>920</v>
      </c>
    </row>
    <row r="775" spans="2:6" x14ac:dyDescent="0.25">
      <c r="B775" s="9" t="s">
        <v>392</v>
      </c>
      <c r="C775" s="3">
        <v>15347.25</v>
      </c>
      <c r="D775" s="3">
        <v>117</v>
      </c>
      <c r="E775" s="3">
        <v>5115.75</v>
      </c>
      <c r="F775" s="3">
        <v>6821</v>
      </c>
    </row>
    <row r="776" spans="2:6" x14ac:dyDescent="0.25">
      <c r="B776" s="11" t="s">
        <v>1056</v>
      </c>
      <c r="C776" s="3">
        <v>15347.25</v>
      </c>
      <c r="D776" s="3">
        <v>117</v>
      </c>
      <c r="E776" s="3">
        <v>5115.75</v>
      </c>
      <c r="F776" s="3">
        <v>6821</v>
      </c>
    </row>
    <row r="777" spans="2:6" x14ac:dyDescent="0.25">
      <c r="B777" s="9" t="s">
        <v>393</v>
      </c>
      <c r="C777" s="3">
        <v>4982.3999999999996</v>
      </c>
      <c r="D777" s="3">
        <v>107</v>
      </c>
      <c r="E777" s="3">
        <v>4982.3999999999996</v>
      </c>
      <c r="F777" s="3">
        <v>5536</v>
      </c>
    </row>
    <row r="778" spans="2:6" x14ac:dyDescent="0.25">
      <c r="B778" s="11" t="s">
        <v>1055</v>
      </c>
      <c r="C778" s="3">
        <v>4982.3999999999996</v>
      </c>
      <c r="D778" s="3">
        <v>107</v>
      </c>
      <c r="E778" s="3">
        <v>4982.3999999999996</v>
      </c>
      <c r="F778" s="3">
        <v>5536</v>
      </c>
    </row>
    <row r="779" spans="2:6" x14ac:dyDescent="0.25">
      <c r="B779" s="9" t="s">
        <v>394</v>
      </c>
      <c r="C779" s="3">
        <v>162.13999999999999</v>
      </c>
      <c r="D779" s="3">
        <v>116</v>
      </c>
      <c r="E779" s="3">
        <v>81.069999999999993</v>
      </c>
      <c r="F779" s="3">
        <v>121</v>
      </c>
    </row>
    <row r="780" spans="2:6" x14ac:dyDescent="0.25">
      <c r="B780" s="11" t="s">
        <v>1056</v>
      </c>
      <c r="C780" s="3">
        <v>162.13999999999999</v>
      </c>
      <c r="D780" s="3">
        <v>116</v>
      </c>
      <c r="E780" s="3">
        <v>81.069999999999993</v>
      </c>
      <c r="F780" s="3">
        <v>121</v>
      </c>
    </row>
    <row r="781" spans="2:6" x14ac:dyDescent="0.25">
      <c r="B781" s="9" t="s">
        <v>395</v>
      </c>
      <c r="C781" s="3">
        <v>3904.5</v>
      </c>
      <c r="D781" s="3">
        <v>160</v>
      </c>
      <c r="E781" s="3">
        <v>1952.25</v>
      </c>
      <c r="F781" s="3">
        <v>2603</v>
      </c>
    </row>
    <row r="782" spans="2:6" x14ac:dyDescent="0.25">
      <c r="B782" s="11" t="s">
        <v>1056</v>
      </c>
      <c r="C782" s="3">
        <v>3904.5</v>
      </c>
      <c r="D782" s="3">
        <v>160</v>
      </c>
      <c r="E782" s="3">
        <v>1952.25</v>
      </c>
      <c r="F782" s="3">
        <v>2603</v>
      </c>
    </row>
    <row r="783" spans="2:6" x14ac:dyDescent="0.25">
      <c r="B783" s="9" t="s">
        <v>396</v>
      </c>
      <c r="C783" s="3">
        <v>1136.22</v>
      </c>
      <c r="D783" s="3">
        <v>97</v>
      </c>
      <c r="E783" s="3">
        <v>1136.22</v>
      </c>
      <c r="F783" s="3">
        <v>1306</v>
      </c>
    </row>
    <row r="784" spans="2:6" x14ac:dyDescent="0.25">
      <c r="B784" s="11" t="s">
        <v>1055</v>
      </c>
      <c r="C784" s="3">
        <v>1136.22</v>
      </c>
      <c r="D784" s="3">
        <v>97</v>
      </c>
      <c r="E784" s="3">
        <v>1136.22</v>
      </c>
      <c r="F784" s="3">
        <v>1306</v>
      </c>
    </row>
    <row r="785" spans="2:6" x14ac:dyDescent="0.25">
      <c r="B785" s="9" t="s">
        <v>397</v>
      </c>
      <c r="C785" s="3">
        <v>483</v>
      </c>
      <c r="D785" s="3">
        <v>37</v>
      </c>
      <c r="E785" s="3">
        <v>241.5</v>
      </c>
      <c r="F785" s="3">
        <v>322</v>
      </c>
    </row>
    <row r="786" spans="2:6" x14ac:dyDescent="0.25">
      <c r="B786" s="11" t="s">
        <v>1056</v>
      </c>
      <c r="C786" s="3">
        <v>483</v>
      </c>
      <c r="D786" s="3">
        <v>37</v>
      </c>
      <c r="E786" s="3">
        <v>241.5</v>
      </c>
      <c r="F786" s="3">
        <v>322</v>
      </c>
    </row>
    <row r="787" spans="2:6" x14ac:dyDescent="0.25">
      <c r="B787" s="9" t="s">
        <v>398</v>
      </c>
      <c r="C787" s="3">
        <v>6388.6</v>
      </c>
      <c r="D787" s="3">
        <v>67</v>
      </c>
      <c r="E787" s="3">
        <v>6388.6</v>
      </c>
      <c r="F787" s="3">
        <v>7516</v>
      </c>
    </row>
    <row r="788" spans="2:6" x14ac:dyDescent="0.25">
      <c r="B788" s="11" t="s">
        <v>1055</v>
      </c>
      <c r="C788" s="3">
        <v>6388.6</v>
      </c>
      <c r="D788" s="3">
        <v>67</v>
      </c>
      <c r="E788" s="3">
        <v>6388.6</v>
      </c>
      <c r="F788" s="3">
        <v>7516</v>
      </c>
    </row>
    <row r="789" spans="2:6" x14ac:dyDescent="0.25">
      <c r="B789" s="9" t="s">
        <v>399</v>
      </c>
      <c r="C789" s="3">
        <v>4809.3</v>
      </c>
      <c r="D789" s="3">
        <v>57</v>
      </c>
      <c r="E789" s="3">
        <v>4809.3</v>
      </c>
      <c r="F789" s="3">
        <v>5865</v>
      </c>
    </row>
    <row r="790" spans="2:6" x14ac:dyDescent="0.25">
      <c r="B790" s="11" t="s">
        <v>1055</v>
      </c>
      <c r="C790" s="3">
        <v>4809.3</v>
      </c>
      <c r="D790" s="3">
        <v>57</v>
      </c>
      <c r="E790" s="3">
        <v>4809.3</v>
      </c>
      <c r="F790" s="3">
        <v>5865</v>
      </c>
    </row>
    <row r="791" spans="2:6" x14ac:dyDescent="0.25">
      <c r="B791" s="9" t="s">
        <v>400</v>
      </c>
      <c r="C791" s="3">
        <v>4453.32</v>
      </c>
      <c r="D791" s="3">
        <v>128</v>
      </c>
      <c r="E791" s="3">
        <v>2226.66</v>
      </c>
      <c r="F791" s="3">
        <v>3009</v>
      </c>
    </row>
    <row r="792" spans="2:6" x14ac:dyDescent="0.25">
      <c r="B792" s="11" t="s">
        <v>1056</v>
      </c>
      <c r="C792" s="3">
        <v>4453.32</v>
      </c>
      <c r="D792" s="3">
        <v>128</v>
      </c>
      <c r="E792" s="3">
        <v>2226.66</v>
      </c>
      <c r="F792" s="3">
        <v>3009</v>
      </c>
    </row>
    <row r="793" spans="2:6" x14ac:dyDescent="0.25">
      <c r="B793" s="9" t="s">
        <v>401</v>
      </c>
      <c r="C793" s="3">
        <v>4214.6400000000003</v>
      </c>
      <c r="D793" s="3">
        <v>113</v>
      </c>
      <c r="E793" s="3">
        <v>2107.3200000000002</v>
      </c>
      <c r="F793" s="3">
        <v>3099</v>
      </c>
    </row>
    <row r="794" spans="2:6" x14ac:dyDescent="0.25">
      <c r="B794" s="11" t="s">
        <v>1056</v>
      </c>
      <c r="C794" s="3">
        <v>4214.6400000000003</v>
      </c>
      <c r="D794" s="3">
        <v>113</v>
      </c>
      <c r="E794" s="3">
        <v>2107.3200000000002</v>
      </c>
      <c r="F794" s="3">
        <v>3099</v>
      </c>
    </row>
    <row r="795" spans="2:6" x14ac:dyDescent="0.25">
      <c r="B795" s="9" t="s">
        <v>402</v>
      </c>
      <c r="C795" s="3">
        <v>518.4</v>
      </c>
      <c r="D795" s="3">
        <v>53</v>
      </c>
      <c r="E795" s="3">
        <v>259.2</v>
      </c>
      <c r="F795" s="3">
        <v>320</v>
      </c>
    </row>
    <row r="796" spans="2:6" x14ac:dyDescent="0.25">
      <c r="B796" s="11" t="s">
        <v>1055</v>
      </c>
      <c r="C796" s="3">
        <v>518.4</v>
      </c>
      <c r="D796" s="3">
        <v>53</v>
      </c>
      <c r="E796" s="3">
        <v>259.2</v>
      </c>
      <c r="F796" s="3">
        <v>320</v>
      </c>
    </row>
    <row r="797" spans="2:6" x14ac:dyDescent="0.25">
      <c r="B797" s="9" t="s">
        <v>403</v>
      </c>
      <c r="C797" s="3">
        <v>17124.21</v>
      </c>
      <c r="D797" s="3">
        <v>167</v>
      </c>
      <c r="E797" s="3">
        <v>5708.07</v>
      </c>
      <c r="F797" s="3">
        <v>6561</v>
      </c>
    </row>
    <row r="798" spans="2:6" x14ac:dyDescent="0.25">
      <c r="B798" s="11" t="s">
        <v>1055</v>
      </c>
      <c r="C798" s="3">
        <v>17124.21</v>
      </c>
      <c r="D798" s="3">
        <v>167</v>
      </c>
      <c r="E798" s="3">
        <v>5708.07</v>
      </c>
      <c r="F798" s="3">
        <v>6561</v>
      </c>
    </row>
    <row r="799" spans="2:6" x14ac:dyDescent="0.25">
      <c r="B799" s="9" t="s">
        <v>404</v>
      </c>
      <c r="C799" s="3">
        <v>9833.4600000000009</v>
      </c>
      <c r="D799" s="3">
        <v>119</v>
      </c>
      <c r="E799" s="3">
        <v>3277.82</v>
      </c>
      <c r="F799" s="3">
        <v>3602</v>
      </c>
    </row>
    <row r="800" spans="2:6" x14ac:dyDescent="0.25">
      <c r="B800" s="11" t="s">
        <v>1059</v>
      </c>
      <c r="C800" s="3">
        <v>9833.4600000000009</v>
      </c>
      <c r="D800" s="3">
        <v>119</v>
      </c>
      <c r="E800" s="3">
        <v>3277.82</v>
      </c>
      <c r="F800" s="3">
        <v>3602</v>
      </c>
    </row>
    <row r="801" spans="2:6" x14ac:dyDescent="0.25">
      <c r="B801" s="9" t="s">
        <v>405</v>
      </c>
      <c r="C801" s="3">
        <v>12899.04</v>
      </c>
      <c r="D801" s="3">
        <v>100</v>
      </c>
      <c r="E801" s="3">
        <v>6449.52</v>
      </c>
      <c r="F801" s="3">
        <v>7329</v>
      </c>
    </row>
    <row r="802" spans="2:6" x14ac:dyDescent="0.25">
      <c r="B802" s="11" t="s">
        <v>1055</v>
      </c>
      <c r="C802" s="3">
        <v>12899.04</v>
      </c>
      <c r="D802" s="3">
        <v>100</v>
      </c>
      <c r="E802" s="3">
        <v>6449.52</v>
      </c>
      <c r="F802" s="3">
        <v>7329</v>
      </c>
    </row>
    <row r="803" spans="2:6" x14ac:dyDescent="0.25">
      <c r="B803" s="9" t="s">
        <v>406</v>
      </c>
      <c r="C803" s="3">
        <v>1899.75</v>
      </c>
      <c r="D803" s="3">
        <v>70</v>
      </c>
      <c r="E803" s="3">
        <v>1899.75</v>
      </c>
      <c r="F803" s="3">
        <v>2235</v>
      </c>
    </row>
    <row r="804" spans="2:6" x14ac:dyDescent="0.25">
      <c r="B804" s="11" t="s">
        <v>1055</v>
      </c>
      <c r="C804" s="3">
        <v>1899.75</v>
      </c>
      <c r="D804" s="3">
        <v>70</v>
      </c>
      <c r="E804" s="3">
        <v>1899.75</v>
      </c>
      <c r="F804" s="3">
        <v>2235</v>
      </c>
    </row>
    <row r="805" spans="2:6" x14ac:dyDescent="0.25">
      <c r="B805" s="9" t="s">
        <v>407</v>
      </c>
      <c r="C805" s="3">
        <v>3504.16</v>
      </c>
      <c r="D805" s="3">
        <v>11</v>
      </c>
      <c r="E805" s="3">
        <v>3504.16</v>
      </c>
      <c r="F805" s="3">
        <v>3982</v>
      </c>
    </row>
    <row r="806" spans="2:6" x14ac:dyDescent="0.25">
      <c r="B806" s="11" t="s">
        <v>1055</v>
      </c>
      <c r="C806" s="3">
        <v>3504.16</v>
      </c>
      <c r="D806" s="3">
        <v>11</v>
      </c>
      <c r="E806" s="3">
        <v>3504.16</v>
      </c>
      <c r="F806" s="3">
        <v>3982</v>
      </c>
    </row>
    <row r="807" spans="2:6" x14ac:dyDescent="0.25">
      <c r="B807" s="9" t="s">
        <v>408</v>
      </c>
      <c r="C807" s="3">
        <v>1189.25</v>
      </c>
      <c r="D807" s="3">
        <v>198</v>
      </c>
      <c r="E807" s="3">
        <v>1189.25</v>
      </c>
      <c r="F807" s="3">
        <v>1675</v>
      </c>
    </row>
    <row r="808" spans="2:6" x14ac:dyDescent="0.25">
      <c r="B808" s="11" t="s">
        <v>1056</v>
      </c>
      <c r="C808" s="3">
        <v>1189.25</v>
      </c>
      <c r="D808" s="3">
        <v>198</v>
      </c>
      <c r="E808" s="3">
        <v>1189.25</v>
      </c>
      <c r="F808" s="3">
        <v>1675</v>
      </c>
    </row>
    <row r="809" spans="2:6" x14ac:dyDescent="0.25">
      <c r="B809" s="9" t="s">
        <v>409</v>
      </c>
      <c r="C809" s="3">
        <v>1503.65</v>
      </c>
      <c r="D809" s="3">
        <v>61</v>
      </c>
      <c r="E809" s="3">
        <v>1503.65</v>
      </c>
      <c r="F809" s="3">
        <v>1769</v>
      </c>
    </row>
    <row r="810" spans="2:6" x14ac:dyDescent="0.25">
      <c r="B810" s="11" t="s">
        <v>1055</v>
      </c>
      <c r="C810" s="3">
        <v>1503.65</v>
      </c>
      <c r="D810" s="3">
        <v>61</v>
      </c>
      <c r="E810" s="3">
        <v>1503.65</v>
      </c>
      <c r="F810" s="3">
        <v>1769</v>
      </c>
    </row>
    <row r="811" spans="2:6" x14ac:dyDescent="0.25">
      <c r="B811" s="9" t="s">
        <v>410</v>
      </c>
      <c r="C811" s="3">
        <v>2450.88</v>
      </c>
      <c r="D811" s="3">
        <v>88</v>
      </c>
      <c r="E811" s="3">
        <v>2450.88</v>
      </c>
      <c r="F811" s="3">
        <v>3312</v>
      </c>
    </row>
    <row r="812" spans="2:6" x14ac:dyDescent="0.25">
      <c r="B812" s="11" t="s">
        <v>1056</v>
      </c>
      <c r="C812" s="3">
        <v>2450.88</v>
      </c>
      <c r="D812" s="3">
        <v>88</v>
      </c>
      <c r="E812" s="3">
        <v>2450.88</v>
      </c>
      <c r="F812" s="3">
        <v>3312</v>
      </c>
    </row>
    <row r="813" spans="2:6" x14ac:dyDescent="0.25">
      <c r="B813" s="9" t="s">
        <v>411</v>
      </c>
      <c r="C813" s="3">
        <v>3645.72</v>
      </c>
      <c r="D813" s="3">
        <v>175</v>
      </c>
      <c r="E813" s="3">
        <v>3645.72</v>
      </c>
      <c r="F813" s="3">
        <v>4674</v>
      </c>
    </row>
    <row r="814" spans="2:6" x14ac:dyDescent="0.25">
      <c r="B814" s="11" t="s">
        <v>1056</v>
      </c>
      <c r="C814" s="3">
        <v>3645.72</v>
      </c>
      <c r="D814" s="3">
        <v>175</v>
      </c>
      <c r="E814" s="3">
        <v>3645.72</v>
      </c>
      <c r="F814" s="3">
        <v>4674</v>
      </c>
    </row>
    <row r="815" spans="2:6" x14ac:dyDescent="0.25">
      <c r="B815" s="9" t="s">
        <v>412</v>
      </c>
      <c r="C815" s="3">
        <v>2781.48</v>
      </c>
      <c r="D815" s="3">
        <v>22</v>
      </c>
      <c r="E815" s="3">
        <v>2781.48</v>
      </c>
      <c r="F815" s="3">
        <v>3566</v>
      </c>
    </row>
    <row r="816" spans="2:6" x14ac:dyDescent="0.25">
      <c r="B816" s="11" t="s">
        <v>1056</v>
      </c>
      <c r="C816" s="3">
        <v>2781.48</v>
      </c>
      <c r="D816" s="3">
        <v>22</v>
      </c>
      <c r="E816" s="3">
        <v>2781.48</v>
      </c>
      <c r="F816" s="3">
        <v>3566</v>
      </c>
    </row>
    <row r="817" spans="2:6" x14ac:dyDescent="0.25">
      <c r="B817" s="9" t="s">
        <v>413</v>
      </c>
      <c r="C817" s="3">
        <v>11448.36</v>
      </c>
      <c r="D817" s="3">
        <v>29</v>
      </c>
      <c r="E817" s="3">
        <v>5724.18</v>
      </c>
      <c r="F817" s="3">
        <v>7434</v>
      </c>
    </row>
    <row r="818" spans="2:6" x14ac:dyDescent="0.25">
      <c r="B818" s="11" t="s">
        <v>1056</v>
      </c>
      <c r="C818" s="3">
        <v>11448.36</v>
      </c>
      <c r="D818" s="3">
        <v>29</v>
      </c>
      <c r="E818" s="3">
        <v>5724.18</v>
      </c>
      <c r="F818" s="3">
        <v>7434</v>
      </c>
    </row>
    <row r="819" spans="2:6" x14ac:dyDescent="0.25">
      <c r="B819" s="9" t="s">
        <v>414</v>
      </c>
      <c r="C819" s="3">
        <v>4282.6499999999996</v>
      </c>
      <c r="D819" s="3">
        <v>128</v>
      </c>
      <c r="E819" s="3">
        <v>1427.55</v>
      </c>
      <c r="F819" s="3">
        <v>1535</v>
      </c>
    </row>
    <row r="820" spans="2:6" x14ac:dyDescent="0.25">
      <c r="B820" s="11" t="s">
        <v>1059</v>
      </c>
      <c r="C820" s="3">
        <v>4282.6499999999996</v>
      </c>
      <c r="D820" s="3">
        <v>128</v>
      </c>
      <c r="E820" s="3">
        <v>1427.55</v>
      </c>
      <c r="F820" s="3">
        <v>1535</v>
      </c>
    </row>
    <row r="821" spans="2:6" x14ac:dyDescent="0.25">
      <c r="B821" s="9" t="s">
        <v>415</v>
      </c>
      <c r="C821" s="3">
        <v>1551.42</v>
      </c>
      <c r="D821" s="3">
        <v>185</v>
      </c>
      <c r="E821" s="3">
        <v>1551.42</v>
      </c>
      <c r="F821" s="3">
        <v>1989</v>
      </c>
    </row>
    <row r="822" spans="2:6" x14ac:dyDescent="0.25">
      <c r="B822" s="11" t="s">
        <v>1056</v>
      </c>
      <c r="C822" s="3">
        <v>1551.42</v>
      </c>
      <c r="D822" s="3">
        <v>185</v>
      </c>
      <c r="E822" s="3">
        <v>1551.42</v>
      </c>
      <c r="F822" s="3">
        <v>1989</v>
      </c>
    </row>
    <row r="823" spans="2:6" x14ac:dyDescent="0.25">
      <c r="B823" s="9" t="s">
        <v>416</v>
      </c>
      <c r="C823" s="3">
        <v>7730.9400000000005</v>
      </c>
      <c r="D823" s="3">
        <v>174</v>
      </c>
      <c r="E823" s="3">
        <v>2576.98</v>
      </c>
      <c r="F823" s="3">
        <v>3262</v>
      </c>
    </row>
    <row r="824" spans="2:6" x14ac:dyDescent="0.25">
      <c r="B824" s="11" t="s">
        <v>1056</v>
      </c>
      <c r="C824" s="3">
        <v>7730.9400000000005</v>
      </c>
      <c r="D824" s="3">
        <v>174</v>
      </c>
      <c r="E824" s="3">
        <v>2576.98</v>
      </c>
      <c r="F824" s="3">
        <v>3262</v>
      </c>
    </row>
    <row r="825" spans="2:6" x14ac:dyDescent="0.25">
      <c r="B825" s="9" t="s">
        <v>417</v>
      </c>
      <c r="C825" s="3">
        <v>12075.36</v>
      </c>
      <c r="D825" s="3">
        <v>40</v>
      </c>
      <c r="E825" s="3">
        <v>4025.12</v>
      </c>
      <c r="F825" s="3">
        <v>4574</v>
      </c>
    </row>
    <row r="826" spans="2:6" x14ac:dyDescent="0.25">
      <c r="B826" s="11" t="s">
        <v>1055</v>
      </c>
      <c r="C826" s="3">
        <v>12075.36</v>
      </c>
      <c r="D826" s="3">
        <v>40</v>
      </c>
      <c r="E826" s="3">
        <v>4025.12</v>
      </c>
      <c r="F826" s="3">
        <v>4574</v>
      </c>
    </row>
    <row r="827" spans="2:6" x14ac:dyDescent="0.25">
      <c r="B827" s="9" t="s">
        <v>418</v>
      </c>
      <c r="C827" s="3">
        <v>2062.44</v>
      </c>
      <c r="D827" s="3">
        <v>124</v>
      </c>
      <c r="E827" s="3">
        <v>687.48</v>
      </c>
      <c r="F827" s="3">
        <v>1011</v>
      </c>
    </row>
    <row r="828" spans="2:6" x14ac:dyDescent="0.25">
      <c r="B828" s="11" t="s">
        <v>1056</v>
      </c>
      <c r="C828" s="3">
        <v>2062.44</v>
      </c>
      <c r="D828" s="3">
        <v>124</v>
      </c>
      <c r="E828" s="3">
        <v>687.48</v>
      </c>
      <c r="F828" s="3">
        <v>1011</v>
      </c>
    </row>
    <row r="829" spans="2:6" x14ac:dyDescent="0.25">
      <c r="B829" s="9" t="s">
        <v>419</v>
      </c>
      <c r="C829" s="3">
        <v>11590.56</v>
      </c>
      <c r="D829" s="3">
        <v>107</v>
      </c>
      <c r="E829" s="3">
        <v>3863.52</v>
      </c>
      <c r="F829" s="3">
        <v>5366</v>
      </c>
    </row>
    <row r="830" spans="2:6" x14ac:dyDescent="0.25">
      <c r="B830" s="11" t="s">
        <v>1056</v>
      </c>
      <c r="C830" s="3">
        <v>11590.56</v>
      </c>
      <c r="D830" s="3">
        <v>107</v>
      </c>
      <c r="E830" s="3">
        <v>3863.52</v>
      </c>
      <c r="F830" s="3">
        <v>5366</v>
      </c>
    </row>
    <row r="831" spans="2:6" x14ac:dyDescent="0.25">
      <c r="B831" s="9" t="s">
        <v>420</v>
      </c>
      <c r="C831" s="3">
        <v>4767.4399999999996</v>
      </c>
      <c r="D831" s="3">
        <v>15</v>
      </c>
      <c r="E831" s="3">
        <v>2383.7199999999998</v>
      </c>
      <c r="F831" s="3">
        <v>2591</v>
      </c>
    </row>
    <row r="832" spans="2:6" x14ac:dyDescent="0.25">
      <c r="B832" s="11" t="s">
        <v>1059</v>
      </c>
      <c r="C832" s="3">
        <v>4767.4399999999996</v>
      </c>
      <c r="D832" s="3">
        <v>15</v>
      </c>
      <c r="E832" s="3">
        <v>2383.7199999999998</v>
      </c>
      <c r="F832" s="3">
        <v>2591</v>
      </c>
    </row>
    <row r="833" spans="2:6" x14ac:dyDescent="0.25">
      <c r="B833" s="9" t="s">
        <v>421</v>
      </c>
      <c r="C833" s="3">
        <v>5550.84</v>
      </c>
      <c r="D833" s="3">
        <v>115</v>
      </c>
      <c r="E833" s="3">
        <v>1850.28</v>
      </c>
      <c r="F833" s="3">
        <v>2721</v>
      </c>
    </row>
    <row r="834" spans="2:6" x14ac:dyDescent="0.25">
      <c r="B834" s="11" t="s">
        <v>1056</v>
      </c>
      <c r="C834" s="3">
        <v>5550.84</v>
      </c>
      <c r="D834" s="3">
        <v>115</v>
      </c>
      <c r="E834" s="3">
        <v>1850.28</v>
      </c>
      <c r="F834" s="3">
        <v>2721</v>
      </c>
    </row>
    <row r="835" spans="2:6" x14ac:dyDescent="0.25">
      <c r="B835" s="9" t="s">
        <v>422</v>
      </c>
      <c r="C835" s="3">
        <v>1884.75</v>
      </c>
      <c r="D835" s="3">
        <v>31</v>
      </c>
      <c r="E835" s="3">
        <v>1884.75</v>
      </c>
      <c r="F835" s="3">
        <v>2513</v>
      </c>
    </row>
    <row r="836" spans="2:6" x14ac:dyDescent="0.25">
      <c r="B836" s="11" t="s">
        <v>1056</v>
      </c>
      <c r="C836" s="3">
        <v>1884.75</v>
      </c>
      <c r="D836" s="3">
        <v>31</v>
      </c>
      <c r="E836" s="3">
        <v>1884.75</v>
      </c>
      <c r="F836" s="3">
        <v>2513</v>
      </c>
    </row>
    <row r="837" spans="2:6" x14ac:dyDescent="0.25">
      <c r="B837" s="9" t="s">
        <v>423</v>
      </c>
      <c r="C837" s="3">
        <v>4282.74</v>
      </c>
      <c r="D837" s="3">
        <v>27</v>
      </c>
      <c r="E837" s="3">
        <v>4282.74</v>
      </c>
      <c r="F837" s="3">
        <v>5562</v>
      </c>
    </row>
    <row r="838" spans="2:6" x14ac:dyDescent="0.25">
      <c r="B838" s="11" t="s">
        <v>1056</v>
      </c>
      <c r="C838" s="3">
        <v>4282.74</v>
      </c>
      <c r="D838" s="3">
        <v>27</v>
      </c>
      <c r="E838" s="3">
        <v>4282.74</v>
      </c>
      <c r="F838" s="3">
        <v>5562</v>
      </c>
    </row>
    <row r="839" spans="2:6" x14ac:dyDescent="0.25">
      <c r="B839" s="9" t="s">
        <v>424</v>
      </c>
      <c r="C839" s="3">
        <v>11622.4</v>
      </c>
      <c r="D839" s="3">
        <v>34</v>
      </c>
      <c r="E839" s="3">
        <v>5811.2</v>
      </c>
      <c r="F839" s="3">
        <v>7264</v>
      </c>
    </row>
    <row r="840" spans="2:6" x14ac:dyDescent="0.25">
      <c r="B840" s="11" t="s">
        <v>1056</v>
      </c>
      <c r="C840" s="3">
        <v>11622.4</v>
      </c>
      <c r="D840" s="3">
        <v>34</v>
      </c>
      <c r="E840" s="3">
        <v>5811.2</v>
      </c>
      <c r="F840" s="3">
        <v>7264</v>
      </c>
    </row>
    <row r="841" spans="2:6" x14ac:dyDescent="0.25">
      <c r="B841" s="9" t="s">
        <v>425</v>
      </c>
      <c r="C841" s="3">
        <v>3000.45</v>
      </c>
      <c r="D841" s="3">
        <v>178</v>
      </c>
      <c r="E841" s="3">
        <v>3000.45</v>
      </c>
      <c r="F841" s="3">
        <v>3615</v>
      </c>
    </row>
    <row r="842" spans="2:6" x14ac:dyDescent="0.25">
      <c r="B842" s="11" t="s">
        <v>1055</v>
      </c>
      <c r="C842" s="3">
        <v>3000.45</v>
      </c>
      <c r="D842" s="3">
        <v>178</v>
      </c>
      <c r="E842" s="3">
        <v>3000.45</v>
      </c>
      <c r="F842" s="3">
        <v>3615</v>
      </c>
    </row>
    <row r="843" spans="2:6" x14ac:dyDescent="0.25">
      <c r="B843" s="9" t="s">
        <v>426</v>
      </c>
      <c r="C843" s="3">
        <v>8841.32</v>
      </c>
      <c r="D843" s="3">
        <v>135</v>
      </c>
      <c r="E843" s="3">
        <v>4420.66</v>
      </c>
      <c r="F843" s="3">
        <v>6598</v>
      </c>
    </row>
    <row r="844" spans="2:6" x14ac:dyDescent="0.25">
      <c r="B844" s="11" t="s">
        <v>1056</v>
      </c>
      <c r="C844" s="3">
        <v>8841.32</v>
      </c>
      <c r="D844" s="3">
        <v>135</v>
      </c>
      <c r="E844" s="3">
        <v>4420.66</v>
      </c>
      <c r="F844" s="3">
        <v>6598</v>
      </c>
    </row>
    <row r="845" spans="2:6" x14ac:dyDescent="0.25">
      <c r="B845" s="9" t="s">
        <v>427</v>
      </c>
      <c r="C845" s="3">
        <v>9833.84</v>
      </c>
      <c r="D845" s="3">
        <v>99</v>
      </c>
      <c r="E845" s="3">
        <v>4916.92</v>
      </c>
      <c r="F845" s="3">
        <v>5924</v>
      </c>
    </row>
    <row r="846" spans="2:6" x14ac:dyDescent="0.25">
      <c r="B846" s="11" t="s">
        <v>1055</v>
      </c>
      <c r="C846" s="3">
        <v>9833.84</v>
      </c>
      <c r="D846" s="3">
        <v>99</v>
      </c>
      <c r="E846" s="3">
        <v>4916.92</v>
      </c>
      <c r="F846" s="3">
        <v>5924</v>
      </c>
    </row>
    <row r="847" spans="2:6" x14ac:dyDescent="0.25">
      <c r="B847" s="9" t="s">
        <v>428</v>
      </c>
      <c r="C847" s="3">
        <v>3290.04</v>
      </c>
      <c r="D847" s="3">
        <v>68</v>
      </c>
      <c r="E847" s="3">
        <v>1096.68</v>
      </c>
      <c r="F847" s="3">
        <v>1406</v>
      </c>
    </row>
    <row r="848" spans="2:6" x14ac:dyDescent="0.25">
      <c r="B848" s="11" t="s">
        <v>1056</v>
      </c>
      <c r="C848" s="3">
        <v>3290.04</v>
      </c>
      <c r="D848" s="3">
        <v>68</v>
      </c>
      <c r="E848" s="3">
        <v>1096.68</v>
      </c>
      <c r="F848" s="3">
        <v>1406</v>
      </c>
    </row>
    <row r="849" spans="2:6" x14ac:dyDescent="0.25">
      <c r="B849" s="9" t="s">
        <v>429</v>
      </c>
      <c r="C849" s="3">
        <v>6617.56</v>
      </c>
      <c r="D849" s="3">
        <v>52</v>
      </c>
      <c r="E849" s="3">
        <v>6617.56</v>
      </c>
      <c r="F849" s="3">
        <v>7193</v>
      </c>
    </row>
    <row r="850" spans="2:6" x14ac:dyDescent="0.25">
      <c r="B850" s="11" t="s">
        <v>1059</v>
      </c>
      <c r="C850" s="3">
        <v>6617.56</v>
      </c>
      <c r="D850" s="3">
        <v>52</v>
      </c>
      <c r="E850" s="3">
        <v>6617.56</v>
      </c>
      <c r="F850" s="3">
        <v>7193</v>
      </c>
    </row>
    <row r="851" spans="2:6" x14ac:dyDescent="0.25">
      <c r="B851" s="9" t="s">
        <v>430</v>
      </c>
      <c r="C851" s="3">
        <v>5380.98</v>
      </c>
      <c r="D851" s="3">
        <v>110</v>
      </c>
      <c r="E851" s="3">
        <v>2690.49</v>
      </c>
      <c r="F851" s="3">
        <v>2893</v>
      </c>
    </row>
    <row r="852" spans="2:6" x14ac:dyDescent="0.25">
      <c r="B852" s="11" t="s">
        <v>1059</v>
      </c>
      <c r="C852" s="3">
        <v>5380.98</v>
      </c>
      <c r="D852" s="3">
        <v>110</v>
      </c>
      <c r="E852" s="3">
        <v>2690.49</v>
      </c>
      <c r="F852" s="3">
        <v>2893</v>
      </c>
    </row>
    <row r="853" spans="2:6" x14ac:dyDescent="0.25">
      <c r="B853" s="9" t="s">
        <v>431</v>
      </c>
      <c r="C853" s="3">
        <v>4984.4399999999996</v>
      </c>
      <c r="D853" s="3">
        <v>184</v>
      </c>
      <c r="E853" s="3">
        <v>2492.2199999999998</v>
      </c>
      <c r="F853" s="3">
        <v>3414</v>
      </c>
    </row>
    <row r="854" spans="2:6" x14ac:dyDescent="0.25">
      <c r="B854" s="11" t="s">
        <v>1056</v>
      </c>
      <c r="C854" s="3">
        <v>4984.4399999999996</v>
      </c>
      <c r="D854" s="3">
        <v>184</v>
      </c>
      <c r="E854" s="3">
        <v>2492.2199999999998</v>
      </c>
      <c r="F854" s="3">
        <v>3414</v>
      </c>
    </row>
    <row r="855" spans="2:6" x14ac:dyDescent="0.25">
      <c r="B855" s="9" t="s">
        <v>432</v>
      </c>
      <c r="C855" s="3">
        <v>11383.9</v>
      </c>
      <c r="D855" s="3">
        <v>72</v>
      </c>
      <c r="E855" s="3">
        <v>5691.95</v>
      </c>
      <c r="F855" s="3">
        <v>7205</v>
      </c>
    </row>
    <row r="856" spans="2:6" x14ac:dyDescent="0.25">
      <c r="B856" s="11" t="s">
        <v>1056</v>
      </c>
      <c r="C856" s="3">
        <v>11383.9</v>
      </c>
      <c r="D856" s="3">
        <v>72</v>
      </c>
      <c r="E856" s="3">
        <v>5691.95</v>
      </c>
      <c r="F856" s="3">
        <v>7205</v>
      </c>
    </row>
    <row r="857" spans="2:6" x14ac:dyDescent="0.25">
      <c r="B857" s="9" t="s">
        <v>433</v>
      </c>
      <c r="C857" s="3">
        <v>2752.8</v>
      </c>
      <c r="D857" s="3">
        <v>71</v>
      </c>
      <c r="E857" s="3">
        <v>1376.4</v>
      </c>
      <c r="F857" s="3">
        <v>1860</v>
      </c>
    </row>
    <row r="858" spans="2:6" x14ac:dyDescent="0.25">
      <c r="B858" s="11" t="s">
        <v>1056</v>
      </c>
      <c r="C858" s="3">
        <v>2752.8</v>
      </c>
      <c r="D858" s="3">
        <v>71</v>
      </c>
      <c r="E858" s="3">
        <v>1376.4</v>
      </c>
      <c r="F858" s="3">
        <v>1860</v>
      </c>
    </row>
    <row r="859" spans="2:6" x14ac:dyDescent="0.25">
      <c r="B859" s="9" t="s">
        <v>434</v>
      </c>
      <c r="C859" s="3">
        <v>5032.72</v>
      </c>
      <c r="D859" s="3">
        <v>194</v>
      </c>
      <c r="E859" s="3">
        <v>5032.72</v>
      </c>
      <c r="F859" s="3">
        <v>5719</v>
      </c>
    </row>
    <row r="860" spans="2:6" x14ac:dyDescent="0.25">
      <c r="B860" s="11" t="s">
        <v>1055</v>
      </c>
      <c r="C860" s="3">
        <v>5032.72</v>
      </c>
      <c r="D860" s="3">
        <v>194</v>
      </c>
      <c r="E860" s="3">
        <v>5032.72</v>
      </c>
      <c r="F860" s="3">
        <v>5719</v>
      </c>
    </row>
    <row r="861" spans="2:6" x14ac:dyDescent="0.25">
      <c r="B861" s="9" t="s">
        <v>435</v>
      </c>
      <c r="C861" s="3">
        <v>7064.28</v>
      </c>
      <c r="D861" s="3">
        <v>53</v>
      </c>
      <c r="E861" s="3">
        <v>3532.14</v>
      </c>
      <c r="F861" s="3">
        <v>3798</v>
      </c>
    </row>
    <row r="862" spans="2:6" x14ac:dyDescent="0.25">
      <c r="B862" s="11" t="s">
        <v>1059</v>
      </c>
      <c r="C862" s="3">
        <v>7064.28</v>
      </c>
      <c r="D862" s="3">
        <v>53</v>
      </c>
      <c r="E862" s="3">
        <v>3532.14</v>
      </c>
      <c r="F862" s="3">
        <v>3798</v>
      </c>
    </row>
    <row r="863" spans="2:6" x14ac:dyDescent="0.25">
      <c r="B863" s="9" t="s">
        <v>436</v>
      </c>
      <c r="C863" s="3">
        <v>2163</v>
      </c>
      <c r="D863" s="3">
        <v>94</v>
      </c>
      <c r="E863" s="3">
        <v>2163</v>
      </c>
      <c r="F863" s="3">
        <v>2575</v>
      </c>
    </row>
    <row r="864" spans="2:6" x14ac:dyDescent="0.25">
      <c r="B864" s="11" t="s">
        <v>1055</v>
      </c>
      <c r="C864" s="3">
        <v>2163</v>
      </c>
      <c r="D864" s="3">
        <v>94</v>
      </c>
      <c r="E864" s="3">
        <v>2163</v>
      </c>
      <c r="F864" s="3">
        <v>2575</v>
      </c>
    </row>
    <row r="865" spans="2:6" x14ac:dyDescent="0.25">
      <c r="B865" s="9" t="s">
        <v>437</v>
      </c>
      <c r="C865" s="3">
        <v>272.08</v>
      </c>
      <c r="D865" s="3">
        <v>105</v>
      </c>
      <c r="E865" s="3">
        <v>136.04</v>
      </c>
      <c r="F865" s="3">
        <v>179</v>
      </c>
    </row>
    <row r="866" spans="2:6" x14ac:dyDescent="0.25">
      <c r="B866" s="11" t="s">
        <v>1056</v>
      </c>
      <c r="C866" s="3">
        <v>272.08</v>
      </c>
      <c r="D866" s="3">
        <v>105</v>
      </c>
      <c r="E866" s="3">
        <v>136.04</v>
      </c>
      <c r="F866" s="3">
        <v>179</v>
      </c>
    </row>
    <row r="867" spans="2:6" x14ac:dyDescent="0.25">
      <c r="B867" s="9" t="s">
        <v>438</v>
      </c>
      <c r="C867" s="3">
        <v>4407.41</v>
      </c>
      <c r="D867" s="3">
        <v>101</v>
      </c>
      <c r="E867" s="3">
        <v>4407.41</v>
      </c>
      <c r="F867" s="3">
        <v>5579</v>
      </c>
    </row>
    <row r="868" spans="2:6" x14ac:dyDescent="0.25">
      <c r="B868" s="11" t="s">
        <v>1056</v>
      </c>
      <c r="C868" s="3">
        <v>4407.41</v>
      </c>
      <c r="D868" s="3">
        <v>101</v>
      </c>
      <c r="E868" s="3">
        <v>4407.41</v>
      </c>
      <c r="F868" s="3">
        <v>5579</v>
      </c>
    </row>
    <row r="869" spans="2:6" x14ac:dyDescent="0.25">
      <c r="B869" s="9" t="s">
        <v>439</v>
      </c>
      <c r="C869" s="3">
        <v>3294.99</v>
      </c>
      <c r="D869" s="3">
        <v>59</v>
      </c>
      <c r="E869" s="3">
        <v>1098.33</v>
      </c>
      <c r="F869" s="3">
        <v>1181</v>
      </c>
    </row>
    <row r="870" spans="2:6" x14ac:dyDescent="0.25">
      <c r="B870" s="11" t="s">
        <v>1059</v>
      </c>
      <c r="C870" s="3">
        <v>3294.99</v>
      </c>
      <c r="D870" s="3">
        <v>59</v>
      </c>
      <c r="E870" s="3">
        <v>1098.33</v>
      </c>
      <c r="F870" s="3">
        <v>1181</v>
      </c>
    </row>
    <row r="871" spans="2:6" x14ac:dyDescent="0.25">
      <c r="B871" s="9" t="s">
        <v>440</v>
      </c>
      <c r="C871" s="3">
        <v>9121.9</v>
      </c>
      <c r="D871" s="3">
        <v>93</v>
      </c>
      <c r="E871" s="3">
        <v>4560.95</v>
      </c>
      <c r="F871" s="3">
        <v>4801</v>
      </c>
    </row>
    <row r="872" spans="2:6" x14ac:dyDescent="0.25">
      <c r="B872" s="11" t="s">
        <v>1059</v>
      </c>
      <c r="C872" s="3">
        <v>9121.9</v>
      </c>
      <c r="D872" s="3">
        <v>93</v>
      </c>
      <c r="E872" s="3">
        <v>4560.95</v>
      </c>
      <c r="F872" s="3">
        <v>4801</v>
      </c>
    </row>
    <row r="873" spans="2:6" x14ac:dyDescent="0.25">
      <c r="B873" s="9" t="s">
        <v>441</v>
      </c>
      <c r="C873" s="3">
        <v>670.5</v>
      </c>
      <c r="D873" s="3">
        <v>56</v>
      </c>
      <c r="E873" s="3">
        <v>670.5</v>
      </c>
      <c r="F873" s="3">
        <v>894</v>
      </c>
    </row>
    <row r="874" spans="2:6" x14ac:dyDescent="0.25">
      <c r="B874" s="11" t="s">
        <v>1056</v>
      </c>
      <c r="C874" s="3">
        <v>670.5</v>
      </c>
      <c r="D874" s="3">
        <v>56</v>
      </c>
      <c r="E874" s="3">
        <v>670.5</v>
      </c>
      <c r="F874" s="3">
        <v>894</v>
      </c>
    </row>
    <row r="875" spans="2:6" x14ac:dyDescent="0.25">
      <c r="B875" s="9" t="s">
        <v>442</v>
      </c>
      <c r="C875" s="3">
        <v>7438.6</v>
      </c>
      <c r="D875" s="3">
        <v>98</v>
      </c>
      <c r="E875" s="3">
        <v>3719.3</v>
      </c>
      <c r="F875" s="3">
        <v>5722</v>
      </c>
    </row>
    <row r="876" spans="2:6" x14ac:dyDescent="0.25">
      <c r="B876" s="11" t="s">
        <v>1056</v>
      </c>
      <c r="C876" s="3">
        <v>7438.6</v>
      </c>
      <c r="D876" s="3">
        <v>98</v>
      </c>
      <c r="E876" s="3">
        <v>3719.3</v>
      </c>
      <c r="F876" s="3">
        <v>5722</v>
      </c>
    </row>
    <row r="877" spans="2:6" x14ac:dyDescent="0.25">
      <c r="B877" s="9" t="s">
        <v>443</v>
      </c>
      <c r="C877" s="3">
        <v>16516.739999999998</v>
      </c>
      <c r="D877" s="3">
        <v>74</v>
      </c>
      <c r="E877" s="3">
        <v>5505.58</v>
      </c>
      <c r="F877" s="3">
        <v>5857</v>
      </c>
    </row>
    <row r="878" spans="2:6" x14ac:dyDescent="0.25">
      <c r="B878" s="11" t="s">
        <v>1059</v>
      </c>
      <c r="C878" s="3">
        <v>16516.739999999998</v>
      </c>
      <c r="D878" s="3">
        <v>74</v>
      </c>
      <c r="E878" s="3">
        <v>5505.58</v>
      </c>
      <c r="F878" s="3">
        <v>5857</v>
      </c>
    </row>
    <row r="879" spans="2:6" x14ac:dyDescent="0.25">
      <c r="B879" s="9" t="s">
        <v>444</v>
      </c>
      <c r="C879" s="3">
        <v>6892.23</v>
      </c>
      <c r="D879" s="3">
        <v>165</v>
      </c>
      <c r="E879" s="3">
        <v>6892.23</v>
      </c>
      <c r="F879" s="3">
        <v>7411</v>
      </c>
    </row>
    <row r="880" spans="2:6" x14ac:dyDescent="0.25">
      <c r="B880" s="11" t="s">
        <v>1059</v>
      </c>
      <c r="C880" s="3">
        <v>6892.23</v>
      </c>
      <c r="D880" s="3">
        <v>165</v>
      </c>
      <c r="E880" s="3">
        <v>6892.23</v>
      </c>
      <c r="F880" s="3">
        <v>7411</v>
      </c>
    </row>
    <row r="881" spans="2:6" x14ac:dyDescent="0.25">
      <c r="B881" s="9" t="s">
        <v>445</v>
      </c>
      <c r="C881" s="3">
        <v>3654.93</v>
      </c>
      <c r="D881" s="3">
        <v>45</v>
      </c>
      <c r="E881" s="3">
        <v>3654.93</v>
      </c>
      <c r="F881" s="3">
        <v>5297</v>
      </c>
    </row>
    <row r="882" spans="2:6" x14ac:dyDescent="0.25">
      <c r="B882" s="11" t="s">
        <v>1056</v>
      </c>
      <c r="C882" s="3">
        <v>3654.93</v>
      </c>
      <c r="D882" s="3">
        <v>45</v>
      </c>
      <c r="E882" s="3">
        <v>3654.93</v>
      </c>
      <c r="F882" s="3">
        <v>5297</v>
      </c>
    </row>
    <row r="883" spans="2:6" x14ac:dyDescent="0.25">
      <c r="B883" s="9" t="s">
        <v>446</v>
      </c>
      <c r="C883" s="3">
        <v>1753.5</v>
      </c>
      <c r="D883" s="3">
        <v>27</v>
      </c>
      <c r="E883" s="3">
        <v>876.75</v>
      </c>
      <c r="F883" s="3">
        <v>1169</v>
      </c>
    </row>
    <row r="884" spans="2:6" x14ac:dyDescent="0.25">
      <c r="B884" s="11" t="s">
        <v>1056</v>
      </c>
      <c r="C884" s="3">
        <v>1753.5</v>
      </c>
      <c r="D884" s="3">
        <v>27</v>
      </c>
      <c r="E884" s="3">
        <v>876.75</v>
      </c>
      <c r="F884" s="3">
        <v>1169</v>
      </c>
    </row>
    <row r="885" spans="2:6" x14ac:dyDescent="0.25">
      <c r="B885" s="9" t="s">
        <v>447</v>
      </c>
      <c r="C885" s="3">
        <v>2096.08</v>
      </c>
      <c r="D885" s="3">
        <v>149</v>
      </c>
      <c r="E885" s="3">
        <v>2096.08</v>
      </c>
      <c r="F885" s="3">
        <v>2758</v>
      </c>
    </row>
    <row r="886" spans="2:6" x14ac:dyDescent="0.25">
      <c r="B886" s="11" t="s">
        <v>1056</v>
      </c>
      <c r="C886" s="3">
        <v>2096.08</v>
      </c>
      <c r="D886" s="3">
        <v>149</v>
      </c>
      <c r="E886" s="3">
        <v>2096.08</v>
      </c>
      <c r="F886" s="3">
        <v>2758</v>
      </c>
    </row>
    <row r="887" spans="2:6" x14ac:dyDescent="0.25">
      <c r="B887" s="9" t="s">
        <v>448</v>
      </c>
      <c r="C887" s="3">
        <v>2465.4</v>
      </c>
      <c r="D887" s="3">
        <v>107</v>
      </c>
      <c r="E887" s="3">
        <v>2465.4</v>
      </c>
      <c r="F887" s="3">
        <v>3522</v>
      </c>
    </row>
    <row r="888" spans="2:6" x14ac:dyDescent="0.25">
      <c r="B888" s="11" t="s">
        <v>1056</v>
      </c>
      <c r="C888" s="3">
        <v>2465.4</v>
      </c>
      <c r="D888" s="3">
        <v>107</v>
      </c>
      <c r="E888" s="3">
        <v>2465.4</v>
      </c>
      <c r="F888" s="3">
        <v>3522</v>
      </c>
    </row>
    <row r="889" spans="2:6" x14ac:dyDescent="0.25">
      <c r="B889" s="9" t="s">
        <v>449</v>
      </c>
      <c r="C889" s="3">
        <v>11935.8</v>
      </c>
      <c r="D889" s="3">
        <v>26</v>
      </c>
      <c r="E889" s="3">
        <v>3978.6</v>
      </c>
      <c r="F889" s="3">
        <v>4188</v>
      </c>
    </row>
    <row r="890" spans="2:6" x14ac:dyDescent="0.25">
      <c r="B890" s="11" t="s">
        <v>1059</v>
      </c>
      <c r="C890" s="3">
        <v>11935.8</v>
      </c>
      <c r="D890" s="3">
        <v>26</v>
      </c>
      <c r="E890" s="3">
        <v>3978.6</v>
      </c>
      <c r="F890" s="3">
        <v>4188</v>
      </c>
    </row>
    <row r="891" spans="2:6" x14ac:dyDescent="0.25">
      <c r="B891" s="9" t="s">
        <v>450</v>
      </c>
      <c r="C891" s="3">
        <v>4871.5199999999995</v>
      </c>
      <c r="D891" s="3">
        <v>162</v>
      </c>
      <c r="E891" s="3">
        <v>1623.84</v>
      </c>
      <c r="F891" s="3">
        <v>2388</v>
      </c>
    </row>
    <row r="892" spans="2:6" x14ac:dyDescent="0.25">
      <c r="B892" s="11" t="s">
        <v>1056</v>
      </c>
      <c r="C892" s="3">
        <v>4871.5199999999995</v>
      </c>
      <c r="D892" s="3">
        <v>162</v>
      </c>
      <c r="E892" s="3">
        <v>1623.84</v>
      </c>
      <c r="F892" s="3">
        <v>2388</v>
      </c>
    </row>
    <row r="893" spans="2:6" x14ac:dyDescent="0.25">
      <c r="B893" s="9" t="s">
        <v>451</v>
      </c>
      <c r="C893" s="3">
        <v>19687.079999999998</v>
      </c>
      <c r="D893" s="3">
        <v>63</v>
      </c>
      <c r="E893" s="3">
        <v>6562.36</v>
      </c>
      <c r="F893" s="3">
        <v>7133</v>
      </c>
    </row>
    <row r="894" spans="2:6" x14ac:dyDescent="0.25">
      <c r="B894" s="11" t="s">
        <v>1059</v>
      </c>
      <c r="C894" s="3">
        <v>19687.079999999998</v>
      </c>
      <c r="D894" s="3">
        <v>63</v>
      </c>
      <c r="E894" s="3">
        <v>6562.36</v>
      </c>
      <c r="F894" s="3">
        <v>7133</v>
      </c>
    </row>
    <row r="895" spans="2:6" x14ac:dyDescent="0.25">
      <c r="B895" s="9" t="s">
        <v>452</v>
      </c>
      <c r="C895" s="3">
        <v>3491.1</v>
      </c>
      <c r="D895" s="3">
        <v>166</v>
      </c>
      <c r="E895" s="3">
        <v>1745.55</v>
      </c>
      <c r="F895" s="3">
        <v>2155</v>
      </c>
    </row>
    <row r="896" spans="2:6" x14ac:dyDescent="0.25">
      <c r="B896" s="11" t="s">
        <v>1055</v>
      </c>
      <c r="C896" s="3">
        <v>3491.1</v>
      </c>
      <c r="D896" s="3">
        <v>166</v>
      </c>
      <c r="E896" s="3">
        <v>1745.55</v>
      </c>
      <c r="F896" s="3">
        <v>2155</v>
      </c>
    </row>
    <row r="897" spans="2:6" x14ac:dyDescent="0.25">
      <c r="B897" s="9" t="s">
        <v>453</v>
      </c>
      <c r="C897" s="3">
        <v>5136.04</v>
      </c>
      <c r="D897" s="3">
        <v>29</v>
      </c>
      <c r="E897" s="3">
        <v>5136.04</v>
      </c>
      <c r="F897" s="3">
        <v>5644</v>
      </c>
    </row>
    <row r="898" spans="2:6" x14ac:dyDescent="0.25">
      <c r="B898" s="11" t="s">
        <v>1059</v>
      </c>
      <c r="C898" s="3">
        <v>5136.04</v>
      </c>
      <c r="D898" s="3">
        <v>29</v>
      </c>
      <c r="E898" s="3">
        <v>5136.04</v>
      </c>
      <c r="F898" s="3">
        <v>5644</v>
      </c>
    </row>
    <row r="899" spans="2:6" x14ac:dyDescent="0.25">
      <c r="B899" s="9" t="s">
        <v>454</v>
      </c>
      <c r="C899" s="3">
        <v>1579.5</v>
      </c>
      <c r="D899" s="3">
        <v>61</v>
      </c>
      <c r="E899" s="3">
        <v>526.5</v>
      </c>
      <c r="F899" s="3">
        <v>702</v>
      </c>
    </row>
    <row r="900" spans="2:6" x14ac:dyDescent="0.25">
      <c r="B900" s="11" t="s">
        <v>1056</v>
      </c>
      <c r="C900" s="3">
        <v>1579.5</v>
      </c>
      <c r="D900" s="3">
        <v>61</v>
      </c>
      <c r="E900" s="3">
        <v>526.5</v>
      </c>
      <c r="F900" s="3">
        <v>702</v>
      </c>
    </row>
    <row r="901" spans="2:6" x14ac:dyDescent="0.25">
      <c r="B901" s="9" t="s">
        <v>455</v>
      </c>
      <c r="C901" s="3">
        <v>834.44</v>
      </c>
      <c r="D901" s="3">
        <v>52</v>
      </c>
      <c r="E901" s="3">
        <v>834.44</v>
      </c>
      <c r="F901" s="3">
        <v>907</v>
      </c>
    </row>
    <row r="902" spans="2:6" x14ac:dyDescent="0.25">
      <c r="B902" s="11" t="s">
        <v>1059</v>
      </c>
      <c r="C902" s="3">
        <v>834.44</v>
      </c>
      <c r="D902" s="3">
        <v>52</v>
      </c>
      <c r="E902" s="3">
        <v>834.44</v>
      </c>
      <c r="F902" s="3">
        <v>907</v>
      </c>
    </row>
    <row r="903" spans="2:6" x14ac:dyDescent="0.25">
      <c r="B903" s="9" t="s">
        <v>456</v>
      </c>
      <c r="C903" s="3">
        <v>11472.48</v>
      </c>
      <c r="D903" s="3">
        <v>51</v>
      </c>
      <c r="E903" s="3">
        <v>3824.16</v>
      </c>
      <c r="F903" s="3">
        <v>4112</v>
      </c>
    </row>
    <row r="904" spans="2:6" x14ac:dyDescent="0.25">
      <c r="B904" s="11" t="s">
        <v>1059</v>
      </c>
      <c r="C904" s="3">
        <v>11472.48</v>
      </c>
      <c r="D904" s="3">
        <v>51</v>
      </c>
      <c r="E904" s="3">
        <v>3824.16</v>
      </c>
      <c r="F904" s="3">
        <v>4112</v>
      </c>
    </row>
    <row r="905" spans="2:6" x14ac:dyDescent="0.25">
      <c r="B905" s="9" t="s">
        <v>457</v>
      </c>
      <c r="C905" s="3">
        <v>10995.75</v>
      </c>
      <c r="D905" s="3">
        <v>108</v>
      </c>
      <c r="E905" s="3">
        <v>3665.25</v>
      </c>
      <c r="F905" s="3">
        <v>4887</v>
      </c>
    </row>
    <row r="906" spans="2:6" x14ac:dyDescent="0.25">
      <c r="B906" s="11" t="s">
        <v>1056</v>
      </c>
      <c r="C906" s="3">
        <v>10995.75</v>
      </c>
      <c r="D906" s="3">
        <v>108</v>
      </c>
      <c r="E906" s="3">
        <v>3665.25</v>
      </c>
      <c r="F906" s="3">
        <v>4887</v>
      </c>
    </row>
    <row r="907" spans="2:6" x14ac:dyDescent="0.25">
      <c r="B907" s="9" t="s">
        <v>458</v>
      </c>
      <c r="C907" s="3">
        <v>5675.76</v>
      </c>
      <c r="D907" s="3">
        <v>60</v>
      </c>
      <c r="E907" s="3">
        <v>5675.76</v>
      </c>
      <c r="F907" s="3">
        <v>7883</v>
      </c>
    </row>
    <row r="908" spans="2:6" x14ac:dyDescent="0.25">
      <c r="B908" s="11" t="s">
        <v>1056</v>
      </c>
      <c r="C908" s="3">
        <v>5675.76</v>
      </c>
      <c r="D908" s="3">
        <v>60</v>
      </c>
      <c r="E908" s="3">
        <v>5675.76</v>
      </c>
      <c r="F908" s="3">
        <v>7883</v>
      </c>
    </row>
    <row r="909" spans="2:6" x14ac:dyDescent="0.25">
      <c r="B909" s="9" t="s">
        <v>459</v>
      </c>
      <c r="C909" s="3">
        <v>4979.25</v>
      </c>
      <c r="D909" s="3">
        <v>58</v>
      </c>
      <c r="E909" s="3">
        <v>1659.75</v>
      </c>
      <c r="F909" s="3">
        <v>2213</v>
      </c>
    </row>
    <row r="910" spans="2:6" x14ac:dyDescent="0.25">
      <c r="B910" s="11" t="s">
        <v>1056</v>
      </c>
      <c r="C910" s="3">
        <v>4979.25</v>
      </c>
      <c r="D910" s="3">
        <v>58</v>
      </c>
      <c r="E910" s="3">
        <v>1659.75</v>
      </c>
      <c r="F910" s="3">
        <v>2213</v>
      </c>
    </row>
    <row r="911" spans="2:6" x14ac:dyDescent="0.25">
      <c r="B911" s="9" t="s">
        <v>460</v>
      </c>
      <c r="C911" s="3">
        <v>12100.92</v>
      </c>
      <c r="D911" s="3">
        <v>162</v>
      </c>
      <c r="E911" s="3">
        <v>6050.46</v>
      </c>
      <c r="F911" s="3">
        <v>7757</v>
      </c>
    </row>
    <row r="912" spans="2:6" x14ac:dyDescent="0.25">
      <c r="B912" s="11" t="s">
        <v>1056</v>
      </c>
      <c r="C912" s="3">
        <v>12100.92</v>
      </c>
      <c r="D912" s="3">
        <v>162</v>
      </c>
      <c r="E912" s="3">
        <v>6050.46</v>
      </c>
      <c r="F912" s="3">
        <v>7757</v>
      </c>
    </row>
    <row r="913" spans="2:6" x14ac:dyDescent="0.25">
      <c r="B913" s="9" t="s">
        <v>461</v>
      </c>
      <c r="C913" s="3">
        <v>2478.6</v>
      </c>
      <c r="D913" s="3">
        <v>102</v>
      </c>
      <c r="E913" s="3">
        <v>2478.6</v>
      </c>
      <c r="F913" s="3">
        <v>3060</v>
      </c>
    </row>
    <row r="914" spans="2:6" x14ac:dyDescent="0.25">
      <c r="B914" s="11" t="s">
        <v>1055</v>
      </c>
      <c r="C914" s="3">
        <v>2478.6</v>
      </c>
      <c r="D914" s="3">
        <v>102</v>
      </c>
      <c r="E914" s="3">
        <v>2478.6</v>
      </c>
      <c r="F914" s="3">
        <v>3060</v>
      </c>
    </row>
    <row r="915" spans="2:6" x14ac:dyDescent="0.25">
      <c r="B915" s="9" t="s">
        <v>462</v>
      </c>
      <c r="C915" s="3">
        <v>16448.670000000002</v>
      </c>
      <c r="D915" s="3">
        <v>73</v>
      </c>
      <c r="E915" s="3">
        <v>5482.89</v>
      </c>
      <c r="F915" s="3">
        <v>6769</v>
      </c>
    </row>
    <row r="916" spans="2:6" x14ac:dyDescent="0.25">
      <c r="B916" s="11" t="s">
        <v>1055</v>
      </c>
      <c r="C916" s="3">
        <v>16448.670000000002</v>
      </c>
      <c r="D916" s="3">
        <v>73</v>
      </c>
      <c r="E916" s="3">
        <v>5482.89</v>
      </c>
      <c r="F916" s="3">
        <v>6769</v>
      </c>
    </row>
    <row r="917" spans="2:6" x14ac:dyDescent="0.25">
      <c r="B917" s="9" t="s">
        <v>463</v>
      </c>
      <c r="C917" s="3">
        <v>8343.2999999999993</v>
      </c>
      <c r="D917" s="3">
        <v>59</v>
      </c>
      <c r="E917" s="3">
        <v>4171.6499999999996</v>
      </c>
      <c r="F917" s="3">
        <v>4795</v>
      </c>
    </row>
    <row r="918" spans="2:6" x14ac:dyDescent="0.25">
      <c r="B918" s="11" t="s">
        <v>1055</v>
      </c>
      <c r="C918" s="3">
        <v>8343.2999999999993</v>
      </c>
      <c r="D918" s="3">
        <v>59</v>
      </c>
      <c r="E918" s="3">
        <v>4171.6499999999996</v>
      </c>
      <c r="F918" s="3">
        <v>4795</v>
      </c>
    </row>
    <row r="919" spans="2:6" x14ac:dyDescent="0.25">
      <c r="B919" s="9" t="s">
        <v>464</v>
      </c>
      <c r="C919" s="3">
        <v>731.12</v>
      </c>
      <c r="D919" s="3">
        <v>13</v>
      </c>
      <c r="E919" s="3">
        <v>731.12</v>
      </c>
      <c r="F919" s="3">
        <v>962</v>
      </c>
    </row>
    <row r="920" spans="2:6" x14ac:dyDescent="0.25">
      <c r="B920" s="11" t="s">
        <v>1056</v>
      </c>
      <c r="C920" s="3">
        <v>731.12</v>
      </c>
      <c r="D920" s="3">
        <v>13</v>
      </c>
      <c r="E920" s="3">
        <v>731.12</v>
      </c>
      <c r="F920" s="3">
        <v>962</v>
      </c>
    </row>
    <row r="921" spans="2:6" x14ac:dyDescent="0.25">
      <c r="B921" s="9" t="s">
        <v>465</v>
      </c>
      <c r="C921" s="3">
        <v>10578</v>
      </c>
      <c r="D921" s="3">
        <v>52</v>
      </c>
      <c r="E921" s="3">
        <v>3526</v>
      </c>
      <c r="F921" s="3">
        <v>4100</v>
      </c>
    </row>
    <row r="922" spans="2:6" x14ac:dyDescent="0.25">
      <c r="B922" s="11" t="s">
        <v>1055</v>
      </c>
      <c r="C922" s="3">
        <v>10578</v>
      </c>
      <c r="D922" s="3">
        <v>52</v>
      </c>
      <c r="E922" s="3">
        <v>3526</v>
      </c>
      <c r="F922" s="3">
        <v>4100</v>
      </c>
    </row>
    <row r="923" spans="2:6" x14ac:dyDescent="0.25">
      <c r="B923" s="9" t="s">
        <v>466</v>
      </c>
      <c r="C923" s="3">
        <v>12438.72</v>
      </c>
      <c r="D923" s="3">
        <v>48</v>
      </c>
      <c r="E923" s="3">
        <v>6219.36</v>
      </c>
      <c r="F923" s="3">
        <v>7404</v>
      </c>
    </row>
    <row r="924" spans="2:6" x14ac:dyDescent="0.25">
      <c r="B924" s="11" t="s">
        <v>1055</v>
      </c>
      <c r="C924" s="3">
        <v>12438.72</v>
      </c>
      <c r="D924" s="3">
        <v>48</v>
      </c>
      <c r="E924" s="3">
        <v>6219.36</v>
      </c>
      <c r="F924" s="3">
        <v>7404</v>
      </c>
    </row>
    <row r="925" spans="2:6" x14ac:dyDescent="0.25">
      <c r="B925" s="9" t="s">
        <v>467</v>
      </c>
      <c r="C925" s="3">
        <v>7957.2</v>
      </c>
      <c r="D925" s="3">
        <v>27</v>
      </c>
      <c r="E925" s="3">
        <v>3978.6</v>
      </c>
      <c r="F925" s="3">
        <v>5235</v>
      </c>
    </row>
    <row r="926" spans="2:6" x14ac:dyDescent="0.25">
      <c r="B926" s="11" t="s">
        <v>1056</v>
      </c>
      <c r="C926" s="3">
        <v>7957.2</v>
      </c>
      <c r="D926" s="3">
        <v>27</v>
      </c>
      <c r="E926" s="3">
        <v>3978.6</v>
      </c>
      <c r="F926" s="3">
        <v>5235</v>
      </c>
    </row>
    <row r="927" spans="2:6" x14ac:dyDescent="0.25">
      <c r="B927" s="9" t="s">
        <v>468</v>
      </c>
      <c r="C927" s="3">
        <v>9466.2000000000007</v>
      </c>
      <c r="D927" s="3">
        <v>161</v>
      </c>
      <c r="E927" s="3">
        <v>4733.1000000000004</v>
      </c>
      <c r="F927" s="3">
        <v>5259</v>
      </c>
    </row>
    <row r="928" spans="2:6" x14ac:dyDescent="0.25">
      <c r="B928" s="11" t="s">
        <v>1055</v>
      </c>
      <c r="C928" s="3">
        <v>9466.2000000000007</v>
      </c>
      <c r="D928" s="3">
        <v>161</v>
      </c>
      <c r="E928" s="3">
        <v>4733.1000000000004</v>
      </c>
      <c r="F928" s="3">
        <v>5259</v>
      </c>
    </row>
    <row r="929" spans="2:6" x14ac:dyDescent="0.25">
      <c r="B929" s="9" t="s">
        <v>469</v>
      </c>
      <c r="C929" s="3">
        <v>13076.07</v>
      </c>
      <c r="D929" s="3">
        <v>164</v>
      </c>
      <c r="E929" s="3">
        <v>4358.6899999999996</v>
      </c>
      <c r="F929" s="3">
        <v>6139</v>
      </c>
    </row>
    <row r="930" spans="2:6" x14ac:dyDescent="0.25">
      <c r="B930" s="11" t="s">
        <v>1056</v>
      </c>
      <c r="C930" s="3">
        <v>13076.07</v>
      </c>
      <c r="D930" s="3">
        <v>164</v>
      </c>
      <c r="E930" s="3">
        <v>4358.6899999999996</v>
      </c>
      <c r="F930" s="3">
        <v>6139</v>
      </c>
    </row>
    <row r="931" spans="2:6" x14ac:dyDescent="0.25">
      <c r="B931" s="9" t="s">
        <v>470</v>
      </c>
      <c r="C931" s="3">
        <v>492.8</v>
      </c>
      <c r="D931" s="3">
        <v>181</v>
      </c>
      <c r="E931" s="3">
        <v>246.4</v>
      </c>
      <c r="F931" s="3">
        <v>320</v>
      </c>
    </row>
    <row r="932" spans="2:6" x14ac:dyDescent="0.25">
      <c r="B932" s="11" t="s">
        <v>1056</v>
      </c>
      <c r="C932" s="3">
        <v>492.8</v>
      </c>
      <c r="D932" s="3">
        <v>181</v>
      </c>
      <c r="E932" s="3">
        <v>246.4</v>
      </c>
      <c r="F932" s="3">
        <v>320</v>
      </c>
    </row>
    <row r="933" spans="2:6" x14ac:dyDescent="0.25">
      <c r="B933" s="9" t="s">
        <v>471</v>
      </c>
      <c r="C933" s="3">
        <v>18490.739999999998</v>
      </c>
      <c r="D933" s="3">
        <v>77</v>
      </c>
      <c r="E933" s="3">
        <v>6163.58</v>
      </c>
      <c r="F933" s="3">
        <v>6557</v>
      </c>
    </row>
    <row r="934" spans="2:6" x14ac:dyDescent="0.25">
      <c r="B934" s="11" t="s">
        <v>1059</v>
      </c>
      <c r="C934" s="3">
        <v>18490.739999999998</v>
      </c>
      <c r="D934" s="3">
        <v>77</v>
      </c>
      <c r="E934" s="3">
        <v>6163.58</v>
      </c>
      <c r="F934" s="3">
        <v>6557</v>
      </c>
    </row>
    <row r="935" spans="2:6" x14ac:dyDescent="0.25">
      <c r="B935" s="9" t="s">
        <v>472</v>
      </c>
      <c r="C935" s="3">
        <v>3441.28</v>
      </c>
      <c r="D935" s="3">
        <v>194</v>
      </c>
      <c r="E935" s="3">
        <v>3441.28</v>
      </c>
      <c r="F935" s="3">
        <v>4528</v>
      </c>
    </row>
    <row r="936" spans="2:6" x14ac:dyDescent="0.25">
      <c r="B936" s="11" t="s">
        <v>1056</v>
      </c>
      <c r="C936" s="3">
        <v>3441.28</v>
      </c>
      <c r="D936" s="3">
        <v>194</v>
      </c>
      <c r="E936" s="3">
        <v>3441.28</v>
      </c>
      <c r="F936" s="3">
        <v>4528</v>
      </c>
    </row>
    <row r="937" spans="2:6" x14ac:dyDescent="0.25">
      <c r="B937" s="9" t="s">
        <v>473</v>
      </c>
      <c r="C937" s="3">
        <v>6572.48</v>
      </c>
      <c r="D937" s="3">
        <v>182</v>
      </c>
      <c r="E937" s="3">
        <v>3286.24</v>
      </c>
      <c r="F937" s="3">
        <v>4324</v>
      </c>
    </row>
    <row r="938" spans="2:6" x14ac:dyDescent="0.25">
      <c r="B938" s="11" t="s">
        <v>1056</v>
      </c>
      <c r="C938" s="3">
        <v>6572.48</v>
      </c>
      <c r="D938" s="3">
        <v>182</v>
      </c>
      <c r="E938" s="3">
        <v>3286.24</v>
      </c>
      <c r="F938" s="3">
        <v>4324</v>
      </c>
    </row>
    <row r="939" spans="2:6" x14ac:dyDescent="0.25">
      <c r="B939" s="9" t="s">
        <v>474</v>
      </c>
      <c r="C939" s="3">
        <v>7587</v>
      </c>
      <c r="D939" s="3">
        <v>166</v>
      </c>
      <c r="E939" s="3">
        <v>2529</v>
      </c>
      <c r="F939" s="3">
        <v>3372</v>
      </c>
    </row>
    <row r="940" spans="2:6" x14ac:dyDescent="0.25">
      <c r="B940" s="11" t="s">
        <v>1056</v>
      </c>
      <c r="C940" s="3">
        <v>7587</v>
      </c>
      <c r="D940" s="3">
        <v>166</v>
      </c>
      <c r="E940" s="3">
        <v>2529</v>
      </c>
      <c r="F940" s="3">
        <v>3372</v>
      </c>
    </row>
    <row r="941" spans="2:6" x14ac:dyDescent="0.25">
      <c r="B941" s="9" t="s">
        <v>475</v>
      </c>
      <c r="C941" s="3">
        <v>5630.4</v>
      </c>
      <c r="D941" s="3">
        <v>76</v>
      </c>
      <c r="E941" s="3">
        <v>1876.8</v>
      </c>
      <c r="F941" s="3">
        <v>2720</v>
      </c>
    </row>
    <row r="942" spans="2:6" x14ac:dyDescent="0.25">
      <c r="B942" s="11" t="s">
        <v>1056</v>
      </c>
      <c r="C942" s="3">
        <v>5630.4</v>
      </c>
      <c r="D942" s="3">
        <v>76</v>
      </c>
      <c r="E942" s="3">
        <v>1876.8</v>
      </c>
      <c r="F942" s="3">
        <v>2720</v>
      </c>
    </row>
    <row r="943" spans="2:6" x14ac:dyDescent="0.25">
      <c r="B943" s="9" t="s">
        <v>476</v>
      </c>
      <c r="C943" s="3">
        <v>4893.72</v>
      </c>
      <c r="D943" s="3">
        <v>69</v>
      </c>
      <c r="E943" s="3">
        <v>2446.86</v>
      </c>
      <c r="F943" s="3">
        <v>3137</v>
      </c>
    </row>
    <row r="944" spans="2:6" x14ac:dyDescent="0.25">
      <c r="B944" s="11" t="s">
        <v>1056</v>
      </c>
      <c r="C944" s="3">
        <v>4893.72</v>
      </c>
      <c r="D944" s="3">
        <v>69</v>
      </c>
      <c r="E944" s="3">
        <v>2446.86</v>
      </c>
      <c r="F944" s="3">
        <v>3137</v>
      </c>
    </row>
    <row r="945" spans="2:6" x14ac:dyDescent="0.25">
      <c r="B945" s="9" t="s">
        <v>477</v>
      </c>
      <c r="C945" s="3">
        <v>8363.73</v>
      </c>
      <c r="D945" s="3">
        <v>19</v>
      </c>
      <c r="E945" s="3">
        <v>2787.91</v>
      </c>
      <c r="F945" s="3">
        <v>3529</v>
      </c>
    </row>
    <row r="946" spans="2:6" x14ac:dyDescent="0.25">
      <c r="B946" s="11" t="s">
        <v>1056</v>
      </c>
      <c r="C946" s="3">
        <v>8363.73</v>
      </c>
      <c r="D946" s="3">
        <v>19</v>
      </c>
      <c r="E946" s="3">
        <v>2787.91</v>
      </c>
      <c r="F946" s="3">
        <v>3529</v>
      </c>
    </row>
    <row r="947" spans="2:6" x14ac:dyDescent="0.25">
      <c r="B947" s="9" t="s">
        <v>478</v>
      </c>
      <c r="C947" s="3">
        <v>1613.43</v>
      </c>
      <c r="D947" s="3">
        <v>178</v>
      </c>
      <c r="E947" s="3">
        <v>1613.43</v>
      </c>
      <c r="F947" s="3">
        <v>1773</v>
      </c>
    </row>
    <row r="948" spans="2:6" x14ac:dyDescent="0.25">
      <c r="B948" s="11" t="s">
        <v>1059</v>
      </c>
      <c r="C948" s="3">
        <v>1613.43</v>
      </c>
      <c r="D948" s="3">
        <v>178</v>
      </c>
      <c r="E948" s="3">
        <v>1613.43</v>
      </c>
      <c r="F948" s="3">
        <v>1773</v>
      </c>
    </row>
    <row r="949" spans="2:6" x14ac:dyDescent="0.25">
      <c r="B949" s="9" t="s">
        <v>479</v>
      </c>
      <c r="C949" s="3">
        <v>3350.6400000000003</v>
      </c>
      <c r="D949" s="3">
        <v>68</v>
      </c>
      <c r="E949" s="3">
        <v>1116.8800000000001</v>
      </c>
      <c r="F949" s="3">
        <v>1214</v>
      </c>
    </row>
    <row r="950" spans="2:6" x14ac:dyDescent="0.25">
      <c r="B950" s="11" t="s">
        <v>1059</v>
      </c>
      <c r="C950" s="3">
        <v>3350.6400000000003</v>
      </c>
      <c r="D950" s="3">
        <v>68</v>
      </c>
      <c r="E950" s="3">
        <v>1116.8800000000001</v>
      </c>
      <c r="F950" s="3">
        <v>1214</v>
      </c>
    </row>
    <row r="951" spans="2:6" x14ac:dyDescent="0.25">
      <c r="B951" s="9" t="s">
        <v>480</v>
      </c>
      <c r="C951" s="3">
        <v>7196.28</v>
      </c>
      <c r="D951" s="3">
        <v>76</v>
      </c>
      <c r="E951" s="3">
        <v>3598.14</v>
      </c>
      <c r="F951" s="3">
        <v>4613</v>
      </c>
    </row>
    <row r="952" spans="2:6" x14ac:dyDescent="0.25">
      <c r="B952" s="11" t="s">
        <v>1056</v>
      </c>
      <c r="C952" s="3">
        <v>7196.28</v>
      </c>
      <c r="D952" s="3">
        <v>76</v>
      </c>
      <c r="E952" s="3">
        <v>3598.14</v>
      </c>
      <c r="F952" s="3">
        <v>4613</v>
      </c>
    </row>
    <row r="953" spans="2:6" x14ac:dyDescent="0.25">
      <c r="B953" s="9" t="s">
        <v>481</v>
      </c>
      <c r="C953" s="3">
        <v>7727.4</v>
      </c>
      <c r="D953" s="3">
        <v>75</v>
      </c>
      <c r="E953" s="3">
        <v>3863.7</v>
      </c>
      <c r="F953" s="3">
        <v>4293</v>
      </c>
    </row>
    <row r="954" spans="2:6" x14ac:dyDescent="0.25">
      <c r="B954" s="11" t="s">
        <v>1055</v>
      </c>
      <c r="C954" s="3">
        <v>7727.4</v>
      </c>
      <c r="D954" s="3">
        <v>75</v>
      </c>
      <c r="E954" s="3">
        <v>3863.7</v>
      </c>
      <c r="F954" s="3">
        <v>4293</v>
      </c>
    </row>
    <row r="955" spans="2:6" x14ac:dyDescent="0.25">
      <c r="B955" s="9" t="s">
        <v>482</v>
      </c>
      <c r="C955" s="3">
        <v>8241.5999999999985</v>
      </c>
      <c r="D955" s="3">
        <v>44</v>
      </c>
      <c r="E955" s="3">
        <v>2747.2</v>
      </c>
      <c r="F955" s="3">
        <v>3232</v>
      </c>
    </row>
    <row r="956" spans="2:6" x14ac:dyDescent="0.25">
      <c r="B956" s="11" t="s">
        <v>1055</v>
      </c>
      <c r="C956" s="3">
        <v>8241.5999999999985</v>
      </c>
      <c r="D956" s="3">
        <v>44</v>
      </c>
      <c r="E956" s="3">
        <v>2747.2</v>
      </c>
      <c r="F956" s="3">
        <v>3232</v>
      </c>
    </row>
    <row r="957" spans="2:6" x14ac:dyDescent="0.25">
      <c r="B957" s="9" t="s">
        <v>483</v>
      </c>
      <c r="C957" s="3">
        <v>8051</v>
      </c>
      <c r="D957" s="3">
        <v>160</v>
      </c>
      <c r="E957" s="3">
        <v>4025.5</v>
      </c>
      <c r="F957" s="3">
        <v>4850</v>
      </c>
    </row>
    <row r="958" spans="2:6" x14ac:dyDescent="0.25">
      <c r="B958" s="11" t="s">
        <v>1055</v>
      </c>
      <c r="C958" s="3">
        <v>8051</v>
      </c>
      <c r="D958" s="3">
        <v>160</v>
      </c>
      <c r="E958" s="3">
        <v>4025.5</v>
      </c>
      <c r="F958" s="3">
        <v>4850</v>
      </c>
    </row>
    <row r="959" spans="2:6" x14ac:dyDescent="0.25">
      <c r="B959" s="9" t="s">
        <v>484</v>
      </c>
      <c r="C959" s="3">
        <v>2379.48</v>
      </c>
      <c r="D959" s="3">
        <v>135</v>
      </c>
      <c r="E959" s="3">
        <v>2379.48</v>
      </c>
      <c r="F959" s="3">
        <v>3012</v>
      </c>
    </row>
    <row r="960" spans="2:6" x14ac:dyDescent="0.25">
      <c r="B960" s="11" t="s">
        <v>1056</v>
      </c>
      <c r="C960" s="3">
        <v>2379.48</v>
      </c>
      <c r="D960" s="3">
        <v>135</v>
      </c>
      <c r="E960" s="3">
        <v>2379.48</v>
      </c>
      <c r="F960" s="3">
        <v>3012</v>
      </c>
    </row>
    <row r="961" spans="2:6" x14ac:dyDescent="0.25">
      <c r="B961" s="9" t="s">
        <v>485</v>
      </c>
      <c r="C961" s="3">
        <v>9042.48</v>
      </c>
      <c r="D961" s="3">
        <v>159</v>
      </c>
      <c r="E961" s="3">
        <v>3014.16</v>
      </c>
      <c r="F961" s="3">
        <v>3966</v>
      </c>
    </row>
    <row r="962" spans="2:6" x14ac:dyDescent="0.25">
      <c r="B962" s="11" t="s">
        <v>1056</v>
      </c>
      <c r="C962" s="3">
        <v>9042.48</v>
      </c>
      <c r="D962" s="3">
        <v>159</v>
      </c>
      <c r="E962" s="3">
        <v>3014.16</v>
      </c>
      <c r="F962" s="3">
        <v>3966</v>
      </c>
    </row>
    <row r="963" spans="2:6" x14ac:dyDescent="0.25">
      <c r="B963" s="9" t="s">
        <v>486</v>
      </c>
      <c r="C963" s="3">
        <v>8248.5</v>
      </c>
      <c r="D963" s="3">
        <v>160</v>
      </c>
      <c r="E963" s="3">
        <v>2749.5</v>
      </c>
      <c r="F963" s="3">
        <v>4230</v>
      </c>
    </row>
    <row r="964" spans="2:6" x14ac:dyDescent="0.25">
      <c r="B964" s="11" t="s">
        <v>1056</v>
      </c>
      <c r="C964" s="3">
        <v>8248.5</v>
      </c>
      <c r="D964" s="3">
        <v>160</v>
      </c>
      <c r="E964" s="3">
        <v>2749.5</v>
      </c>
      <c r="F964" s="3">
        <v>4230</v>
      </c>
    </row>
    <row r="965" spans="2:6" x14ac:dyDescent="0.25">
      <c r="B965" s="9" t="s">
        <v>487</v>
      </c>
      <c r="C965" s="3">
        <v>15903.36</v>
      </c>
      <c r="D965" s="3">
        <v>112</v>
      </c>
      <c r="E965" s="3">
        <v>5301.12</v>
      </c>
      <c r="F965" s="3">
        <v>6024</v>
      </c>
    </row>
    <row r="966" spans="2:6" x14ac:dyDescent="0.25">
      <c r="B966" s="11" t="s">
        <v>1055</v>
      </c>
      <c r="C966" s="3">
        <v>15903.36</v>
      </c>
      <c r="D966" s="3">
        <v>112</v>
      </c>
      <c r="E966" s="3">
        <v>5301.12</v>
      </c>
      <c r="F966" s="3">
        <v>6024</v>
      </c>
    </row>
    <row r="967" spans="2:6" x14ac:dyDescent="0.25">
      <c r="B967" s="9" t="s">
        <v>488</v>
      </c>
      <c r="C967" s="3">
        <v>1055.6199999999999</v>
      </c>
      <c r="D967" s="3">
        <v>100</v>
      </c>
      <c r="E967" s="3">
        <v>1055.6199999999999</v>
      </c>
      <c r="F967" s="3">
        <v>1123</v>
      </c>
    </row>
    <row r="968" spans="2:6" x14ac:dyDescent="0.25">
      <c r="B968" s="11" t="s">
        <v>1059</v>
      </c>
      <c r="C968" s="3">
        <v>1055.6199999999999</v>
      </c>
      <c r="D968" s="3">
        <v>100</v>
      </c>
      <c r="E968" s="3">
        <v>1055.6199999999999</v>
      </c>
      <c r="F968" s="3">
        <v>1123</v>
      </c>
    </row>
    <row r="969" spans="2:6" x14ac:dyDescent="0.25">
      <c r="B969" s="9" t="s">
        <v>489</v>
      </c>
      <c r="C969" s="3">
        <v>4721.5600000000004</v>
      </c>
      <c r="D969" s="3">
        <v>126</v>
      </c>
      <c r="E969" s="3">
        <v>4721.5600000000004</v>
      </c>
      <c r="F969" s="3">
        <v>5758</v>
      </c>
    </row>
    <row r="970" spans="2:6" x14ac:dyDescent="0.25">
      <c r="B970" s="11" t="s">
        <v>1055</v>
      </c>
      <c r="C970" s="3">
        <v>4721.5600000000004</v>
      </c>
      <c r="D970" s="3">
        <v>126</v>
      </c>
      <c r="E970" s="3">
        <v>4721.5600000000004</v>
      </c>
      <c r="F970" s="3">
        <v>5758</v>
      </c>
    </row>
    <row r="971" spans="2:6" x14ac:dyDescent="0.25">
      <c r="B971" s="9" t="s">
        <v>490</v>
      </c>
      <c r="C971" s="3">
        <v>10532.44</v>
      </c>
      <c r="D971" s="3">
        <v>151</v>
      </c>
      <c r="E971" s="3">
        <v>5266.22</v>
      </c>
      <c r="F971" s="3">
        <v>7214</v>
      </c>
    </row>
    <row r="972" spans="2:6" x14ac:dyDescent="0.25">
      <c r="B972" s="11" t="s">
        <v>1056</v>
      </c>
      <c r="C972" s="3">
        <v>10532.44</v>
      </c>
      <c r="D972" s="3">
        <v>151</v>
      </c>
      <c r="E972" s="3">
        <v>5266.22</v>
      </c>
      <c r="F972" s="3">
        <v>7214</v>
      </c>
    </row>
    <row r="973" spans="2:6" x14ac:dyDescent="0.25">
      <c r="B973" s="9" t="s">
        <v>491</v>
      </c>
      <c r="C973" s="3">
        <v>9561.24</v>
      </c>
      <c r="D973" s="3">
        <v>44</v>
      </c>
      <c r="E973" s="3">
        <v>4780.62</v>
      </c>
      <c r="F973" s="3">
        <v>6129</v>
      </c>
    </row>
    <row r="974" spans="2:6" x14ac:dyDescent="0.25">
      <c r="B974" s="11" t="s">
        <v>1056</v>
      </c>
      <c r="C974" s="3">
        <v>9561.24</v>
      </c>
      <c r="D974" s="3">
        <v>44</v>
      </c>
      <c r="E974" s="3">
        <v>4780.62</v>
      </c>
      <c r="F974" s="3">
        <v>6129</v>
      </c>
    </row>
    <row r="975" spans="2:6" x14ac:dyDescent="0.25">
      <c r="B975" s="9" t="s">
        <v>492</v>
      </c>
      <c r="C975" s="3">
        <v>11584.2</v>
      </c>
      <c r="D975" s="3">
        <v>160</v>
      </c>
      <c r="E975" s="3">
        <v>3861.4</v>
      </c>
      <c r="F975" s="3">
        <v>4490</v>
      </c>
    </row>
    <row r="976" spans="2:6" x14ac:dyDescent="0.25">
      <c r="B976" s="11" t="s">
        <v>1055</v>
      </c>
      <c r="C976" s="3">
        <v>11584.2</v>
      </c>
      <c r="D976" s="3">
        <v>160</v>
      </c>
      <c r="E976" s="3">
        <v>3861.4</v>
      </c>
      <c r="F976" s="3">
        <v>4490</v>
      </c>
    </row>
    <row r="977" spans="2:6" x14ac:dyDescent="0.25">
      <c r="B977" s="9" t="s">
        <v>493</v>
      </c>
      <c r="C977" s="3">
        <v>5448.6</v>
      </c>
      <c r="D977" s="3">
        <v>155</v>
      </c>
      <c r="E977" s="3">
        <v>2724.3</v>
      </c>
      <c r="F977" s="3">
        <v>3027</v>
      </c>
    </row>
    <row r="978" spans="2:6" x14ac:dyDescent="0.25">
      <c r="B978" s="11" t="s">
        <v>1055</v>
      </c>
      <c r="C978" s="3">
        <v>5448.6</v>
      </c>
      <c r="D978" s="3">
        <v>155</v>
      </c>
      <c r="E978" s="3">
        <v>2724.3</v>
      </c>
      <c r="F978" s="3">
        <v>3027</v>
      </c>
    </row>
    <row r="979" spans="2:6" x14ac:dyDescent="0.25">
      <c r="B979" s="9" t="s">
        <v>494</v>
      </c>
      <c r="C979" s="3">
        <v>11233.8</v>
      </c>
      <c r="D979" s="3">
        <v>19</v>
      </c>
      <c r="E979" s="3">
        <v>5616.9</v>
      </c>
      <c r="F979" s="3">
        <v>6241</v>
      </c>
    </row>
    <row r="980" spans="2:6" x14ac:dyDescent="0.25">
      <c r="B980" s="11" t="s">
        <v>1055</v>
      </c>
      <c r="C980" s="3">
        <v>11233.8</v>
      </c>
      <c r="D980" s="3">
        <v>19</v>
      </c>
      <c r="E980" s="3">
        <v>5616.9</v>
      </c>
      <c r="F980" s="3">
        <v>6241</v>
      </c>
    </row>
    <row r="981" spans="2:6" x14ac:dyDescent="0.25">
      <c r="B981" s="9" t="s">
        <v>495</v>
      </c>
      <c r="C981" s="3">
        <v>930.75</v>
      </c>
      <c r="D981" s="3">
        <v>141</v>
      </c>
      <c r="E981" s="3">
        <v>930.75</v>
      </c>
      <c r="F981" s="3">
        <v>1241</v>
      </c>
    </row>
    <row r="982" spans="2:6" x14ac:dyDescent="0.25">
      <c r="B982" s="11" t="s">
        <v>1056</v>
      </c>
      <c r="C982" s="3">
        <v>930.75</v>
      </c>
      <c r="D982" s="3">
        <v>141</v>
      </c>
      <c r="E982" s="3">
        <v>930.75</v>
      </c>
      <c r="F982" s="3">
        <v>1241</v>
      </c>
    </row>
    <row r="983" spans="2:6" x14ac:dyDescent="0.25">
      <c r="B983" s="9" t="s">
        <v>496</v>
      </c>
      <c r="C983" s="3">
        <v>9408</v>
      </c>
      <c r="D983" s="3">
        <v>22</v>
      </c>
      <c r="E983" s="3">
        <v>4704</v>
      </c>
      <c r="F983" s="3">
        <v>6272</v>
      </c>
    </row>
    <row r="984" spans="2:6" x14ac:dyDescent="0.25">
      <c r="B984" s="11" t="s">
        <v>1056</v>
      </c>
      <c r="C984" s="3">
        <v>9408</v>
      </c>
      <c r="D984" s="3">
        <v>22</v>
      </c>
      <c r="E984" s="3">
        <v>4704</v>
      </c>
      <c r="F984" s="3">
        <v>6272</v>
      </c>
    </row>
    <row r="985" spans="2:6" x14ac:dyDescent="0.25">
      <c r="B985" s="9" t="s">
        <v>497</v>
      </c>
      <c r="C985" s="3">
        <v>21156.57</v>
      </c>
      <c r="D985" s="3">
        <v>20</v>
      </c>
      <c r="E985" s="3">
        <v>7052.19</v>
      </c>
      <c r="F985" s="3">
        <v>7583</v>
      </c>
    </row>
    <row r="986" spans="2:6" x14ac:dyDescent="0.25">
      <c r="B986" s="11" t="s">
        <v>1059</v>
      </c>
      <c r="C986" s="3">
        <v>21156.57</v>
      </c>
      <c r="D986" s="3">
        <v>20</v>
      </c>
      <c r="E986" s="3">
        <v>7052.19</v>
      </c>
      <c r="F986" s="3">
        <v>7583</v>
      </c>
    </row>
    <row r="987" spans="2:6" x14ac:dyDescent="0.25">
      <c r="B987" s="9" t="s">
        <v>498</v>
      </c>
      <c r="C987" s="3">
        <v>7130.48</v>
      </c>
      <c r="D987" s="3">
        <v>139</v>
      </c>
      <c r="E987" s="3">
        <v>3565.24</v>
      </c>
      <c r="F987" s="3">
        <v>5243</v>
      </c>
    </row>
    <row r="988" spans="2:6" x14ac:dyDescent="0.25">
      <c r="B988" s="11" t="s">
        <v>1056</v>
      </c>
      <c r="C988" s="3">
        <v>7130.48</v>
      </c>
      <c r="D988" s="3">
        <v>139</v>
      </c>
      <c r="E988" s="3">
        <v>3565.24</v>
      </c>
      <c r="F988" s="3">
        <v>5243</v>
      </c>
    </row>
    <row r="989" spans="2:6" x14ac:dyDescent="0.25">
      <c r="B989" s="9" t="s">
        <v>499</v>
      </c>
      <c r="C989" s="3">
        <v>9778.2000000000007</v>
      </c>
      <c r="D989" s="3">
        <v>98</v>
      </c>
      <c r="E989" s="3">
        <v>3259.4</v>
      </c>
      <c r="F989" s="3">
        <v>3790</v>
      </c>
    </row>
    <row r="990" spans="2:6" x14ac:dyDescent="0.25">
      <c r="B990" s="11" t="s">
        <v>1055</v>
      </c>
      <c r="C990" s="3">
        <v>9778.2000000000007</v>
      </c>
      <c r="D990" s="3">
        <v>98</v>
      </c>
      <c r="E990" s="3">
        <v>3259.4</v>
      </c>
      <c r="F990" s="3">
        <v>3790</v>
      </c>
    </row>
    <row r="991" spans="2:6" x14ac:dyDescent="0.25">
      <c r="B991" s="9" t="s">
        <v>500</v>
      </c>
      <c r="C991" s="3">
        <v>13579.02</v>
      </c>
      <c r="D991" s="3">
        <v>79</v>
      </c>
      <c r="E991" s="3">
        <v>4526.34</v>
      </c>
      <c r="F991" s="3">
        <v>5803</v>
      </c>
    </row>
    <row r="992" spans="2:6" x14ac:dyDescent="0.25">
      <c r="B992" s="11" t="s">
        <v>1056</v>
      </c>
      <c r="C992" s="3">
        <v>13579.02</v>
      </c>
      <c r="D992" s="3">
        <v>79</v>
      </c>
      <c r="E992" s="3">
        <v>4526.34</v>
      </c>
      <c r="F992" s="3">
        <v>5803</v>
      </c>
    </row>
    <row r="993" spans="2:6" x14ac:dyDescent="0.25">
      <c r="B993" s="9" t="s">
        <v>501</v>
      </c>
      <c r="C993" s="3">
        <v>9785.7000000000007</v>
      </c>
      <c r="D993" s="3">
        <v>120</v>
      </c>
      <c r="E993" s="3">
        <v>4892.8500000000004</v>
      </c>
      <c r="F993" s="3">
        <v>5895</v>
      </c>
    </row>
    <row r="994" spans="2:6" x14ac:dyDescent="0.25">
      <c r="B994" s="11" t="s">
        <v>1055</v>
      </c>
      <c r="C994" s="3">
        <v>9785.7000000000007</v>
      </c>
      <c r="D994" s="3">
        <v>120</v>
      </c>
      <c r="E994" s="3">
        <v>4892.8500000000004</v>
      </c>
      <c r="F994" s="3">
        <v>5895</v>
      </c>
    </row>
    <row r="995" spans="2:6" x14ac:dyDescent="0.25">
      <c r="B995" s="9" t="s">
        <v>502</v>
      </c>
      <c r="C995" s="3">
        <v>16304.400000000001</v>
      </c>
      <c r="D995" s="3">
        <v>111</v>
      </c>
      <c r="E995" s="3">
        <v>5434.8</v>
      </c>
      <c r="F995" s="3">
        <v>7764</v>
      </c>
    </row>
    <row r="996" spans="2:6" x14ac:dyDescent="0.25">
      <c r="B996" s="11" t="s">
        <v>1056</v>
      </c>
      <c r="C996" s="3">
        <v>16304.400000000001</v>
      </c>
      <c r="D996" s="3">
        <v>111</v>
      </c>
      <c r="E996" s="3">
        <v>5434.8</v>
      </c>
      <c r="F996" s="3">
        <v>7764</v>
      </c>
    </row>
    <row r="997" spans="2:6" x14ac:dyDescent="0.25">
      <c r="B997" s="9" t="s">
        <v>503</v>
      </c>
      <c r="C997" s="3">
        <v>6891.3</v>
      </c>
      <c r="D997" s="3">
        <v>92</v>
      </c>
      <c r="E997" s="3">
        <v>3445.65</v>
      </c>
      <c r="F997" s="3">
        <v>3705</v>
      </c>
    </row>
    <row r="998" spans="2:6" x14ac:dyDescent="0.25">
      <c r="B998" s="11" t="s">
        <v>1059</v>
      </c>
      <c r="C998" s="3">
        <v>6891.3</v>
      </c>
      <c r="D998" s="3">
        <v>92</v>
      </c>
      <c r="E998" s="3">
        <v>3445.65</v>
      </c>
      <c r="F998" s="3">
        <v>3705</v>
      </c>
    </row>
    <row r="999" spans="2:6" x14ac:dyDescent="0.25">
      <c r="B999" s="9" t="s">
        <v>504</v>
      </c>
      <c r="C999" s="3">
        <v>2748.56</v>
      </c>
      <c r="D999" s="3">
        <v>143</v>
      </c>
      <c r="E999" s="3">
        <v>2748.56</v>
      </c>
      <c r="F999" s="3">
        <v>4042</v>
      </c>
    </row>
    <row r="1000" spans="2:6" x14ac:dyDescent="0.25">
      <c r="B1000" s="11" t="s">
        <v>1056</v>
      </c>
      <c r="C1000" s="3">
        <v>2748.56</v>
      </c>
      <c r="D1000" s="3">
        <v>143</v>
      </c>
      <c r="E1000" s="3">
        <v>2748.56</v>
      </c>
      <c r="F1000" s="3">
        <v>4042</v>
      </c>
    </row>
    <row r="1001" spans="2:6" x14ac:dyDescent="0.25">
      <c r="B1001" s="9" t="s">
        <v>505</v>
      </c>
      <c r="C1001" s="3">
        <v>12611.04</v>
      </c>
      <c r="D1001" s="3">
        <v>84</v>
      </c>
      <c r="E1001" s="3">
        <v>6305.52</v>
      </c>
      <c r="F1001" s="3">
        <v>7332</v>
      </c>
    </row>
    <row r="1002" spans="2:6" x14ac:dyDescent="0.25">
      <c r="B1002" s="11" t="s">
        <v>1055</v>
      </c>
      <c r="C1002" s="3">
        <v>12611.04</v>
      </c>
      <c r="D1002" s="3">
        <v>84</v>
      </c>
      <c r="E1002" s="3">
        <v>6305.52</v>
      </c>
      <c r="F1002" s="3">
        <v>7332</v>
      </c>
    </row>
    <row r="1003" spans="2:6" x14ac:dyDescent="0.25">
      <c r="B1003" s="9" t="s">
        <v>506</v>
      </c>
      <c r="C1003" s="3">
        <v>11378.789999999999</v>
      </c>
      <c r="D1003" s="3">
        <v>68</v>
      </c>
      <c r="E1003" s="3">
        <v>3792.93</v>
      </c>
      <c r="F1003" s="3">
        <v>5497</v>
      </c>
    </row>
    <row r="1004" spans="2:6" x14ac:dyDescent="0.25">
      <c r="B1004" s="11" t="s">
        <v>1056</v>
      </c>
      <c r="C1004" s="3">
        <v>11378.789999999999</v>
      </c>
      <c r="D1004" s="3">
        <v>68</v>
      </c>
      <c r="E1004" s="3">
        <v>3792.93</v>
      </c>
      <c r="F1004" s="3">
        <v>5497</v>
      </c>
    </row>
    <row r="1005" spans="2:6" x14ac:dyDescent="0.25">
      <c r="B1005" s="9" t="s">
        <v>507</v>
      </c>
      <c r="C1005" s="3">
        <v>6532.92</v>
      </c>
      <c r="D1005" s="3">
        <v>113</v>
      </c>
      <c r="E1005" s="3">
        <v>2177.64</v>
      </c>
      <c r="F1005" s="3">
        <v>3156</v>
      </c>
    </row>
    <row r="1006" spans="2:6" x14ac:dyDescent="0.25">
      <c r="B1006" s="11" t="s">
        <v>1056</v>
      </c>
      <c r="C1006" s="3">
        <v>6532.92</v>
      </c>
      <c r="D1006" s="3">
        <v>113</v>
      </c>
      <c r="E1006" s="3">
        <v>2177.64</v>
      </c>
      <c r="F1006" s="3">
        <v>3156</v>
      </c>
    </row>
    <row r="1007" spans="2:6" x14ac:dyDescent="0.25">
      <c r="B1007" s="9" t="s">
        <v>508</v>
      </c>
      <c r="C1007" s="3">
        <v>3741</v>
      </c>
      <c r="D1007" s="3">
        <v>72</v>
      </c>
      <c r="E1007" s="3">
        <v>3741</v>
      </c>
      <c r="F1007" s="3">
        <v>4988</v>
      </c>
    </row>
    <row r="1008" spans="2:6" x14ac:dyDescent="0.25">
      <c r="B1008" s="11" t="s">
        <v>1056</v>
      </c>
      <c r="C1008" s="3">
        <v>3741</v>
      </c>
      <c r="D1008" s="3">
        <v>72</v>
      </c>
      <c r="E1008" s="3">
        <v>3741</v>
      </c>
      <c r="F1008" s="3">
        <v>4988</v>
      </c>
    </row>
    <row r="1009" spans="2:6" x14ac:dyDescent="0.25">
      <c r="B1009" s="9" t="s">
        <v>509</v>
      </c>
      <c r="C1009" s="3">
        <v>9170.08</v>
      </c>
      <c r="D1009" s="3">
        <v>125</v>
      </c>
      <c r="E1009" s="3">
        <v>4585.04</v>
      </c>
      <c r="F1009" s="3">
        <v>6196</v>
      </c>
    </row>
    <row r="1010" spans="2:6" x14ac:dyDescent="0.25">
      <c r="B1010" s="11" t="s">
        <v>1056</v>
      </c>
      <c r="C1010" s="3">
        <v>9170.08</v>
      </c>
      <c r="D1010" s="3">
        <v>125</v>
      </c>
      <c r="E1010" s="3">
        <v>4585.04</v>
      </c>
      <c r="F1010" s="3">
        <v>6196</v>
      </c>
    </row>
    <row r="1011" spans="2:6" x14ac:dyDescent="0.25">
      <c r="B1011" s="9" t="s">
        <v>510</v>
      </c>
      <c r="C1011" s="3">
        <v>10347.24</v>
      </c>
      <c r="D1011" s="3">
        <v>88</v>
      </c>
      <c r="E1011" s="3">
        <v>3449.08</v>
      </c>
      <c r="F1011" s="3">
        <v>3749</v>
      </c>
    </row>
    <row r="1012" spans="2:6" x14ac:dyDescent="0.25">
      <c r="B1012" s="11" t="s">
        <v>1059</v>
      </c>
      <c r="C1012" s="3">
        <v>10347.24</v>
      </c>
      <c r="D1012" s="3">
        <v>88</v>
      </c>
      <c r="E1012" s="3">
        <v>3449.08</v>
      </c>
      <c r="F1012" s="3">
        <v>3749</v>
      </c>
    </row>
    <row r="1013" spans="2:6" x14ac:dyDescent="0.25">
      <c r="B1013" s="9" t="s">
        <v>511</v>
      </c>
      <c r="C1013" s="3">
        <v>4658.88</v>
      </c>
      <c r="D1013" s="3">
        <v>105</v>
      </c>
      <c r="E1013" s="3">
        <v>4658.88</v>
      </c>
      <c r="F1013" s="3">
        <v>6752</v>
      </c>
    </row>
    <row r="1014" spans="2:6" x14ac:dyDescent="0.25">
      <c r="B1014" s="11" t="s">
        <v>1056</v>
      </c>
      <c r="C1014" s="3">
        <v>4658.88</v>
      </c>
      <c r="D1014" s="3">
        <v>105</v>
      </c>
      <c r="E1014" s="3">
        <v>4658.88</v>
      </c>
      <c r="F1014" s="3">
        <v>6752</v>
      </c>
    </row>
    <row r="1015" spans="2:6" x14ac:dyDescent="0.25">
      <c r="B1015" s="9" t="s">
        <v>512</v>
      </c>
      <c r="C1015" s="3">
        <v>8539.9</v>
      </c>
      <c r="D1015" s="3">
        <v>91</v>
      </c>
      <c r="E1015" s="3">
        <v>4269.95</v>
      </c>
      <c r="F1015" s="3">
        <v>5405</v>
      </c>
    </row>
    <row r="1016" spans="2:6" x14ac:dyDescent="0.25">
      <c r="B1016" s="11" t="s">
        <v>1056</v>
      </c>
      <c r="C1016" s="3">
        <v>8539.9</v>
      </c>
      <c r="D1016" s="3">
        <v>91</v>
      </c>
      <c r="E1016" s="3">
        <v>4269.95</v>
      </c>
      <c r="F1016" s="3">
        <v>5405</v>
      </c>
    </row>
    <row r="1017" spans="2:6" x14ac:dyDescent="0.25">
      <c r="B1017" s="9" t="s">
        <v>513</v>
      </c>
      <c r="C1017" s="3">
        <v>10534.86</v>
      </c>
      <c r="D1017" s="3">
        <v>98</v>
      </c>
      <c r="E1017" s="3">
        <v>5267.43</v>
      </c>
      <c r="F1017" s="3">
        <v>6503</v>
      </c>
    </row>
    <row r="1018" spans="2:6" x14ac:dyDescent="0.25">
      <c r="B1018" s="11" t="s">
        <v>1055</v>
      </c>
      <c r="C1018" s="3">
        <v>10534.86</v>
      </c>
      <c r="D1018" s="3">
        <v>98</v>
      </c>
      <c r="E1018" s="3">
        <v>5267.43</v>
      </c>
      <c r="F1018" s="3">
        <v>6503</v>
      </c>
    </row>
    <row r="1019" spans="2:6" x14ac:dyDescent="0.25">
      <c r="B1019" s="9" t="s">
        <v>514</v>
      </c>
      <c r="C1019" s="3">
        <v>9878.48</v>
      </c>
      <c r="D1019" s="3">
        <v>26</v>
      </c>
      <c r="E1019" s="3">
        <v>4939.24</v>
      </c>
      <c r="F1019" s="3">
        <v>6499</v>
      </c>
    </row>
    <row r="1020" spans="2:6" x14ac:dyDescent="0.25">
      <c r="B1020" s="11" t="s">
        <v>1056</v>
      </c>
      <c r="C1020" s="3">
        <v>9878.48</v>
      </c>
      <c r="D1020" s="3">
        <v>26</v>
      </c>
      <c r="E1020" s="3">
        <v>4939.24</v>
      </c>
      <c r="F1020" s="3">
        <v>6499</v>
      </c>
    </row>
    <row r="1021" spans="2:6" x14ac:dyDescent="0.25">
      <c r="B1021" s="9" t="s">
        <v>515</v>
      </c>
      <c r="C1021" s="3">
        <v>10802.400000000001</v>
      </c>
      <c r="D1021" s="3">
        <v>25</v>
      </c>
      <c r="E1021" s="3">
        <v>3600.8</v>
      </c>
      <c r="F1021" s="3">
        <v>5144</v>
      </c>
    </row>
    <row r="1022" spans="2:6" x14ac:dyDescent="0.25">
      <c r="B1022" s="11" t="s">
        <v>1056</v>
      </c>
      <c r="C1022" s="3">
        <v>10802.400000000001</v>
      </c>
      <c r="D1022" s="3">
        <v>25</v>
      </c>
      <c r="E1022" s="3">
        <v>3600.8</v>
      </c>
      <c r="F1022" s="3">
        <v>5144</v>
      </c>
    </row>
    <row r="1023" spans="2:6" x14ac:dyDescent="0.25">
      <c r="B1023" s="9" t="s">
        <v>516</v>
      </c>
      <c r="C1023" s="3">
        <v>6501.5999999999995</v>
      </c>
      <c r="D1023" s="3">
        <v>171</v>
      </c>
      <c r="E1023" s="3">
        <v>2167.1999999999998</v>
      </c>
      <c r="F1023" s="3">
        <v>2709</v>
      </c>
    </row>
    <row r="1024" spans="2:6" x14ac:dyDescent="0.25">
      <c r="B1024" s="11" t="s">
        <v>1056</v>
      </c>
      <c r="C1024" s="3">
        <v>6501.5999999999995</v>
      </c>
      <c r="D1024" s="3">
        <v>171</v>
      </c>
      <c r="E1024" s="3">
        <v>2167.1999999999998</v>
      </c>
      <c r="F1024" s="3">
        <v>2709</v>
      </c>
    </row>
    <row r="1025" spans="2:6" x14ac:dyDescent="0.25">
      <c r="B1025" s="9" t="s">
        <v>517</v>
      </c>
      <c r="C1025" s="3">
        <v>9309.2000000000007</v>
      </c>
      <c r="D1025" s="3">
        <v>134</v>
      </c>
      <c r="E1025" s="3">
        <v>4654.6000000000004</v>
      </c>
      <c r="F1025" s="3">
        <v>6290</v>
      </c>
    </row>
    <row r="1026" spans="2:6" x14ac:dyDescent="0.25">
      <c r="B1026" s="11" t="s">
        <v>1056</v>
      </c>
      <c r="C1026" s="3">
        <v>9309.2000000000007</v>
      </c>
      <c r="D1026" s="3">
        <v>134</v>
      </c>
      <c r="E1026" s="3">
        <v>4654.6000000000004</v>
      </c>
      <c r="F1026" s="3">
        <v>6290</v>
      </c>
    </row>
    <row r="1027" spans="2:6" x14ac:dyDescent="0.25">
      <c r="B1027" s="9" t="s">
        <v>518</v>
      </c>
      <c r="C1027" s="3">
        <v>10292.1</v>
      </c>
      <c r="D1027" s="3">
        <v>96</v>
      </c>
      <c r="E1027" s="3">
        <v>5146.05</v>
      </c>
      <c r="F1027" s="3">
        <v>7917</v>
      </c>
    </row>
    <row r="1028" spans="2:6" x14ac:dyDescent="0.25">
      <c r="B1028" s="11" t="s">
        <v>1056</v>
      </c>
      <c r="C1028" s="3">
        <v>10292.1</v>
      </c>
      <c r="D1028" s="3">
        <v>96</v>
      </c>
      <c r="E1028" s="3">
        <v>5146.05</v>
      </c>
      <c r="F1028" s="3">
        <v>7917</v>
      </c>
    </row>
    <row r="1029" spans="2:6" x14ac:dyDescent="0.25">
      <c r="B1029" s="9" t="s">
        <v>519</v>
      </c>
      <c r="C1029" s="3">
        <v>5170.92</v>
      </c>
      <c r="D1029" s="3">
        <v>179</v>
      </c>
      <c r="E1029" s="3">
        <v>5170.92</v>
      </c>
      <c r="F1029" s="3">
        <v>6306</v>
      </c>
    </row>
    <row r="1030" spans="2:6" x14ac:dyDescent="0.25">
      <c r="B1030" s="11" t="s">
        <v>1055</v>
      </c>
      <c r="C1030" s="3">
        <v>5170.92</v>
      </c>
      <c r="D1030" s="3">
        <v>179</v>
      </c>
      <c r="E1030" s="3">
        <v>5170.92</v>
      </c>
      <c r="F1030" s="3">
        <v>6306</v>
      </c>
    </row>
    <row r="1031" spans="2:6" x14ac:dyDescent="0.25">
      <c r="B1031" s="9" t="s">
        <v>520</v>
      </c>
      <c r="C1031" s="3">
        <v>2709.36</v>
      </c>
      <c r="D1031" s="3">
        <v>16</v>
      </c>
      <c r="E1031" s="3">
        <v>1354.68</v>
      </c>
      <c r="F1031" s="3">
        <v>1908</v>
      </c>
    </row>
    <row r="1032" spans="2:6" x14ac:dyDescent="0.25">
      <c r="B1032" s="11" t="s">
        <v>1056</v>
      </c>
      <c r="C1032" s="3">
        <v>2709.36</v>
      </c>
      <c r="D1032" s="3">
        <v>16</v>
      </c>
      <c r="E1032" s="3">
        <v>1354.68</v>
      </c>
      <c r="F1032" s="3">
        <v>1908</v>
      </c>
    </row>
    <row r="1033" spans="2:6" x14ac:dyDescent="0.25">
      <c r="B1033" s="9" t="s">
        <v>521</v>
      </c>
      <c r="C1033" s="3">
        <v>4762.12</v>
      </c>
      <c r="D1033" s="3">
        <v>184</v>
      </c>
      <c r="E1033" s="3">
        <v>2381.06</v>
      </c>
      <c r="F1033" s="3">
        <v>3014</v>
      </c>
    </row>
    <row r="1034" spans="2:6" x14ac:dyDescent="0.25">
      <c r="B1034" s="11" t="s">
        <v>1056</v>
      </c>
      <c r="C1034" s="3">
        <v>4762.12</v>
      </c>
      <c r="D1034" s="3">
        <v>184</v>
      </c>
      <c r="E1034" s="3">
        <v>2381.06</v>
      </c>
      <c r="F1034" s="3">
        <v>3014</v>
      </c>
    </row>
    <row r="1035" spans="2:6" x14ac:dyDescent="0.25">
      <c r="B1035" s="9" t="s">
        <v>522</v>
      </c>
      <c r="C1035" s="3">
        <v>527.79999999999995</v>
      </c>
      <c r="D1035" s="3">
        <v>92</v>
      </c>
      <c r="E1035" s="3">
        <v>263.89999999999998</v>
      </c>
      <c r="F1035" s="3">
        <v>290</v>
      </c>
    </row>
    <row r="1036" spans="2:6" x14ac:dyDescent="0.25">
      <c r="B1036" s="11" t="s">
        <v>1059</v>
      </c>
      <c r="C1036" s="3">
        <v>527.79999999999995</v>
      </c>
      <c r="D1036" s="3">
        <v>92</v>
      </c>
      <c r="E1036" s="3">
        <v>263.89999999999998</v>
      </c>
      <c r="F1036" s="3">
        <v>290</v>
      </c>
    </row>
    <row r="1037" spans="2:6" x14ac:dyDescent="0.25">
      <c r="B1037" s="9" t="s">
        <v>523</v>
      </c>
      <c r="C1037" s="3">
        <v>4732.8599999999997</v>
      </c>
      <c r="D1037" s="3">
        <v>51</v>
      </c>
      <c r="E1037" s="3">
        <v>2366.4299999999998</v>
      </c>
      <c r="F1037" s="3">
        <v>3333</v>
      </c>
    </row>
    <row r="1038" spans="2:6" x14ac:dyDescent="0.25">
      <c r="B1038" s="11" t="s">
        <v>1056</v>
      </c>
      <c r="C1038" s="3">
        <v>4732.8599999999997</v>
      </c>
      <c r="D1038" s="3">
        <v>51</v>
      </c>
      <c r="E1038" s="3">
        <v>2366.4299999999998</v>
      </c>
      <c r="F1038" s="3">
        <v>3333</v>
      </c>
    </row>
    <row r="1039" spans="2:6" x14ac:dyDescent="0.25">
      <c r="B1039" s="9" t="s">
        <v>524</v>
      </c>
      <c r="C1039" s="3">
        <v>6933.5999999999995</v>
      </c>
      <c r="D1039" s="3">
        <v>31</v>
      </c>
      <c r="E1039" s="3">
        <v>2311.1999999999998</v>
      </c>
      <c r="F1039" s="3">
        <v>2568</v>
      </c>
    </row>
    <row r="1040" spans="2:6" x14ac:dyDescent="0.25">
      <c r="B1040" s="11" t="s">
        <v>1055</v>
      </c>
      <c r="C1040" s="3">
        <v>6933.5999999999995</v>
      </c>
      <c r="D1040" s="3">
        <v>31</v>
      </c>
      <c r="E1040" s="3">
        <v>2311.1999999999998</v>
      </c>
      <c r="F1040" s="3">
        <v>2568</v>
      </c>
    </row>
    <row r="1041" spans="2:6" x14ac:dyDescent="0.25">
      <c r="B1041" s="9" t="s">
        <v>525</v>
      </c>
      <c r="C1041" s="3">
        <v>5566.34</v>
      </c>
      <c r="D1041" s="3">
        <v>188</v>
      </c>
      <c r="E1041" s="3">
        <v>5566.34</v>
      </c>
      <c r="F1041" s="3">
        <v>7046</v>
      </c>
    </row>
    <row r="1042" spans="2:6" x14ac:dyDescent="0.25">
      <c r="B1042" s="11" t="s">
        <v>1056</v>
      </c>
      <c r="C1042" s="3">
        <v>5566.34</v>
      </c>
      <c r="D1042" s="3">
        <v>188</v>
      </c>
      <c r="E1042" s="3">
        <v>5566.34</v>
      </c>
      <c r="F1042" s="3">
        <v>7046</v>
      </c>
    </row>
    <row r="1043" spans="2:6" x14ac:dyDescent="0.25">
      <c r="B1043" s="9" t="s">
        <v>526</v>
      </c>
      <c r="C1043" s="3">
        <v>5170.32</v>
      </c>
      <c r="D1043" s="3">
        <v>180</v>
      </c>
      <c r="E1043" s="3">
        <v>5170.32</v>
      </c>
      <c r="F1043" s="3">
        <v>7181</v>
      </c>
    </row>
    <row r="1044" spans="2:6" x14ac:dyDescent="0.25">
      <c r="B1044" s="11" t="s">
        <v>1056</v>
      </c>
      <c r="C1044" s="3">
        <v>5170.32</v>
      </c>
      <c r="D1044" s="3">
        <v>180</v>
      </c>
      <c r="E1044" s="3">
        <v>5170.32</v>
      </c>
      <c r="F1044" s="3">
        <v>7181</v>
      </c>
    </row>
    <row r="1045" spans="2:6" x14ac:dyDescent="0.25">
      <c r="B1045" s="9" t="s">
        <v>527</v>
      </c>
      <c r="C1045" s="3">
        <v>18595.079999999998</v>
      </c>
      <c r="D1045" s="3">
        <v>87</v>
      </c>
      <c r="E1045" s="3">
        <v>6198.36</v>
      </c>
      <c r="F1045" s="3">
        <v>7379</v>
      </c>
    </row>
    <row r="1046" spans="2:6" x14ac:dyDescent="0.25">
      <c r="B1046" s="11" t="s">
        <v>1055</v>
      </c>
      <c r="C1046" s="3">
        <v>18595.079999999998</v>
      </c>
      <c r="D1046" s="3">
        <v>87</v>
      </c>
      <c r="E1046" s="3">
        <v>6198.36</v>
      </c>
      <c r="F1046" s="3">
        <v>7379</v>
      </c>
    </row>
    <row r="1047" spans="2:6" x14ac:dyDescent="0.25">
      <c r="B1047" s="9" t="s">
        <v>528</v>
      </c>
      <c r="C1047" s="3">
        <v>2866.5</v>
      </c>
      <c r="D1047" s="3">
        <v>138</v>
      </c>
      <c r="E1047" s="3">
        <v>1433.25</v>
      </c>
      <c r="F1047" s="3">
        <v>1911</v>
      </c>
    </row>
    <row r="1048" spans="2:6" x14ac:dyDescent="0.25">
      <c r="B1048" s="11" t="s">
        <v>1056</v>
      </c>
      <c r="C1048" s="3">
        <v>2866.5</v>
      </c>
      <c r="D1048" s="3">
        <v>138</v>
      </c>
      <c r="E1048" s="3">
        <v>1433.25</v>
      </c>
      <c r="F1048" s="3">
        <v>1911</v>
      </c>
    </row>
    <row r="1049" spans="2:6" x14ac:dyDescent="0.25">
      <c r="B1049" s="9" t="s">
        <v>529</v>
      </c>
      <c r="C1049" s="3">
        <v>10787.039999999999</v>
      </c>
      <c r="D1049" s="3">
        <v>88</v>
      </c>
      <c r="E1049" s="3">
        <v>3595.68</v>
      </c>
      <c r="F1049" s="3">
        <v>5448</v>
      </c>
    </row>
    <row r="1050" spans="2:6" x14ac:dyDescent="0.25">
      <c r="B1050" s="11" t="s">
        <v>1056</v>
      </c>
      <c r="C1050" s="3">
        <v>10787.039999999999</v>
      </c>
      <c r="D1050" s="3">
        <v>88</v>
      </c>
      <c r="E1050" s="3">
        <v>3595.68</v>
      </c>
      <c r="F1050" s="3">
        <v>5448</v>
      </c>
    </row>
    <row r="1051" spans="2:6" x14ac:dyDescent="0.25">
      <c r="B1051" s="9" t="s">
        <v>530</v>
      </c>
      <c r="C1051" s="3">
        <v>10579.68</v>
      </c>
      <c r="D1051" s="3">
        <v>96</v>
      </c>
      <c r="E1051" s="3">
        <v>5289.84</v>
      </c>
      <c r="F1051" s="3">
        <v>7347</v>
      </c>
    </row>
    <row r="1052" spans="2:6" x14ac:dyDescent="0.25">
      <c r="B1052" s="11" t="s">
        <v>1056</v>
      </c>
      <c r="C1052" s="3">
        <v>10579.68</v>
      </c>
      <c r="D1052" s="3">
        <v>96</v>
      </c>
      <c r="E1052" s="3">
        <v>5289.84</v>
      </c>
      <c r="F1052" s="3">
        <v>7347</v>
      </c>
    </row>
    <row r="1053" spans="2:6" x14ac:dyDescent="0.25">
      <c r="B1053" s="9" t="s">
        <v>531</v>
      </c>
      <c r="C1053" s="3">
        <v>6852.2999999999993</v>
      </c>
      <c r="D1053" s="3">
        <v>160</v>
      </c>
      <c r="E1053" s="3">
        <v>2284.1</v>
      </c>
      <c r="F1053" s="3">
        <v>2510</v>
      </c>
    </row>
    <row r="1054" spans="2:6" x14ac:dyDescent="0.25">
      <c r="B1054" s="11" t="s">
        <v>1059</v>
      </c>
      <c r="C1054" s="3">
        <v>6852.2999999999993</v>
      </c>
      <c r="D1054" s="3">
        <v>160</v>
      </c>
      <c r="E1054" s="3">
        <v>2284.1</v>
      </c>
      <c r="F1054" s="3">
        <v>2510</v>
      </c>
    </row>
    <row r="1055" spans="2:6" x14ac:dyDescent="0.25">
      <c r="B1055" s="9" t="s">
        <v>532</v>
      </c>
      <c r="C1055" s="3">
        <v>6353.68</v>
      </c>
      <c r="D1055" s="3">
        <v>112</v>
      </c>
      <c r="E1055" s="3">
        <v>3176.84</v>
      </c>
      <c r="F1055" s="3">
        <v>3694</v>
      </c>
    </row>
    <row r="1056" spans="2:6" x14ac:dyDescent="0.25">
      <c r="B1056" s="11" t="s">
        <v>1055</v>
      </c>
      <c r="C1056" s="3">
        <v>6353.68</v>
      </c>
      <c r="D1056" s="3">
        <v>112</v>
      </c>
      <c r="E1056" s="3">
        <v>3176.84</v>
      </c>
      <c r="F1056" s="3">
        <v>3694</v>
      </c>
    </row>
    <row r="1057" spans="2:6" x14ac:dyDescent="0.25">
      <c r="B1057" s="9" t="s">
        <v>533</v>
      </c>
      <c r="C1057" s="3">
        <v>1432.86</v>
      </c>
      <c r="D1057" s="3">
        <v>60</v>
      </c>
      <c r="E1057" s="3">
        <v>1432.86</v>
      </c>
      <c r="F1057" s="3">
        <v>2171</v>
      </c>
    </row>
    <row r="1058" spans="2:6" x14ac:dyDescent="0.25">
      <c r="B1058" s="11" t="s">
        <v>1056</v>
      </c>
      <c r="C1058" s="3">
        <v>1432.86</v>
      </c>
      <c r="D1058" s="3">
        <v>60</v>
      </c>
      <c r="E1058" s="3">
        <v>1432.86</v>
      </c>
      <c r="F1058" s="3">
        <v>2171</v>
      </c>
    </row>
    <row r="1059" spans="2:6" x14ac:dyDescent="0.25">
      <c r="B1059" s="9" t="s">
        <v>534</v>
      </c>
      <c r="C1059" s="3">
        <v>11282.49</v>
      </c>
      <c r="D1059" s="3">
        <v>123</v>
      </c>
      <c r="E1059" s="3">
        <v>3760.83</v>
      </c>
      <c r="F1059" s="3">
        <v>4643</v>
      </c>
    </row>
    <row r="1060" spans="2:6" x14ac:dyDescent="0.25">
      <c r="B1060" s="11" t="s">
        <v>1055</v>
      </c>
      <c r="C1060" s="3">
        <v>11282.49</v>
      </c>
      <c r="D1060" s="3">
        <v>123</v>
      </c>
      <c r="E1060" s="3">
        <v>3760.83</v>
      </c>
      <c r="F1060" s="3">
        <v>4643</v>
      </c>
    </row>
    <row r="1061" spans="2:6" x14ac:dyDescent="0.25">
      <c r="B1061" s="9" t="s">
        <v>1064</v>
      </c>
      <c r="C1061" s="3">
        <v>3488979.86</v>
      </c>
      <c r="D1061" s="3">
        <v>54759</v>
      </c>
      <c r="E1061" s="3">
        <v>1744194.2399999998</v>
      </c>
      <c r="F1061" s="3">
        <v>2182557</v>
      </c>
    </row>
  </sheetData>
  <mergeCells count="5">
    <mergeCell ref="B15:D16"/>
    <mergeCell ref="B1:E2"/>
    <mergeCell ref="G10:L11"/>
    <mergeCell ref="A7:E8"/>
    <mergeCell ref="F1:M2"/>
  </mergeCells>
  <pageMargins left="0.7" right="0.7" top="0.75" bottom="0.75" header="0.3" footer="0.3"/>
  <pageSetup orientation="portrait"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E5AE1-4579-41C4-B85F-35A3CFB3A76E}">
  <sheetPr codeName="Sheet4"/>
  <dimension ref="A1:A8"/>
  <sheetViews>
    <sheetView workbookViewId="0">
      <selection activeCell="A6" sqref="A6"/>
    </sheetView>
  </sheetViews>
  <sheetFormatPr defaultRowHeight="15" x14ac:dyDescent="0.25"/>
  <cols>
    <col min="1" max="1" width="13.85546875" bestFit="1" customWidth="1"/>
  </cols>
  <sheetData>
    <row r="1" spans="1:1" x14ac:dyDescent="0.25">
      <c r="A1" t="s">
        <v>1067</v>
      </c>
    </row>
    <row r="2" spans="1:1" x14ac:dyDescent="0.25">
      <c r="A2">
        <f>GETPIVOTDATA("Total Revenue",Pivot_Tables!$B$3)</f>
        <v>3488979.86</v>
      </c>
    </row>
    <row r="3" spans="1:1" x14ac:dyDescent="0.25">
      <c r="A3" t="s">
        <v>1077</v>
      </c>
    </row>
    <row r="4" spans="1:1" x14ac:dyDescent="0.25">
      <c r="A4">
        <f>GETPIVOTDATA("Total Gross Profit",Pivot_Tables!$B$3)</f>
        <v>773265.87999999977</v>
      </c>
    </row>
    <row r="5" spans="1:1" x14ac:dyDescent="0.25">
      <c r="A5" t="s">
        <v>1078</v>
      </c>
    </row>
    <row r="6" spans="1:1" x14ac:dyDescent="0.25">
      <c r="A6" s="4">
        <f>GETPIVOTDATA("Avg Margin %",Pivot_Tables!$B$3)</f>
        <v>0.14927082216322737</v>
      </c>
    </row>
    <row r="7" spans="1:1" x14ac:dyDescent="0.25">
      <c r="A7" t="s">
        <v>1070</v>
      </c>
    </row>
    <row r="8" spans="1:1" x14ac:dyDescent="0.25">
      <c r="A8">
        <f>GETPIVOTDATA("Total Orders",Pivot_Tables!$B$3)</f>
        <v>520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E0E55-F9D3-480E-85F4-A2D548DE5F47}">
  <sheetPr codeName="Sheet5"/>
  <dimension ref="A1:TH1606"/>
  <sheetViews>
    <sheetView showGridLines="0" tabSelected="1" zoomScale="90" zoomScaleNormal="90" workbookViewId="0">
      <selection sqref="A1:T6"/>
    </sheetView>
  </sheetViews>
  <sheetFormatPr defaultRowHeight="15" x14ac:dyDescent="0.25"/>
  <cols>
    <col min="1" max="2" width="9.140625" style="10"/>
    <col min="3" max="3" width="25.140625" style="10" bestFit="1" customWidth="1"/>
    <col min="4" max="4" width="18.5703125" style="10" bestFit="1" customWidth="1"/>
    <col min="5" max="5" width="12.42578125" style="10" bestFit="1" customWidth="1"/>
    <col min="6" max="6" width="10.85546875" style="10" bestFit="1" customWidth="1"/>
    <col min="7" max="7" width="8.42578125" style="10" bestFit="1" customWidth="1"/>
    <col min="8" max="8" width="11.85546875" style="10" bestFit="1" customWidth="1"/>
    <col min="9" max="14" width="8" style="10" bestFit="1" customWidth="1"/>
    <col min="15" max="34" width="7" style="10" bestFit="1" customWidth="1"/>
    <col min="35" max="50" width="6.28515625" style="10" bestFit="1" customWidth="1"/>
    <col min="51" max="143" width="7.28515625" style="10" bestFit="1" customWidth="1"/>
    <col min="144" max="144" width="12.85546875" style="10" bestFit="1" customWidth="1"/>
    <col min="145" max="145" width="13.85546875" style="10" bestFit="1" customWidth="1"/>
    <col min="146" max="147" width="9" style="10" bestFit="1" customWidth="1"/>
    <col min="148" max="154" width="8" style="10" bestFit="1" customWidth="1"/>
    <col min="155" max="162" width="7" style="10" bestFit="1" customWidth="1"/>
    <col min="163" max="179" width="6.28515625" style="10" bestFit="1" customWidth="1"/>
    <col min="180" max="261" width="7.28515625" style="10" bestFit="1" customWidth="1"/>
    <col min="262" max="262" width="17" style="10" bestFit="1" customWidth="1"/>
    <col min="263" max="263" width="12.42578125" style="10" bestFit="1" customWidth="1"/>
    <col min="264" max="269" width="8" style="10" bestFit="1" customWidth="1"/>
    <col min="270" max="278" width="7" style="10" bestFit="1" customWidth="1"/>
    <col min="279" max="299" width="6.28515625" style="10" bestFit="1" customWidth="1"/>
    <col min="300" max="381" width="7.28515625" style="10" bestFit="1" customWidth="1"/>
    <col min="382" max="382" width="15.5703125" style="10" bestFit="1" customWidth="1"/>
    <col min="383" max="383" width="9" style="10" bestFit="1" customWidth="1"/>
    <col min="384" max="394" width="8" style="10" bestFit="1" customWidth="1"/>
    <col min="395" max="402" width="7" style="10" bestFit="1" customWidth="1"/>
    <col min="403" max="424" width="6.28515625" style="10" bestFit="1" customWidth="1"/>
    <col min="425" max="526" width="7.28515625" style="10" bestFit="1" customWidth="1"/>
    <col min="527" max="527" width="11.140625" style="10" bestFit="1" customWidth="1"/>
    <col min="528" max="528" width="11.28515625" style="10" bestFit="1" customWidth="1"/>
    <col min="529" max="16384" width="9.140625" style="10"/>
  </cols>
  <sheetData>
    <row r="1" spans="1:20" x14ac:dyDescent="0.25">
      <c r="A1" s="18" t="s">
        <v>1082</v>
      </c>
      <c r="B1" s="19"/>
      <c r="C1" s="19"/>
      <c r="D1" s="19"/>
      <c r="E1" s="19"/>
      <c r="F1" s="19"/>
      <c r="G1" s="19"/>
      <c r="H1" s="19"/>
      <c r="I1" s="19"/>
      <c r="J1" s="19"/>
      <c r="K1" s="19"/>
      <c r="L1" s="19"/>
      <c r="M1" s="19"/>
      <c r="N1" s="19"/>
      <c r="O1" s="19"/>
      <c r="P1" s="19"/>
      <c r="Q1" s="19"/>
      <c r="R1" s="19"/>
      <c r="S1" s="19"/>
      <c r="T1" s="19"/>
    </row>
    <row r="2" spans="1:20" x14ac:dyDescent="0.25">
      <c r="A2" s="19"/>
      <c r="B2" s="19"/>
      <c r="C2" s="19"/>
      <c r="D2" s="19"/>
      <c r="E2" s="19"/>
      <c r="F2" s="19"/>
      <c r="G2" s="19"/>
      <c r="H2" s="19"/>
      <c r="I2" s="19"/>
      <c r="J2" s="19"/>
      <c r="K2" s="19"/>
      <c r="L2" s="19"/>
      <c r="M2" s="19"/>
      <c r="N2" s="19"/>
      <c r="O2" s="19"/>
      <c r="P2" s="19"/>
      <c r="Q2" s="19"/>
      <c r="R2" s="19"/>
      <c r="S2" s="19"/>
      <c r="T2" s="19"/>
    </row>
    <row r="3" spans="1:20" x14ac:dyDescent="0.25">
      <c r="A3" s="19"/>
      <c r="B3" s="19"/>
      <c r="C3" s="19"/>
      <c r="D3" s="19"/>
      <c r="E3" s="19"/>
      <c r="F3" s="19"/>
      <c r="G3" s="19"/>
      <c r="H3" s="19"/>
      <c r="I3" s="19"/>
      <c r="J3" s="19"/>
      <c r="K3" s="19"/>
      <c r="L3" s="19"/>
      <c r="M3" s="19"/>
      <c r="N3" s="19"/>
      <c r="O3" s="19"/>
      <c r="P3" s="19"/>
      <c r="Q3" s="19"/>
      <c r="R3" s="19"/>
      <c r="S3" s="19"/>
      <c r="T3" s="19"/>
    </row>
    <row r="4" spans="1:20" x14ac:dyDescent="0.25">
      <c r="A4" s="19"/>
      <c r="B4" s="19"/>
      <c r="C4" s="19"/>
      <c r="D4" s="19"/>
      <c r="E4" s="19"/>
      <c r="F4" s="19"/>
      <c r="G4" s="19"/>
      <c r="H4" s="19"/>
      <c r="I4" s="19"/>
      <c r="J4" s="19"/>
      <c r="K4" s="19"/>
      <c r="L4" s="19"/>
      <c r="M4" s="19"/>
      <c r="N4" s="19"/>
      <c r="O4" s="19"/>
      <c r="P4" s="19"/>
      <c r="Q4" s="19"/>
      <c r="R4" s="19"/>
      <c r="S4" s="19"/>
      <c r="T4" s="19"/>
    </row>
    <row r="5" spans="1:20" x14ac:dyDescent="0.25">
      <c r="A5" s="19"/>
      <c r="B5" s="19"/>
      <c r="C5" s="19"/>
      <c r="D5" s="19"/>
      <c r="E5" s="19"/>
      <c r="F5" s="19"/>
      <c r="G5" s="19"/>
      <c r="H5" s="19"/>
      <c r="I5" s="19"/>
      <c r="J5" s="19"/>
      <c r="K5" s="19"/>
      <c r="L5" s="19"/>
      <c r="M5" s="19"/>
      <c r="N5" s="19"/>
      <c r="O5" s="19"/>
      <c r="P5" s="19"/>
      <c r="Q5" s="19"/>
      <c r="R5" s="19"/>
      <c r="S5" s="19"/>
      <c r="T5" s="19"/>
    </row>
    <row r="6" spans="1:20" x14ac:dyDescent="0.25">
      <c r="A6" s="19"/>
      <c r="B6" s="19"/>
      <c r="C6" s="19"/>
      <c r="D6" s="19"/>
      <c r="E6" s="19"/>
      <c r="F6" s="19"/>
      <c r="G6" s="19"/>
      <c r="H6" s="19"/>
      <c r="I6" s="19"/>
      <c r="J6" s="19"/>
      <c r="K6" s="19"/>
      <c r="L6" s="19"/>
      <c r="M6" s="19"/>
      <c r="N6" s="19"/>
      <c r="O6" s="19"/>
      <c r="P6" s="19"/>
      <c r="Q6" s="19"/>
      <c r="R6" s="19"/>
      <c r="S6" s="19"/>
      <c r="T6" s="19"/>
    </row>
    <row r="38" spans="3:528" x14ac:dyDescent="0.25">
      <c r="C38" s="18" t="s">
        <v>1085</v>
      </c>
      <c r="D38" s="19"/>
      <c r="E38" s="19"/>
      <c r="F38" s="19"/>
      <c r="G38" s="19"/>
      <c r="H38" s="19"/>
      <c r="W38" s="12">
        <v>1</v>
      </c>
    </row>
    <row r="39" spans="3:528" x14ac:dyDescent="0.25">
      <c r="C39" s="19"/>
      <c r="D39" s="19"/>
      <c r="E39" s="19"/>
      <c r="F39" s="19"/>
      <c r="G39" s="19"/>
      <c r="H39" s="19"/>
    </row>
    <row r="40" spans="3:528" x14ac:dyDescent="0.25">
      <c r="C40" s="19"/>
      <c r="D40" s="19"/>
      <c r="E40" s="19"/>
      <c r="F40" s="19"/>
      <c r="G40" s="19"/>
      <c r="H40" s="19"/>
    </row>
    <row r="41" spans="3:528" x14ac:dyDescent="0.25">
      <c r="C41" s="13" t="s">
        <v>1083</v>
      </c>
      <c r="D41" s="13" t="s">
        <v>1084</v>
      </c>
      <c r="E41" s="14"/>
      <c r="F41" s="14"/>
      <c r="G41" s="14"/>
      <c r="H41" s="14"/>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c r="SG41"/>
      <c r="SH41"/>
      <c r="SI41"/>
      <c r="SJ41"/>
      <c r="SK41"/>
      <c r="SL41"/>
      <c r="SM41"/>
      <c r="SN41"/>
      <c r="SO41"/>
      <c r="SP41"/>
      <c r="SQ41"/>
      <c r="SR41"/>
      <c r="SS41"/>
      <c r="ST41"/>
      <c r="SU41"/>
      <c r="SV41"/>
      <c r="SW41"/>
      <c r="SX41"/>
      <c r="SY41"/>
      <c r="SZ41"/>
      <c r="TA41"/>
      <c r="TB41"/>
      <c r="TC41"/>
      <c r="TD41"/>
      <c r="TE41"/>
      <c r="TF41"/>
      <c r="TG41"/>
      <c r="TH41"/>
    </row>
    <row r="42" spans="3:528" x14ac:dyDescent="0.25">
      <c r="C42" s="13" t="s">
        <v>1063</v>
      </c>
      <c r="D42" s="15" t="s">
        <v>550</v>
      </c>
      <c r="E42" s="15" t="s">
        <v>549</v>
      </c>
      <c r="F42" s="15" t="s">
        <v>547</v>
      </c>
      <c r="G42" s="15" t="s">
        <v>548</v>
      </c>
      <c r="H42" s="15" t="s">
        <v>1064</v>
      </c>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c r="QN42"/>
      <c r="QO42"/>
      <c r="QP42"/>
      <c r="QQ42"/>
      <c r="QR42"/>
      <c r="QS42"/>
      <c r="QT42"/>
      <c r="QU42"/>
      <c r="QV42"/>
      <c r="QW42"/>
      <c r="QX42"/>
      <c r="QY42"/>
      <c r="QZ42"/>
      <c r="RA42"/>
      <c r="RB42"/>
      <c r="RC42"/>
      <c r="RD42"/>
      <c r="RE42"/>
      <c r="RF42"/>
      <c r="RG42"/>
      <c r="RH42"/>
      <c r="RI42"/>
      <c r="RJ42"/>
      <c r="RK42"/>
      <c r="RL42"/>
      <c r="RM42"/>
      <c r="RN42"/>
      <c r="RO42"/>
      <c r="RP42"/>
      <c r="RQ42"/>
      <c r="RR42"/>
      <c r="RS42"/>
      <c r="RT42"/>
      <c r="RU42"/>
      <c r="RV42"/>
      <c r="RW42"/>
      <c r="RX42"/>
      <c r="RY42"/>
      <c r="RZ42"/>
      <c r="SA42"/>
      <c r="SB42"/>
      <c r="SC42"/>
      <c r="SD42"/>
      <c r="SE42"/>
      <c r="SF42"/>
      <c r="SG42"/>
      <c r="SH42"/>
      <c r="SI42"/>
      <c r="SJ42"/>
      <c r="SK42"/>
      <c r="SL42"/>
      <c r="SM42"/>
      <c r="SN42"/>
      <c r="SO42"/>
      <c r="SP42"/>
      <c r="SQ42"/>
      <c r="SR42"/>
      <c r="SS42"/>
      <c r="ST42"/>
      <c r="SU42"/>
      <c r="SV42"/>
      <c r="SW42"/>
      <c r="SX42"/>
      <c r="SY42"/>
      <c r="SZ42"/>
      <c r="TA42"/>
      <c r="TB42"/>
      <c r="TC42"/>
      <c r="TD42"/>
      <c r="TE42"/>
      <c r="TF42"/>
      <c r="TG42"/>
      <c r="TH42"/>
    </row>
    <row r="43" spans="3:528" x14ac:dyDescent="0.25">
      <c r="C43" s="9" t="s">
        <v>1056</v>
      </c>
      <c r="D43" s="4">
        <v>-7.3063236889982897E-2</v>
      </c>
      <c r="E43" s="4">
        <v>0</v>
      </c>
      <c r="F43" s="4">
        <v>0.387902302375987</v>
      </c>
      <c r="G43" s="4">
        <v>0.39340881677755701</v>
      </c>
      <c r="H43" s="4">
        <v>0.70824788226356117</v>
      </c>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c r="QN43"/>
      <c r="QO43"/>
      <c r="QP43"/>
      <c r="QQ43"/>
      <c r="QR43"/>
      <c r="QS43"/>
      <c r="QT43"/>
      <c r="QU43"/>
      <c r="QV43"/>
      <c r="QW43"/>
      <c r="QX43"/>
      <c r="QY43"/>
      <c r="QZ43"/>
      <c r="RA43"/>
      <c r="RB43"/>
      <c r="RC43"/>
      <c r="RD43"/>
      <c r="RE43"/>
      <c r="RF43"/>
      <c r="RG43"/>
      <c r="RH43"/>
      <c r="RI43"/>
      <c r="RJ43"/>
      <c r="RK43"/>
      <c r="RL43"/>
      <c r="RM43"/>
      <c r="RN43"/>
      <c r="RO43"/>
      <c r="RP43"/>
      <c r="RQ43"/>
      <c r="RR43"/>
      <c r="RS43"/>
      <c r="RT43"/>
      <c r="RU43"/>
      <c r="RV43"/>
      <c r="RW43"/>
      <c r="RX43"/>
      <c r="RY43"/>
      <c r="RZ43"/>
      <c r="SA43"/>
      <c r="SB43"/>
      <c r="SC43"/>
      <c r="SD43"/>
      <c r="SE43"/>
      <c r="SF43"/>
      <c r="SG43"/>
      <c r="SH43"/>
      <c r="SI43"/>
      <c r="SJ43"/>
      <c r="SK43"/>
      <c r="SL43"/>
      <c r="SM43"/>
      <c r="SN43"/>
      <c r="SO43"/>
      <c r="SP43"/>
      <c r="SQ43"/>
      <c r="SR43"/>
      <c r="SS43"/>
      <c r="ST43"/>
      <c r="SU43"/>
      <c r="SV43"/>
      <c r="SW43"/>
      <c r="SX43"/>
      <c r="SY43"/>
      <c r="SZ43"/>
      <c r="TA43"/>
      <c r="TB43"/>
      <c r="TC43"/>
      <c r="TD43"/>
      <c r="TE43"/>
      <c r="TF43"/>
      <c r="TG43"/>
      <c r="TH43"/>
    </row>
    <row r="44" spans="3:528" x14ac:dyDescent="0.25">
      <c r="C44" s="9" t="s">
        <v>1059</v>
      </c>
      <c r="D44" s="4">
        <v>0</v>
      </c>
      <c r="E44" s="4">
        <v>-0.29687879523925198</v>
      </c>
      <c r="F44" s="4">
        <v>0</v>
      </c>
      <c r="G44" s="4">
        <v>0.93515528646446</v>
      </c>
      <c r="H44" s="4">
        <v>0.63827649122520802</v>
      </c>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c r="SG44"/>
      <c r="SH44"/>
      <c r="SI44"/>
      <c r="SJ44"/>
      <c r="SK44"/>
      <c r="SL44"/>
      <c r="SM44"/>
      <c r="SN44"/>
      <c r="SO44"/>
      <c r="SP44"/>
      <c r="SQ44"/>
      <c r="SR44"/>
      <c r="SS44"/>
      <c r="ST44"/>
      <c r="SU44"/>
      <c r="SV44"/>
      <c r="SW44"/>
      <c r="SX44"/>
      <c r="SY44"/>
      <c r="SZ44"/>
      <c r="TA44"/>
      <c r="TB44"/>
      <c r="TC44"/>
      <c r="TD44"/>
      <c r="TE44"/>
      <c r="TF44"/>
      <c r="TG44"/>
      <c r="TH44"/>
    </row>
    <row r="45" spans="3:528" x14ac:dyDescent="0.25">
      <c r="C45" s="9" t="s">
        <v>1055</v>
      </c>
      <c r="D45" s="4">
        <v>0.37235772357723601</v>
      </c>
      <c r="E45" s="4">
        <v>0</v>
      </c>
      <c r="F45" s="4">
        <v>0.47020110789980701</v>
      </c>
      <c r="G45" s="4">
        <v>-0.12908208296557799</v>
      </c>
      <c r="H45" s="4">
        <v>0.71347674851146503</v>
      </c>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c r="QN45"/>
      <c r="QO45"/>
      <c r="QP45"/>
      <c r="QQ45"/>
      <c r="QR45"/>
      <c r="QS45"/>
      <c r="QT45"/>
      <c r="QU45"/>
      <c r="QV45"/>
      <c r="QW45"/>
      <c r="QX45"/>
      <c r="QY45"/>
      <c r="QZ45"/>
      <c r="RA45"/>
      <c r="RB45"/>
      <c r="RC45"/>
      <c r="RD45"/>
      <c r="RE45"/>
      <c r="RF45"/>
      <c r="RG45"/>
      <c r="RH45"/>
      <c r="RI45"/>
      <c r="RJ45"/>
      <c r="RK45"/>
      <c r="RL45"/>
      <c r="RM45"/>
      <c r="RN45"/>
      <c r="RO45"/>
      <c r="RP45"/>
      <c r="RQ45"/>
      <c r="RR45"/>
      <c r="RS45"/>
      <c r="RT45"/>
      <c r="RU45"/>
      <c r="RV45"/>
      <c r="RW45"/>
      <c r="RX45"/>
      <c r="RY45"/>
      <c r="RZ45"/>
      <c r="SA45"/>
      <c r="SB45"/>
      <c r="SC45"/>
      <c r="SD45"/>
      <c r="SE45"/>
      <c r="SF45"/>
      <c r="SG45"/>
      <c r="SH45"/>
      <c r="SI45"/>
      <c r="SJ45"/>
      <c r="SK45"/>
      <c r="SL45"/>
      <c r="SM45"/>
      <c r="SN45"/>
      <c r="SO45"/>
      <c r="SP45"/>
      <c r="SQ45"/>
      <c r="SR45"/>
      <c r="SS45"/>
      <c r="ST45"/>
      <c r="SU45"/>
      <c r="SV45"/>
      <c r="SW45"/>
      <c r="SX45"/>
      <c r="SY45"/>
      <c r="SZ45"/>
      <c r="TA45"/>
      <c r="TB45"/>
      <c r="TC45"/>
      <c r="TD45"/>
      <c r="TE45"/>
      <c r="TF45"/>
      <c r="TG45"/>
      <c r="TH45"/>
    </row>
    <row r="46" spans="3:528" x14ac:dyDescent="0.25">
      <c r="C46" s="9" t="s">
        <v>1064</v>
      </c>
      <c r="D46" s="4">
        <v>0.29929448668725311</v>
      </c>
      <c r="E46" s="4">
        <v>-0.29687879523925198</v>
      </c>
      <c r="F46" s="4">
        <v>0.85810341027579407</v>
      </c>
      <c r="G46" s="4">
        <v>1.1994820202764389</v>
      </c>
      <c r="H46" s="4">
        <v>2.0600011220002341</v>
      </c>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c r="QN46"/>
      <c r="QO46"/>
      <c r="QP46"/>
      <c r="QQ46"/>
      <c r="QR46"/>
      <c r="QS46"/>
      <c r="QT46"/>
      <c r="QU46"/>
      <c r="QV46"/>
      <c r="QW46"/>
      <c r="QX46"/>
      <c r="QY46"/>
      <c r="QZ46"/>
      <c r="RA46"/>
      <c r="RB46"/>
      <c r="RC46"/>
      <c r="RD46"/>
      <c r="RE46"/>
      <c r="RF46"/>
      <c r="RG46"/>
      <c r="RH46"/>
      <c r="RI46"/>
      <c r="RJ46"/>
      <c r="RK46"/>
      <c r="RL46"/>
      <c r="RM46"/>
      <c r="RN46"/>
      <c r="RO46"/>
      <c r="RP46"/>
      <c r="RQ46"/>
      <c r="RR46"/>
      <c r="RS46"/>
      <c r="RT46"/>
      <c r="RU46"/>
      <c r="RV46"/>
      <c r="RW46"/>
      <c r="RX46"/>
      <c r="RY46"/>
      <c r="RZ46"/>
      <c r="SA46"/>
      <c r="SB46"/>
      <c r="SC46"/>
      <c r="SD46"/>
      <c r="SE46"/>
      <c r="SF46"/>
      <c r="SG46"/>
      <c r="SH46"/>
      <c r="SI46"/>
      <c r="SJ46"/>
      <c r="SK46"/>
      <c r="SL46"/>
      <c r="SM46"/>
      <c r="SN46"/>
      <c r="SO46"/>
      <c r="SP46"/>
      <c r="SQ46"/>
      <c r="SR46"/>
      <c r="SS46"/>
      <c r="ST46"/>
      <c r="SU46"/>
      <c r="SV46"/>
      <c r="SW46"/>
      <c r="SX46"/>
      <c r="SY46"/>
      <c r="SZ46"/>
      <c r="TA46"/>
      <c r="TB46"/>
      <c r="TC46"/>
      <c r="TD46"/>
      <c r="TE46"/>
      <c r="TF46"/>
      <c r="TG46"/>
      <c r="TH46"/>
    </row>
    <row r="47" spans="3:528" x14ac:dyDescent="0.25">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c r="KT47"/>
      <c r="KU47"/>
      <c r="KV47"/>
      <c r="KW47"/>
      <c r="KX47"/>
      <c r="KY47"/>
      <c r="KZ47"/>
      <c r="LA47"/>
      <c r="LB47"/>
      <c r="LC47"/>
      <c r="LD47"/>
      <c r="LE47"/>
      <c r="LF47"/>
      <c r="LG47"/>
      <c r="LH47"/>
      <c r="LI47"/>
      <c r="LJ47"/>
      <c r="LK47"/>
      <c r="LL47"/>
      <c r="LM47"/>
      <c r="LN47"/>
      <c r="LO47"/>
      <c r="LP47"/>
      <c r="LQ47"/>
      <c r="LR47"/>
      <c r="LS47"/>
      <c r="LT47"/>
      <c r="LU47"/>
      <c r="LV47"/>
      <c r="LW47"/>
      <c r="LX47"/>
      <c r="LY47"/>
      <c r="LZ47"/>
      <c r="MA47"/>
      <c r="MB47"/>
      <c r="MC47"/>
      <c r="MD47"/>
      <c r="ME47"/>
      <c r="MF47"/>
      <c r="MG47"/>
      <c r="MH47"/>
      <c r="MI47"/>
      <c r="MJ47"/>
      <c r="MK47"/>
      <c r="ML47"/>
      <c r="MM47"/>
      <c r="MN47"/>
      <c r="MO47"/>
      <c r="MP47"/>
      <c r="MQ47"/>
      <c r="MR47"/>
      <c r="MS47"/>
      <c r="MT47"/>
      <c r="MU47"/>
      <c r="MV47"/>
      <c r="MW47"/>
      <c r="MX47"/>
      <c r="MY47"/>
      <c r="MZ47"/>
      <c r="NA47"/>
      <c r="NB47"/>
      <c r="NC47"/>
      <c r="ND47"/>
      <c r="NE47"/>
      <c r="NF47"/>
      <c r="NG47"/>
      <c r="NH47"/>
      <c r="NI47"/>
      <c r="NJ47"/>
      <c r="NK47"/>
      <c r="NL47"/>
      <c r="NM47"/>
      <c r="NN47"/>
      <c r="NO47"/>
      <c r="NP47"/>
      <c r="NQ47"/>
      <c r="NR47"/>
      <c r="NS47"/>
      <c r="NT47"/>
      <c r="NU47"/>
      <c r="NV47"/>
      <c r="NW47"/>
      <c r="NX47"/>
      <c r="NY47"/>
      <c r="NZ47"/>
      <c r="OA47"/>
      <c r="OB47"/>
      <c r="OC47"/>
      <c r="OD47"/>
      <c r="OE47"/>
      <c r="OF47"/>
      <c r="OG47"/>
      <c r="OH47"/>
      <c r="OI47"/>
      <c r="OJ47"/>
      <c r="OK47"/>
      <c r="OL47"/>
      <c r="OM47"/>
      <c r="ON47"/>
      <c r="OO47"/>
      <c r="OP47"/>
      <c r="OQ47"/>
      <c r="OR47"/>
      <c r="OS47"/>
      <c r="OT47"/>
      <c r="OU47"/>
      <c r="OV47"/>
      <c r="OW47"/>
      <c r="OX47"/>
      <c r="OY47"/>
      <c r="OZ47"/>
      <c r="PA47"/>
      <c r="PB47"/>
      <c r="PC47"/>
      <c r="PD47"/>
      <c r="PE47"/>
      <c r="PF47"/>
      <c r="PG47"/>
      <c r="PH47"/>
      <c r="PI47"/>
      <c r="PJ47"/>
      <c r="PK47"/>
      <c r="PL47"/>
      <c r="PM47"/>
      <c r="PN47"/>
      <c r="PO47"/>
      <c r="PP47"/>
      <c r="PQ47"/>
      <c r="PR47"/>
      <c r="PS47"/>
      <c r="PT47"/>
      <c r="PU47"/>
      <c r="PV47"/>
      <c r="PW47"/>
      <c r="PX47"/>
      <c r="PY47"/>
      <c r="PZ47"/>
      <c r="QA47"/>
      <c r="QB47"/>
      <c r="QC47"/>
      <c r="QD47"/>
      <c r="QE47"/>
      <c r="QF47"/>
      <c r="QG47"/>
      <c r="QH47"/>
      <c r="QI47"/>
      <c r="QJ47"/>
      <c r="QK47"/>
      <c r="QL47"/>
      <c r="QM47"/>
      <c r="QN47"/>
      <c r="QO47"/>
      <c r="QP47"/>
      <c r="QQ47"/>
      <c r="QR47"/>
      <c r="QS47"/>
      <c r="QT47"/>
      <c r="QU47"/>
      <c r="QV47"/>
      <c r="QW47"/>
      <c r="QX47"/>
      <c r="QY47"/>
      <c r="QZ47"/>
      <c r="RA47"/>
      <c r="RB47"/>
      <c r="RC47"/>
      <c r="RD47"/>
      <c r="RE47"/>
      <c r="RF47"/>
      <c r="RG47"/>
      <c r="RH47"/>
      <c r="RI47"/>
      <c r="RJ47"/>
      <c r="RK47"/>
      <c r="RL47"/>
      <c r="RM47"/>
      <c r="RN47"/>
      <c r="RO47"/>
      <c r="RP47"/>
      <c r="RQ47"/>
      <c r="RR47"/>
      <c r="RS47"/>
      <c r="RT47"/>
      <c r="RU47"/>
      <c r="RV47"/>
      <c r="RW47"/>
      <c r="RX47"/>
      <c r="RY47"/>
      <c r="RZ47"/>
      <c r="SA47"/>
      <c r="SB47"/>
      <c r="SC47"/>
      <c r="SD47"/>
      <c r="SE47"/>
      <c r="SF47"/>
      <c r="SG47"/>
      <c r="SH47"/>
      <c r="SI47"/>
      <c r="SJ47"/>
      <c r="SK47"/>
      <c r="SL47"/>
      <c r="SM47"/>
      <c r="SN47"/>
      <c r="SO47"/>
      <c r="SP47"/>
      <c r="SQ47"/>
      <c r="SR47"/>
      <c r="SS47"/>
      <c r="ST47"/>
      <c r="SU47"/>
      <c r="SV47"/>
      <c r="SW47"/>
      <c r="SX47"/>
      <c r="SY47"/>
      <c r="SZ47"/>
      <c r="TA47"/>
      <c r="TB47"/>
      <c r="TC47"/>
      <c r="TD47"/>
      <c r="TE47"/>
      <c r="TF47"/>
      <c r="TG47"/>
      <c r="TH47"/>
    </row>
    <row r="48" spans="3:528" x14ac:dyDescent="0.25">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c r="KT48"/>
      <c r="KU48"/>
      <c r="KV48"/>
      <c r="KW48"/>
      <c r="KX48"/>
      <c r="KY48"/>
      <c r="KZ48"/>
      <c r="LA48"/>
      <c r="LB48"/>
      <c r="LC48"/>
      <c r="LD48"/>
      <c r="LE48"/>
      <c r="LF48"/>
      <c r="LG48"/>
      <c r="LH48"/>
      <c r="LI48"/>
      <c r="LJ48"/>
      <c r="LK48"/>
      <c r="LL48"/>
      <c r="LM48"/>
      <c r="LN48"/>
      <c r="LO48"/>
      <c r="LP48"/>
      <c r="LQ48"/>
      <c r="LR48"/>
      <c r="LS48"/>
      <c r="LT48"/>
      <c r="LU48"/>
      <c r="LV48"/>
      <c r="LW48"/>
      <c r="LX48"/>
      <c r="LY48"/>
      <c r="LZ48"/>
      <c r="MA48"/>
      <c r="MB48"/>
      <c r="MC48"/>
      <c r="MD48"/>
      <c r="ME48"/>
      <c r="MF48"/>
      <c r="MG48"/>
      <c r="MH48"/>
      <c r="MI48"/>
      <c r="MJ48"/>
      <c r="MK48"/>
      <c r="ML48"/>
      <c r="MM48"/>
      <c r="MN48"/>
      <c r="MO48"/>
      <c r="MP48"/>
      <c r="MQ48"/>
      <c r="MR48"/>
      <c r="MS48"/>
      <c r="MT48"/>
      <c r="MU48"/>
      <c r="MV48"/>
      <c r="MW48"/>
      <c r="MX48"/>
      <c r="MY48"/>
      <c r="MZ48"/>
      <c r="NA48"/>
      <c r="NB48"/>
      <c r="NC48"/>
      <c r="ND48"/>
      <c r="NE48"/>
      <c r="NF48"/>
      <c r="NG48"/>
      <c r="NH48"/>
      <c r="NI48"/>
      <c r="NJ48"/>
      <c r="NK48"/>
      <c r="NL48"/>
      <c r="NM48"/>
      <c r="NN48"/>
      <c r="NO48"/>
      <c r="NP48"/>
      <c r="NQ48"/>
      <c r="NR48"/>
      <c r="NS48"/>
      <c r="NT48"/>
      <c r="NU48"/>
      <c r="NV48"/>
      <c r="NW48"/>
      <c r="NX48"/>
      <c r="NY48"/>
      <c r="NZ48"/>
      <c r="OA48"/>
      <c r="OB48"/>
      <c r="OC48"/>
      <c r="OD48"/>
      <c r="OE48"/>
      <c r="OF48"/>
      <c r="OG48"/>
      <c r="OH48"/>
      <c r="OI48"/>
      <c r="OJ48"/>
      <c r="OK48"/>
      <c r="OL48"/>
      <c r="OM48"/>
      <c r="ON48"/>
      <c r="OO48"/>
      <c r="OP48"/>
      <c r="OQ48"/>
      <c r="OR48"/>
      <c r="OS48"/>
      <c r="OT48"/>
      <c r="OU48"/>
      <c r="OV48"/>
      <c r="OW48"/>
      <c r="OX48"/>
      <c r="OY48"/>
      <c r="OZ48"/>
      <c r="PA48"/>
      <c r="PB48"/>
      <c r="PC48"/>
      <c r="PD48"/>
      <c r="PE48"/>
      <c r="PF48"/>
      <c r="PG48"/>
      <c r="PH48"/>
      <c r="PI48"/>
      <c r="PJ48"/>
      <c r="PK48"/>
      <c r="PL48"/>
      <c r="PM48"/>
      <c r="PN48"/>
      <c r="PO48"/>
      <c r="PP48"/>
      <c r="PQ48"/>
      <c r="PR48"/>
      <c r="PS48"/>
      <c r="PT48"/>
      <c r="PU48"/>
      <c r="PV48"/>
      <c r="PW48"/>
      <c r="PX48"/>
      <c r="PY48"/>
      <c r="PZ48"/>
      <c r="QA48"/>
      <c r="QB48"/>
      <c r="QC48"/>
      <c r="QD48"/>
      <c r="QE48"/>
      <c r="QF48"/>
      <c r="QG48"/>
      <c r="QH48"/>
      <c r="QI48"/>
      <c r="QJ48"/>
      <c r="QK48"/>
      <c r="QL48"/>
      <c r="QM48"/>
      <c r="QN48"/>
      <c r="QO48"/>
      <c r="QP48"/>
      <c r="QQ48"/>
      <c r="QR48"/>
      <c r="QS48"/>
      <c r="QT48"/>
      <c r="QU48"/>
      <c r="QV48"/>
      <c r="QW48"/>
      <c r="QX48"/>
      <c r="QY48"/>
      <c r="QZ48"/>
      <c r="RA48"/>
      <c r="RB48"/>
      <c r="RC48"/>
      <c r="RD48"/>
      <c r="RE48"/>
      <c r="RF48"/>
      <c r="RG48"/>
      <c r="RH48"/>
      <c r="RI48"/>
      <c r="RJ48"/>
      <c r="RK48"/>
      <c r="RL48"/>
      <c r="RM48"/>
      <c r="RN48"/>
      <c r="RO48"/>
      <c r="RP48"/>
      <c r="RQ48"/>
      <c r="RR48"/>
      <c r="RS48"/>
      <c r="RT48"/>
      <c r="RU48"/>
      <c r="RV48"/>
      <c r="RW48"/>
      <c r="RX48"/>
      <c r="RY48"/>
      <c r="RZ48"/>
      <c r="SA48"/>
      <c r="SB48"/>
      <c r="SC48"/>
      <c r="SD48"/>
      <c r="SE48"/>
      <c r="SF48"/>
      <c r="SG48"/>
      <c r="SH48"/>
      <c r="SI48"/>
      <c r="SJ48"/>
      <c r="SK48"/>
      <c r="SL48"/>
      <c r="SM48"/>
      <c r="SN48"/>
      <c r="SO48"/>
      <c r="SP48"/>
      <c r="SQ48"/>
      <c r="SR48"/>
      <c r="SS48"/>
      <c r="ST48"/>
      <c r="SU48"/>
      <c r="SV48"/>
      <c r="SW48"/>
      <c r="SX48"/>
      <c r="SY48"/>
      <c r="SZ48"/>
      <c r="TA48"/>
      <c r="TB48"/>
      <c r="TC48"/>
      <c r="TD48"/>
      <c r="TE48"/>
      <c r="TF48"/>
      <c r="TG48"/>
      <c r="TH48"/>
    </row>
    <row r="49" spans="1:528" x14ac:dyDescent="0.25">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c r="KT49"/>
      <c r="KU49"/>
      <c r="KV49"/>
      <c r="KW49"/>
      <c r="KX49"/>
      <c r="KY49"/>
      <c r="KZ49"/>
      <c r="LA49"/>
      <c r="LB49"/>
      <c r="LC49"/>
      <c r="LD49"/>
      <c r="LE49"/>
      <c r="LF49"/>
      <c r="LG49"/>
      <c r="LH49"/>
      <c r="LI49"/>
      <c r="LJ49"/>
      <c r="LK49"/>
      <c r="LL49"/>
      <c r="LM49"/>
      <c r="LN49"/>
      <c r="LO49"/>
      <c r="LP49"/>
      <c r="LQ49"/>
      <c r="LR49"/>
      <c r="LS49"/>
      <c r="LT49"/>
      <c r="LU49"/>
      <c r="LV49"/>
      <c r="LW49"/>
      <c r="LX49"/>
      <c r="LY49"/>
      <c r="LZ49"/>
      <c r="MA49"/>
      <c r="MB49"/>
      <c r="MC49"/>
      <c r="MD49"/>
      <c r="ME49"/>
      <c r="MF49"/>
      <c r="MG49"/>
      <c r="MH49"/>
      <c r="MI49"/>
      <c r="MJ49"/>
      <c r="MK49"/>
      <c r="ML49"/>
      <c r="MM49"/>
      <c r="MN49"/>
      <c r="MO49"/>
      <c r="MP49"/>
      <c r="MQ49"/>
      <c r="MR49"/>
      <c r="MS49"/>
      <c r="MT49"/>
      <c r="MU49"/>
      <c r="MV49"/>
      <c r="MW49"/>
      <c r="MX49"/>
      <c r="MY49"/>
      <c r="MZ49"/>
      <c r="NA49"/>
      <c r="NB49"/>
      <c r="NC49"/>
      <c r="ND49"/>
      <c r="NE49"/>
      <c r="NF49"/>
      <c r="NG49"/>
      <c r="NH49"/>
      <c r="NI49"/>
      <c r="NJ49"/>
      <c r="NK49"/>
      <c r="NL49"/>
      <c r="NM49"/>
      <c r="NN49"/>
      <c r="NO49"/>
      <c r="NP49"/>
      <c r="NQ49"/>
      <c r="NR49"/>
      <c r="NS49"/>
      <c r="NT49"/>
      <c r="NU49"/>
      <c r="NV49"/>
      <c r="NW49"/>
      <c r="NX49"/>
      <c r="NY49"/>
      <c r="NZ49"/>
      <c r="OA49"/>
      <c r="OB49"/>
      <c r="OC49"/>
      <c r="OD49"/>
      <c r="OE49"/>
      <c r="OF49"/>
      <c r="OG49"/>
      <c r="OH49"/>
      <c r="OI49"/>
      <c r="OJ49"/>
      <c r="OK49"/>
      <c r="OL49"/>
      <c r="OM49"/>
      <c r="ON49"/>
      <c r="OO49"/>
      <c r="OP49"/>
      <c r="OQ49"/>
      <c r="OR49"/>
      <c r="OS49"/>
      <c r="OT49"/>
      <c r="OU49"/>
      <c r="OV49"/>
      <c r="OW49"/>
      <c r="OX49"/>
      <c r="OY49"/>
      <c r="OZ49"/>
      <c r="PA49"/>
      <c r="PB49"/>
      <c r="PC49"/>
      <c r="PD49"/>
      <c r="PE49"/>
      <c r="PF49"/>
      <c r="PG49"/>
      <c r="PH49"/>
      <c r="PI49"/>
      <c r="PJ49"/>
      <c r="PK49"/>
      <c r="PL49"/>
      <c r="PM49"/>
      <c r="PN49"/>
      <c r="PO49"/>
      <c r="PP49"/>
      <c r="PQ49"/>
      <c r="PR49"/>
      <c r="PS49"/>
      <c r="PT49"/>
      <c r="PU49"/>
      <c r="PV49"/>
      <c r="PW49"/>
      <c r="PX49"/>
      <c r="PY49"/>
      <c r="PZ49"/>
      <c r="QA49"/>
      <c r="QB49"/>
      <c r="QC49"/>
      <c r="QD49"/>
      <c r="QE49"/>
      <c r="QF49"/>
      <c r="QG49"/>
      <c r="QH49"/>
      <c r="QI49"/>
      <c r="QJ49"/>
      <c r="QK49"/>
      <c r="QL49"/>
      <c r="QM49"/>
      <c r="QN49"/>
      <c r="QO49"/>
      <c r="QP49"/>
      <c r="QQ49"/>
      <c r="QR49"/>
      <c r="QS49"/>
      <c r="QT49"/>
      <c r="QU49"/>
      <c r="QV49"/>
      <c r="QW49"/>
      <c r="QX49"/>
      <c r="QY49"/>
      <c r="QZ49"/>
      <c r="RA49"/>
      <c r="RB49"/>
      <c r="RC49"/>
      <c r="RD49"/>
      <c r="RE49"/>
      <c r="RF49"/>
      <c r="RG49"/>
      <c r="RH49"/>
      <c r="RI49"/>
      <c r="RJ49"/>
      <c r="RK49"/>
      <c r="RL49"/>
      <c r="RM49"/>
      <c r="RN49"/>
      <c r="RO49"/>
      <c r="RP49"/>
      <c r="RQ49"/>
      <c r="RR49"/>
      <c r="RS49"/>
      <c r="RT49"/>
      <c r="RU49"/>
      <c r="RV49"/>
      <c r="RW49"/>
      <c r="RX49"/>
      <c r="RY49"/>
      <c r="RZ49"/>
      <c r="SA49"/>
      <c r="SB49"/>
      <c r="SC49"/>
      <c r="SD49"/>
      <c r="SE49"/>
      <c r="SF49"/>
      <c r="SG49"/>
      <c r="SH49"/>
      <c r="SI49"/>
      <c r="SJ49"/>
      <c r="SK49"/>
      <c r="SL49"/>
      <c r="SM49"/>
      <c r="SN49"/>
      <c r="SO49"/>
      <c r="SP49"/>
      <c r="SQ49"/>
      <c r="SR49"/>
      <c r="SS49"/>
      <c r="ST49"/>
      <c r="SU49"/>
      <c r="SV49"/>
      <c r="SW49"/>
      <c r="SX49"/>
      <c r="SY49"/>
      <c r="SZ49"/>
      <c r="TA49"/>
      <c r="TB49"/>
      <c r="TC49"/>
      <c r="TD49"/>
      <c r="TE49"/>
      <c r="TF49"/>
      <c r="TG49"/>
      <c r="TH49"/>
    </row>
    <row r="50" spans="1:528" ht="15" customHeight="1" x14ac:dyDescent="0.25">
      <c r="A50" s="17" t="s">
        <v>1086</v>
      </c>
      <c r="B50" s="17"/>
      <c r="C50" s="17"/>
      <c r="D50" s="17"/>
      <c r="E50" s="17"/>
      <c r="F50" s="17"/>
      <c r="G50" s="17"/>
      <c r="H50" s="17"/>
      <c r="I50" s="17"/>
      <c r="J50" s="17"/>
      <c r="K50" s="17"/>
      <c r="L50" s="17"/>
      <c r="M50" s="17"/>
      <c r="N50" s="17"/>
      <c r="O50" s="17"/>
      <c r="P50" s="17"/>
      <c r="Q50" s="17"/>
      <c r="R50" s="17"/>
      <c r="S50" s="17"/>
      <c r="T50" s="17"/>
      <c r="U50" s="17"/>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row>
    <row r="51" spans="1:528" ht="15" customHeight="1" x14ac:dyDescent="0.25">
      <c r="A51" s="17"/>
      <c r="B51" s="17"/>
      <c r="C51" s="17"/>
      <c r="D51" s="17"/>
      <c r="E51" s="17"/>
      <c r="F51" s="17"/>
      <c r="G51" s="17"/>
      <c r="H51" s="17"/>
      <c r="I51" s="17"/>
      <c r="J51" s="17"/>
      <c r="K51" s="17"/>
      <c r="L51" s="17"/>
      <c r="M51" s="17"/>
      <c r="N51" s="17"/>
      <c r="O51" s="17"/>
      <c r="P51" s="17"/>
      <c r="Q51" s="17"/>
      <c r="R51" s="17"/>
      <c r="S51" s="17"/>
      <c r="T51" s="17"/>
      <c r="U51" s="17"/>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c r="KT51"/>
      <c r="KU51"/>
      <c r="KV51"/>
      <c r="KW51"/>
      <c r="KX51"/>
      <c r="KY51"/>
      <c r="KZ51"/>
      <c r="LA51"/>
      <c r="LB51"/>
      <c r="LC51"/>
      <c r="LD51"/>
      <c r="LE51"/>
      <c r="LF51"/>
      <c r="LG51"/>
      <c r="LH51"/>
      <c r="LI51"/>
      <c r="LJ51"/>
      <c r="LK51"/>
      <c r="LL51"/>
      <c r="LM51"/>
      <c r="LN51"/>
      <c r="LO51"/>
      <c r="LP51"/>
      <c r="LQ51"/>
      <c r="LR51"/>
      <c r="LS51"/>
      <c r="LT51"/>
      <c r="LU51"/>
      <c r="LV51"/>
      <c r="LW51"/>
      <c r="LX51"/>
      <c r="LY51"/>
      <c r="LZ51"/>
      <c r="MA51"/>
      <c r="MB51"/>
      <c r="MC51"/>
      <c r="MD51"/>
      <c r="ME51"/>
      <c r="MF51"/>
      <c r="MG51"/>
      <c r="MH51"/>
      <c r="MI51"/>
      <c r="MJ51"/>
      <c r="MK51"/>
      <c r="ML51"/>
      <c r="MM51"/>
      <c r="MN51"/>
      <c r="MO51"/>
      <c r="MP51"/>
      <c r="MQ51"/>
      <c r="MR51"/>
      <c r="MS51"/>
      <c r="MT51"/>
      <c r="MU51"/>
      <c r="MV51"/>
      <c r="MW51"/>
      <c r="MX51"/>
      <c r="MY51"/>
      <c r="MZ51"/>
      <c r="NA51"/>
      <c r="NB51"/>
      <c r="NC51"/>
      <c r="ND51"/>
      <c r="NE51"/>
      <c r="NF51"/>
      <c r="NG51"/>
      <c r="NH51"/>
      <c r="NI51"/>
      <c r="NJ51"/>
      <c r="NK51"/>
      <c r="NL51"/>
      <c r="NM51"/>
      <c r="NN51"/>
      <c r="NO51"/>
      <c r="NP51"/>
      <c r="NQ51"/>
      <c r="NR51"/>
      <c r="NS51"/>
      <c r="NT51"/>
      <c r="NU51"/>
      <c r="NV51"/>
      <c r="NW51"/>
      <c r="NX51"/>
      <c r="NY51"/>
      <c r="NZ51"/>
      <c r="OA51"/>
      <c r="OB51"/>
      <c r="OC51"/>
      <c r="OD51"/>
      <c r="OE51"/>
      <c r="OF51"/>
      <c r="OG51"/>
      <c r="OH51"/>
      <c r="OI51"/>
      <c r="OJ51"/>
      <c r="OK51"/>
      <c r="OL51"/>
      <c r="OM51"/>
      <c r="ON51"/>
      <c r="OO51"/>
      <c r="OP51"/>
      <c r="OQ51"/>
      <c r="OR51"/>
      <c r="OS51"/>
      <c r="OT51"/>
      <c r="OU51"/>
      <c r="OV51"/>
      <c r="OW51"/>
      <c r="OX51"/>
      <c r="OY51"/>
      <c r="OZ51"/>
      <c r="PA51"/>
      <c r="PB51"/>
      <c r="PC51"/>
      <c r="PD51"/>
      <c r="PE51"/>
      <c r="PF51"/>
      <c r="PG51"/>
      <c r="PH51"/>
      <c r="PI51"/>
      <c r="PJ51"/>
      <c r="PK51"/>
      <c r="PL51"/>
      <c r="PM51"/>
      <c r="PN51"/>
      <c r="PO51"/>
      <c r="PP51"/>
      <c r="PQ51"/>
      <c r="PR51"/>
      <c r="PS51"/>
      <c r="PT51"/>
      <c r="PU51"/>
      <c r="PV51"/>
      <c r="PW51"/>
      <c r="PX51"/>
      <c r="PY51"/>
      <c r="PZ51"/>
      <c r="QA51"/>
      <c r="QB51"/>
      <c r="QC51"/>
      <c r="QD51"/>
      <c r="QE51"/>
      <c r="QF51"/>
      <c r="QG51"/>
      <c r="QH51"/>
      <c r="QI51"/>
      <c r="QJ51"/>
      <c r="QK51"/>
      <c r="QL51"/>
      <c r="QM51"/>
      <c r="QN51"/>
      <c r="QO51"/>
      <c r="QP51"/>
      <c r="QQ51"/>
      <c r="QR51"/>
      <c r="QS51"/>
      <c r="QT51"/>
      <c r="QU51"/>
      <c r="QV51"/>
      <c r="QW51"/>
      <c r="QX51"/>
      <c r="QY51"/>
      <c r="QZ51"/>
      <c r="RA51"/>
      <c r="RB51"/>
      <c r="RC51"/>
      <c r="RD51"/>
      <c r="RE51"/>
      <c r="RF51"/>
      <c r="RG51"/>
      <c r="RH51"/>
      <c r="RI51"/>
      <c r="RJ51"/>
      <c r="RK51"/>
      <c r="RL51"/>
      <c r="RM51"/>
      <c r="RN51"/>
      <c r="RO51"/>
      <c r="RP51"/>
      <c r="RQ51"/>
      <c r="RR51"/>
      <c r="RS51"/>
      <c r="RT51"/>
      <c r="RU51"/>
      <c r="RV51"/>
      <c r="RW51"/>
      <c r="RX51"/>
      <c r="RY51"/>
      <c r="RZ51"/>
      <c r="SA51"/>
      <c r="SB51"/>
      <c r="SC51"/>
      <c r="SD51"/>
      <c r="SE51"/>
      <c r="SF51"/>
      <c r="SG51"/>
      <c r="SH51"/>
      <c r="SI51"/>
      <c r="SJ51"/>
      <c r="SK51"/>
      <c r="SL51"/>
      <c r="SM51"/>
      <c r="SN51"/>
      <c r="SO51"/>
      <c r="SP51"/>
      <c r="SQ51"/>
      <c r="SR51"/>
      <c r="SS51"/>
      <c r="ST51"/>
      <c r="SU51"/>
      <c r="SV51"/>
      <c r="SW51"/>
      <c r="SX51"/>
      <c r="SY51"/>
      <c r="SZ51"/>
      <c r="TA51"/>
      <c r="TB51"/>
      <c r="TC51"/>
      <c r="TD51"/>
      <c r="TE51"/>
      <c r="TF51"/>
      <c r="TG51"/>
      <c r="TH51"/>
    </row>
    <row r="52" spans="1:528" ht="15" customHeight="1" x14ac:dyDescent="0.25">
      <c r="A52" s="17"/>
      <c r="B52" s="17"/>
      <c r="C52" s="17"/>
      <c r="D52" s="17"/>
      <c r="E52" s="17"/>
      <c r="F52" s="17"/>
      <c r="G52" s="17"/>
      <c r="H52" s="17"/>
      <c r="I52" s="17"/>
      <c r="J52" s="17"/>
      <c r="K52" s="17"/>
      <c r="L52" s="17"/>
      <c r="M52" s="17"/>
      <c r="N52" s="17"/>
      <c r="O52" s="17"/>
      <c r="P52" s="17"/>
      <c r="Q52" s="17"/>
      <c r="R52" s="17"/>
      <c r="S52" s="17"/>
      <c r="T52" s="17"/>
      <c r="U52" s="17"/>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c r="KT52"/>
      <c r="KU52"/>
      <c r="KV52"/>
      <c r="KW52"/>
      <c r="KX52"/>
      <c r="KY52"/>
      <c r="KZ52"/>
      <c r="LA52"/>
      <c r="LB52"/>
      <c r="LC52"/>
      <c r="LD52"/>
      <c r="LE52"/>
      <c r="LF52"/>
      <c r="LG52"/>
      <c r="LH52"/>
      <c r="LI52"/>
      <c r="LJ52"/>
      <c r="LK52"/>
      <c r="LL52"/>
      <c r="LM52"/>
      <c r="LN52"/>
      <c r="LO52"/>
      <c r="LP52"/>
      <c r="LQ52"/>
      <c r="LR52"/>
      <c r="LS52"/>
      <c r="LT52"/>
      <c r="LU52"/>
      <c r="LV52"/>
      <c r="LW52"/>
      <c r="LX52"/>
      <c r="LY52"/>
      <c r="LZ52"/>
      <c r="MA52"/>
      <c r="MB52"/>
      <c r="MC52"/>
      <c r="MD52"/>
      <c r="ME52"/>
      <c r="MF52"/>
      <c r="MG52"/>
      <c r="MH52"/>
      <c r="MI52"/>
      <c r="MJ52"/>
      <c r="MK52"/>
      <c r="ML52"/>
      <c r="MM52"/>
      <c r="MN52"/>
      <c r="MO52"/>
      <c r="MP52"/>
      <c r="MQ52"/>
      <c r="MR52"/>
      <c r="MS52"/>
      <c r="MT52"/>
      <c r="MU52"/>
      <c r="MV52"/>
      <c r="MW52"/>
      <c r="MX52"/>
      <c r="MY52"/>
      <c r="MZ52"/>
      <c r="NA52"/>
      <c r="NB52"/>
      <c r="NC52"/>
      <c r="ND52"/>
      <c r="NE52"/>
      <c r="NF52"/>
      <c r="NG52"/>
      <c r="NH52"/>
      <c r="NI52"/>
      <c r="NJ52"/>
      <c r="NK52"/>
      <c r="NL52"/>
      <c r="NM52"/>
      <c r="NN52"/>
      <c r="NO52"/>
      <c r="NP52"/>
      <c r="NQ52"/>
      <c r="NR52"/>
      <c r="NS52"/>
      <c r="NT52"/>
      <c r="NU52"/>
      <c r="NV52"/>
      <c r="NW52"/>
      <c r="NX52"/>
      <c r="NY52"/>
      <c r="NZ52"/>
      <c r="OA52"/>
      <c r="OB52"/>
      <c r="OC52"/>
      <c r="OD52"/>
      <c r="OE52"/>
      <c r="OF52"/>
      <c r="OG52"/>
      <c r="OH52"/>
      <c r="OI52"/>
      <c r="OJ52"/>
      <c r="OK52"/>
      <c r="OL52"/>
      <c r="OM52"/>
      <c r="ON52"/>
      <c r="OO52"/>
      <c r="OP52"/>
      <c r="OQ52"/>
      <c r="OR52"/>
      <c r="OS52"/>
      <c r="OT52"/>
      <c r="OU52"/>
      <c r="OV52"/>
      <c r="OW52"/>
      <c r="OX52"/>
      <c r="OY52"/>
      <c r="OZ52"/>
      <c r="PA52"/>
      <c r="PB52"/>
      <c r="PC52"/>
      <c r="PD52"/>
      <c r="PE52"/>
      <c r="PF52"/>
      <c r="PG52"/>
      <c r="PH52"/>
      <c r="PI52"/>
      <c r="PJ52"/>
      <c r="PK52"/>
      <c r="PL52"/>
      <c r="PM52"/>
      <c r="PN52"/>
      <c r="PO52"/>
      <c r="PP52"/>
      <c r="PQ52"/>
      <c r="PR52"/>
      <c r="PS52"/>
      <c r="PT52"/>
      <c r="PU52"/>
      <c r="PV52"/>
      <c r="PW52"/>
      <c r="PX52"/>
      <c r="PY52"/>
      <c r="PZ52"/>
      <c r="QA52"/>
      <c r="QB52"/>
      <c r="QC52"/>
      <c r="QD52"/>
      <c r="QE52"/>
      <c r="QF52"/>
      <c r="QG52"/>
      <c r="QH52"/>
      <c r="QI52"/>
      <c r="QJ52"/>
      <c r="QK52"/>
      <c r="QL52"/>
      <c r="QM52"/>
      <c r="QN52"/>
      <c r="QO52"/>
      <c r="QP52"/>
      <c r="QQ52"/>
      <c r="QR52"/>
      <c r="QS52"/>
      <c r="QT52"/>
      <c r="QU52"/>
      <c r="QV52"/>
      <c r="QW52"/>
      <c r="QX52"/>
      <c r="QY52"/>
      <c r="QZ52"/>
      <c r="RA52"/>
      <c r="RB52"/>
      <c r="RC52"/>
      <c r="RD52"/>
      <c r="RE52"/>
      <c r="RF52"/>
      <c r="RG52"/>
      <c r="RH52"/>
      <c r="RI52"/>
      <c r="RJ52"/>
      <c r="RK52"/>
      <c r="RL52"/>
      <c r="RM52"/>
      <c r="RN52"/>
      <c r="RO52"/>
      <c r="RP52"/>
      <c r="RQ52"/>
      <c r="RR52"/>
      <c r="RS52"/>
      <c r="RT52"/>
      <c r="RU52"/>
      <c r="RV52"/>
      <c r="RW52"/>
      <c r="RX52"/>
      <c r="RY52"/>
      <c r="RZ52"/>
      <c r="SA52"/>
      <c r="SB52"/>
      <c r="SC52"/>
      <c r="SD52"/>
      <c r="SE52"/>
      <c r="SF52"/>
      <c r="SG52"/>
      <c r="SH52"/>
      <c r="SI52"/>
      <c r="SJ52"/>
      <c r="SK52"/>
      <c r="SL52"/>
      <c r="SM52"/>
      <c r="SN52"/>
      <c r="SO52"/>
      <c r="SP52"/>
      <c r="SQ52"/>
      <c r="SR52"/>
      <c r="SS52"/>
      <c r="ST52"/>
      <c r="SU52"/>
      <c r="SV52"/>
      <c r="SW52"/>
      <c r="SX52"/>
      <c r="SY52"/>
      <c r="SZ52"/>
      <c r="TA52"/>
      <c r="TB52"/>
      <c r="TC52"/>
      <c r="TD52"/>
      <c r="TE52"/>
      <c r="TF52"/>
      <c r="TG52"/>
      <c r="TH52"/>
    </row>
    <row r="53" spans="1:528" ht="15" customHeight="1" x14ac:dyDescent="0.25">
      <c r="A53" s="17"/>
      <c r="B53" s="17"/>
      <c r="C53" s="17"/>
      <c r="D53" s="17"/>
      <c r="E53" s="17"/>
      <c r="F53" s="17"/>
      <c r="G53" s="17"/>
      <c r="H53" s="17"/>
      <c r="I53" s="17"/>
      <c r="J53" s="17"/>
      <c r="K53" s="17"/>
      <c r="L53" s="17"/>
      <c r="M53" s="17"/>
      <c r="N53" s="17"/>
      <c r="O53" s="17"/>
      <c r="P53" s="17"/>
      <c r="Q53" s="17"/>
      <c r="R53" s="17"/>
      <c r="S53" s="17"/>
      <c r="T53" s="17"/>
      <c r="U53" s="17"/>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row>
    <row r="54" spans="1:528" ht="15" customHeight="1" x14ac:dyDescent="0.25">
      <c r="A54" s="17"/>
      <c r="B54" s="17"/>
      <c r="C54" s="17"/>
      <c r="D54" s="17"/>
      <c r="E54" s="17"/>
      <c r="F54" s="17"/>
      <c r="G54" s="17"/>
      <c r="H54" s="17"/>
      <c r="I54" s="17"/>
      <c r="J54" s="17"/>
      <c r="K54" s="17"/>
      <c r="L54" s="17"/>
      <c r="M54" s="17"/>
      <c r="N54" s="17"/>
      <c r="O54" s="17"/>
      <c r="P54" s="17"/>
      <c r="Q54" s="17"/>
      <c r="R54" s="17"/>
      <c r="S54" s="17"/>
      <c r="T54" s="17"/>
      <c r="U54" s="17"/>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row>
    <row r="55" spans="1:528" ht="15" customHeight="1" x14ac:dyDescent="0.25">
      <c r="A55" s="17"/>
      <c r="B55" s="17"/>
      <c r="C55" s="17"/>
      <c r="D55" s="17"/>
      <c r="E55" s="17"/>
      <c r="F55" s="17"/>
      <c r="G55" s="17"/>
      <c r="H55" s="17"/>
      <c r="I55" s="17"/>
      <c r="J55" s="17"/>
      <c r="K55" s="17"/>
      <c r="L55" s="17"/>
      <c r="M55" s="17"/>
      <c r="N55" s="17"/>
      <c r="O55" s="17"/>
      <c r="P55" s="17"/>
      <c r="Q55" s="17"/>
      <c r="R55" s="17"/>
      <c r="S55" s="17"/>
      <c r="T55" s="17"/>
      <c r="U55" s="17"/>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c r="LL55"/>
      <c r="LM55"/>
      <c r="LN55"/>
      <c r="LO55"/>
      <c r="LP55"/>
      <c r="LQ55"/>
      <c r="LR55"/>
      <c r="LS55"/>
      <c r="LT55"/>
      <c r="LU55"/>
      <c r="LV55"/>
      <c r="LW55"/>
      <c r="LX55"/>
      <c r="LY55"/>
      <c r="LZ55"/>
      <c r="MA55"/>
      <c r="MB55"/>
      <c r="MC55"/>
      <c r="MD55"/>
      <c r="ME55"/>
      <c r="MF55"/>
      <c r="MG55"/>
      <c r="MH55"/>
      <c r="MI55"/>
      <c r="MJ55"/>
      <c r="MK55"/>
      <c r="ML55"/>
      <c r="MM55"/>
      <c r="MN55"/>
      <c r="MO55"/>
      <c r="MP55"/>
      <c r="MQ55"/>
      <c r="MR55"/>
      <c r="MS55"/>
      <c r="MT55"/>
      <c r="MU55"/>
      <c r="MV55"/>
      <c r="MW55"/>
      <c r="MX55"/>
      <c r="MY55"/>
      <c r="MZ55"/>
      <c r="NA55"/>
      <c r="NB55"/>
      <c r="NC55"/>
      <c r="ND55"/>
      <c r="NE55"/>
      <c r="NF55"/>
      <c r="NG55"/>
      <c r="NH55"/>
      <c r="NI55"/>
      <c r="NJ55"/>
      <c r="NK55"/>
      <c r="NL55"/>
      <c r="NM55"/>
      <c r="NN55"/>
      <c r="NO55"/>
      <c r="NP55"/>
      <c r="NQ55"/>
      <c r="NR55"/>
      <c r="NS55"/>
      <c r="NT55"/>
      <c r="NU55"/>
      <c r="NV55"/>
      <c r="NW55"/>
      <c r="NX55"/>
      <c r="NY55"/>
      <c r="NZ55"/>
      <c r="OA55"/>
      <c r="OB55"/>
      <c r="OC55"/>
      <c r="OD55"/>
      <c r="OE55"/>
      <c r="OF55"/>
      <c r="OG55"/>
      <c r="OH55"/>
      <c r="OI55"/>
      <c r="OJ55"/>
      <c r="OK55"/>
      <c r="OL55"/>
      <c r="OM55"/>
      <c r="ON55"/>
      <c r="OO55"/>
      <c r="OP55"/>
      <c r="OQ55"/>
      <c r="OR55"/>
      <c r="OS55"/>
      <c r="OT55"/>
      <c r="OU55"/>
      <c r="OV55"/>
      <c r="OW55"/>
      <c r="OX55"/>
      <c r="OY55"/>
      <c r="OZ55"/>
      <c r="PA55"/>
      <c r="PB55"/>
      <c r="PC55"/>
      <c r="PD55"/>
      <c r="PE55"/>
      <c r="PF55"/>
      <c r="PG55"/>
      <c r="PH55"/>
      <c r="PI55"/>
      <c r="PJ55"/>
      <c r="PK55"/>
      <c r="PL55"/>
      <c r="PM55"/>
      <c r="PN55"/>
      <c r="PO55"/>
      <c r="PP55"/>
      <c r="PQ55"/>
      <c r="PR55"/>
      <c r="PS55"/>
      <c r="PT55"/>
      <c r="PU55"/>
      <c r="PV55"/>
      <c r="PW55"/>
      <c r="PX55"/>
      <c r="PY55"/>
      <c r="PZ55"/>
      <c r="QA55"/>
      <c r="QB55"/>
      <c r="QC55"/>
      <c r="QD55"/>
      <c r="QE55"/>
      <c r="QF55"/>
      <c r="QG55"/>
      <c r="QH55"/>
      <c r="QI55"/>
      <c r="QJ55"/>
      <c r="QK55"/>
      <c r="QL55"/>
      <c r="QM55"/>
      <c r="QN55"/>
      <c r="QO55"/>
      <c r="QP55"/>
      <c r="QQ55"/>
      <c r="QR55"/>
      <c r="QS55"/>
      <c r="QT55"/>
      <c r="QU55"/>
      <c r="QV55"/>
      <c r="QW55"/>
      <c r="QX55"/>
      <c r="QY55"/>
      <c r="QZ55"/>
      <c r="RA55"/>
      <c r="RB55"/>
      <c r="RC55"/>
      <c r="RD55"/>
      <c r="RE55"/>
      <c r="RF55"/>
      <c r="RG55"/>
      <c r="RH55"/>
      <c r="RI55"/>
      <c r="RJ55"/>
      <c r="RK55"/>
      <c r="RL55"/>
      <c r="RM55"/>
      <c r="RN55"/>
      <c r="RO55"/>
      <c r="RP55"/>
      <c r="RQ55"/>
      <c r="RR55"/>
      <c r="RS55"/>
      <c r="RT55"/>
      <c r="RU55"/>
      <c r="RV55"/>
      <c r="RW55"/>
      <c r="RX55"/>
      <c r="RY55"/>
      <c r="RZ55"/>
      <c r="SA55"/>
      <c r="SB55"/>
      <c r="SC55"/>
      <c r="SD55"/>
      <c r="SE55"/>
      <c r="SF55"/>
      <c r="SG55"/>
      <c r="SH55"/>
      <c r="SI55"/>
      <c r="SJ55"/>
      <c r="SK55"/>
      <c r="SL55"/>
      <c r="SM55"/>
      <c r="SN55"/>
      <c r="SO55"/>
      <c r="SP55"/>
      <c r="SQ55"/>
      <c r="SR55"/>
      <c r="SS55"/>
      <c r="ST55"/>
      <c r="SU55"/>
      <c r="SV55"/>
      <c r="SW55"/>
      <c r="SX55"/>
      <c r="SY55"/>
      <c r="SZ55"/>
      <c r="TA55"/>
      <c r="TB55"/>
      <c r="TC55"/>
      <c r="TD55"/>
      <c r="TE55"/>
      <c r="TF55"/>
      <c r="TG55"/>
      <c r="TH55"/>
    </row>
    <row r="56" spans="1:528" ht="15" customHeight="1" x14ac:dyDescent="0.25">
      <c r="A56" s="17"/>
      <c r="B56" s="17"/>
      <c r="C56" s="17"/>
      <c r="D56" s="17"/>
      <c r="E56" s="17"/>
      <c r="F56" s="17"/>
      <c r="G56" s="17"/>
      <c r="H56" s="17"/>
      <c r="I56" s="17"/>
      <c r="J56" s="17"/>
      <c r="K56" s="17"/>
      <c r="L56" s="17"/>
      <c r="M56" s="17"/>
      <c r="N56" s="17"/>
      <c r="O56" s="17"/>
      <c r="P56" s="17"/>
      <c r="Q56" s="17"/>
      <c r="R56" s="17"/>
      <c r="S56" s="17"/>
      <c r="T56" s="17"/>
      <c r="U56" s="17"/>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c r="LL56"/>
      <c r="LM56"/>
      <c r="LN56"/>
      <c r="LO56"/>
      <c r="LP56"/>
      <c r="LQ56"/>
      <c r="LR56"/>
      <c r="LS56"/>
      <c r="LT56"/>
      <c r="LU56"/>
      <c r="LV56"/>
      <c r="LW56"/>
      <c r="LX56"/>
      <c r="LY56"/>
      <c r="LZ56"/>
      <c r="MA56"/>
      <c r="MB56"/>
      <c r="MC56"/>
      <c r="MD56"/>
      <c r="ME56"/>
      <c r="MF56"/>
      <c r="MG56"/>
      <c r="MH56"/>
      <c r="MI56"/>
      <c r="MJ56"/>
      <c r="MK56"/>
      <c r="ML56"/>
      <c r="MM56"/>
      <c r="MN56"/>
      <c r="MO56"/>
      <c r="MP56"/>
      <c r="MQ56"/>
      <c r="MR56"/>
      <c r="MS56"/>
      <c r="MT56"/>
      <c r="MU56"/>
      <c r="MV56"/>
      <c r="MW56"/>
      <c r="MX56"/>
      <c r="MY56"/>
      <c r="MZ56"/>
      <c r="NA56"/>
      <c r="NB56"/>
      <c r="NC56"/>
      <c r="ND56"/>
      <c r="NE56"/>
      <c r="NF56"/>
      <c r="NG56"/>
      <c r="NH56"/>
      <c r="NI56"/>
      <c r="NJ56"/>
      <c r="NK56"/>
      <c r="NL56"/>
      <c r="NM56"/>
      <c r="NN56"/>
      <c r="NO56"/>
      <c r="NP56"/>
      <c r="NQ56"/>
      <c r="NR56"/>
      <c r="NS56"/>
      <c r="NT56"/>
      <c r="NU56"/>
      <c r="NV56"/>
      <c r="NW56"/>
      <c r="NX56"/>
      <c r="NY56"/>
      <c r="NZ56"/>
      <c r="OA56"/>
      <c r="OB56"/>
      <c r="OC56"/>
      <c r="OD56"/>
      <c r="OE56"/>
      <c r="OF56"/>
      <c r="OG56"/>
      <c r="OH56"/>
      <c r="OI56"/>
      <c r="OJ56"/>
      <c r="OK56"/>
      <c r="OL56"/>
      <c r="OM56"/>
      <c r="ON56"/>
      <c r="OO56"/>
      <c r="OP56"/>
      <c r="OQ56"/>
      <c r="OR56"/>
      <c r="OS56"/>
      <c r="OT56"/>
      <c r="OU56"/>
      <c r="OV56"/>
      <c r="OW56"/>
      <c r="OX56"/>
      <c r="OY56"/>
      <c r="OZ56"/>
      <c r="PA56"/>
      <c r="PB56"/>
      <c r="PC56"/>
      <c r="PD56"/>
      <c r="PE56"/>
      <c r="PF56"/>
      <c r="PG56"/>
      <c r="PH56"/>
      <c r="PI56"/>
      <c r="PJ56"/>
      <c r="PK56"/>
      <c r="PL56"/>
      <c r="PM56"/>
      <c r="PN56"/>
      <c r="PO56"/>
      <c r="PP56"/>
      <c r="PQ56"/>
      <c r="PR56"/>
      <c r="PS56"/>
      <c r="PT56"/>
      <c r="PU56"/>
      <c r="PV56"/>
      <c r="PW56"/>
      <c r="PX56"/>
      <c r="PY56"/>
      <c r="PZ56"/>
      <c r="QA56"/>
      <c r="QB56"/>
      <c r="QC56"/>
      <c r="QD56"/>
      <c r="QE56"/>
      <c r="QF56"/>
      <c r="QG56"/>
      <c r="QH56"/>
      <c r="QI56"/>
      <c r="QJ56"/>
      <c r="QK56"/>
      <c r="QL56"/>
      <c r="QM56"/>
      <c r="QN56"/>
      <c r="QO56"/>
      <c r="QP56"/>
      <c r="QQ56"/>
      <c r="QR56"/>
      <c r="QS56"/>
      <c r="QT56"/>
      <c r="QU56"/>
      <c r="QV56"/>
      <c r="QW56"/>
      <c r="QX56"/>
      <c r="QY56"/>
      <c r="QZ56"/>
      <c r="RA56"/>
      <c r="RB56"/>
      <c r="RC56"/>
      <c r="RD56"/>
      <c r="RE56"/>
      <c r="RF56"/>
      <c r="RG56"/>
      <c r="RH56"/>
      <c r="RI56"/>
      <c r="RJ56"/>
      <c r="RK56"/>
      <c r="RL56"/>
      <c r="RM56"/>
      <c r="RN56"/>
      <c r="RO56"/>
      <c r="RP56"/>
      <c r="RQ56"/>
      <c r="RR56"/>
      <c r="RS56"/>
      <c r="RT56"/>
      <c r="RU56"/>
      <c r="RV56"/>
      <c r="RW56"/>
      <c r="RX56"/>
      <c r="RY56"/>
      <c r="RZ56"/>
      <c r="SA56"/>
      <c r="SB56"/>
      <c r="SC56"/>
      <c r="SD56"/>
      <c r="SE56"/>
      <c r="SF56"/>
      <c r="SG56"/>
      <c r="SH56"/>
      <c r="SI56"/>
      <c r="SJ56"/>
      <c r="SK56"/>
      <c r="SL56"/>
      <c r="SM56"/>
      <c r="SN56"/>
      <c r="SO56"/>
      <c r="SP56"/>
      <c r="SQ56"/>
      <c r="SR56"/>
      <c r="SS56"/>
      <c r="ST56"/>
      <c r="SU56"/>
      <c r="SV56"/>
      <c r="SW56"/>
      <c r="SX56"/>
      <c r="SY56"/>
      <c r="SZ56"/>
      <c r="TA56"/>
      <c r="TB56"/>
      <c r="TC56"/>
      <c r="TD56"/>
      <c r="TE56"/>
      <c r="TF56"/>
      <c r="TG56"/>
      <c r="TH56"/>
    </row>
    <row r="57" spans="1:528" ht="15" customHeight="1" x14ac:dyDescent="0.25">
      <c r="A57" s="17"/>
      <c r="B57" s="17"/>
      <c r="C57" s="17"/>
      <c r="D57" s="17"/>
      <c r="E57" s="17"/>
      <c r="F57" s="17"/>
      <c r="G57" s="17"/>
      <c r="H57" s="17"/>
      <c r="I57" s="17"/>
      <c r="J57" s="17"/>
      <c r="K57" s="17"/>
      <c r="L57" s="17"/>
      <c r="M57" s="17"/>
      <c r="N57" s="17"/>
      <c r="O57" s="17"/>
      <c r="P57" s="17"/>
      <c r="Q57" s="17"/>
      <c r="R57" s="17"/>
      <c r="S57" s="17"/>
      <c r="T57" s="17"/>
      <c r="U57" s="1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c r="QN57"/>
      <c r="QO57"/>
      <c r="QP57"/>
      <c r="QQ57"/>
      <c r="QR57"/>
      <c r="QS57"/>
      <c r="QT57"/>
      <c r="QU57"/>
      <c r="QV57"/>
      <c r="QW57"/>
      <c r="QX57"/>
      <c r="QY57"/>
      <c r="QZ57"/>
      <c r="RA57"/>
      <c r="RB57"/>
      <c r="RC57"/>
      <c r="RD57"/>
      <c r="RE57"/>
      <c r="RF57"/>
      <c r="RG57"/>
      <c r="RH57"/>
      <c r="RI57"/>
      <c r="RJ57"/>
      <c r="RK57"/>
      <c r="RL57"/>
      <c r="RM57"/>
      <c r="RN57"/>
      <c r="RO57"/>
      <c r="RP57"/>
      <c r="RQ57"/>
      <c r="RR57"/>
      <c r="RS57"/>
      <c r="RT57"/>
      <c r="RU57"/>
      <c r="RV57"/>
      <c r="RW57"/>
      <c r="RX57"/>
      <c r="RY57"/>
      <c r="RZ57"/>
      <c r="SA57"/>
      <c r="SB57"/>
      <c r="SC57"/>
      <c r="SD57"/>
      <c r="SE57"/>
      <c r="SF57"/>
      <c r="SG57"/>
      <c r="SH57"/>
      <c r="SI57"/>
      <c r="SJ57"/>
      <c r="SK57"/>
      <c r="SL57"/>
      <c r="SM57"/>
      <c r="SN57"/>
      <c r="SO57"/>
      <c r="SP57"/>
      <c r="SQ57"/>
      <c r="SR57"/>
      <c r="SS57"/>
      <c r="ST57"/>
      <c r="SU57"/>
      <c r="SV57"/>
      <c r="SW57"/>
      <c r="SX57"/>
      <c r="SY57"/>
      <c r="SZ57"/>
      <c r="TA57"/>
      <c r="TB57"/>
      <c r="TC57"/>
      <c r="TD57"/>
      <c r="TE57"/>
      <c r="TF57"/>
      <c r="TG57"/>
      <c r="TH57"/>
    </row>
    <row r="58" spans="1:528" ht="15" customHeight="1" x14ac:dyDescent="0.25">
      <c r="A58" s="17"/>
      <c r="B58" s="17"/>
      <c r="C58" s="17"/>
      <c r="D58" s="17"/>
      <c r="E58" s="17"/>
      <c r="F58" s="17"/>
      <c r="G58" s="17"/>
      <c r="H58" s="17"/>
      <c r="I58" s="17"/>
      <c r="J58" s="17"/>
      <c r="K58" s="17"/>
      <c r="L58" s="17"/>
      <c r="M58" s="17"/>
      <c r="N58" s="17"/>
      <c r="O58" s="17"/>
      <c r="P58" s="17"/>
      <c r="Q58" s="17"/>
      <c r="R58" s="17"/>
      <c r="S58" s="17"/>
      <c r="T58" s="17"/>
      <c r="U58" s="17"/>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c r="LL58"/>
      <c r="LM58"/>
      <c r="LN58"/>
      <c r="LO58"/>
      <c r="LP58"/>
      <c r="LQ58"/>
      <c r="LR58"/>
      <c r="LS58"/>
      <c r="LT58"/>
      <c r="LU58"/>
      <c r="LV58"/>
      <c r="LW58"/>
      <c r="LX58"/>
      <c r="LY58"/>
      <c r="LZ58"/>
      <c r="MA58"/>
      <c r="MB58"/>
      <c r="MC58"/>
      <c r="MD58"/>
      <c r="ME58"/>
      <c r="MF58"/>
      <c r="MG58"/>
      <c r="MH58"/>
      <c r="MI58"/>
      <c r="MJ58"/>
      <c r="MK58"/>
      <c r="ML58"/>
      <c r="MM58"/>
      <c r="MN58"/>
      <c r="MO58"/>
      <c r="MP58"/>
      <c r="MQ58"/>
      <c r="MR58"/>
      <c r="MS58"/>
      <c r="MT58"/>
      <c r="MU58"/>
      <c r="MV58"/>
      <c r="MW58"/>
      <c r="MX58"/>
      <c r="MY58"/>
      <c r="MZ58"/>
      <c r="NA58"/>
      <c r="NB58"/>
      <c r="NC58"/>
      <c r="ND58"/>
      <c r="NE58"/>
      <c r="NF58"/>
      <c r="NG58"/>
      <c r="NH58"/>
      <c r="NI58"/>
      <c r="NJ58"/>
      <c r="NK58"/>
      <c r="NL58"/>
      <c r="NM58"/>
      <c r="NN58"/>
      <c r="NO58"/>
      <c r="NP58"/>
      <c r="NQ58"/>
      <c r="NR58"/>
      <c r="NS58"/>
      <c r="NT58"/>
      <c r="NU58"/>
      <c r="NV58"/>
      <c r="NW58"/>
      <c r="NX58"/>
      <c r="NY58"/>
      <c r="NZ58"/>
      <c r="OA58"/>
      <c r="OB58"/>
      <c r="OC58"/>
      <c r="OD58"/>
      <c r="OE58"/>
      <c r="OF58"/>
      <c r="OG58"/>
      <c r="OH58"/>
      <c r="OI58"/>
      <c r="OJ58"/>
      <c r="OK58"/>
      <c r="OL58"/>
      <c r="OM58"/>
      <c r="ON58"/>
      <c r="OO58"/>
      <c r="OP58"/>
      <c r="OQ58"/>
      <c r="OR58"/>
      <c r="OS58"/>
      <c r="OT58"/>
      <c r="OU58"/>
      <c r="OV58"/>
      <c r="OW58"/>
      <c r="OX58"/>
      <c r="OY58"/>
      <c r="OZ58"/>
      <c r="PA58"/>
      <c r="PB58"/>
      <c r="PC58"/>
      <c r="PD58"/>
      <c r="PE58"/>
      <c r="PF58"/>
      <c r="PG58"/>
      <c r="PH58"/>
      <c r="PI58"/>
      <c r="PJ58"/>
      <c r="PK58"/>
      <c r="PL58"/>
      <c r="PM58"/>
      <c r="PN58"/>
      <c r="PO58"/>
      <c r="PP58"/>
      <c r="PQ58"/>
      <c r="PR58"/>
      <c r="PS58"/>
      <c r="PT58"/>
      <c r="PU58"/>
      <c r="PV58"/>
      <c r="PW58"/>
      <c r="PX58"/>
      <c r="PY58"/>
      <c r="PZ58"/>
      <c r="QA58"/>
      <c r="QB58"/>
      <c r="QC58"/>
      <c r="QD58"/>
      <c r="QE58"/>
      <c r="QF58"/>
      <c r="QG58"/>
      <c r="QH58"/>
      <c r="QI58"/>
      <c r="QJ58"/>
      <c r="QK58"/>
      <c r="QL58"/>
      <c r="QM58"/>
      <c r="QN58"/>
      <c r="QO58"/>
      <c r="QP58"/>
      <c r="QQ58"/>
      <c r="QR58"/>
      <c r="QS58"/>
      <c r="QT58"/>
      <c r="QU58"/>
      <c r="QV58"/>
      <c r="QW58"/>
      <c r="QX58"/>
      <c r="QY58"/>
      <c r="QZ58"/>
      <c r="RA58"/>
      <c r="RB58"/>
      <c r="RC58"/>
      <c r="RD58"/>
      <c r="RE58"/>
      <c r="RF58"/>
      <c r="RG58"/>
      <c r="RH58"/>
      <c r="RI58"/>
      <c r="RJ58"/>
      <c r="RK58"/>
      <c r="RL58"/>
      <c r="RM58"/>
      <c r="RN58"/>
      <c r="RO58"/>
      <c r="RP58"/>
      <c r="RQ58"/>
      <c r="RR58"/>
      <c r="RS58"/>
      <c r="RT58"/>
      <c r="RU58"/>
      <c r="RV58"/>
      <c r="RW58"/>
      <c r="RX58"/>
      <c r="RY58"/>
      <c r="RZ58"/>
      <c r="SA58"/>
      <c r="SB58"/>
      <c r="SC58"/>
      <c r="SD58"/>
      <c r="SE58"/>
      <c r="SF58"/>
      <c r="SG58"/>
      <c r="SH58"/>
      <c r="SI58"/>
      <c r="SJ58"/>
      <c r="SK58"/>
      <c r="SL58"/>
      <c r="SM58"/>
      <c r="SN58"/>
      <c r="SO58"/>
      <c r="SP58"/>
      <c r="SQ58"/>
      <c r="SR58"/>
      <c r="SS58"/>
      <c r="ST58"/>
      <c r="SU58"/>
      <c r="SV58"/>
      <c r="SW58"/>
      <c r="SX58"/>
      <c r="SY58"/>
      <c r="SZ58"/>
      <c r="TA58"/>
      <c r="TB58"/>
      <c r="TC58"/>
      <c r="TD58"/>
      <c r="TE58"/>
      <c r="TF58"/>
      <c r="TG58"/>
      <c r="TH58"/>
    </row>
    <row r="59" spans="1:528" x14ac:dyDescent="0.25">
      <c r="A59" s="17"/>
      <c r="B59" s="17"/>
      <c r="C59" s="17"/>
      <c r="D59" s="17"/>
      <c r="E59" s="17"/>
      <c r="F59" s="17"/>
      <c r="G59" s="17"/>
      <c r="H59" s="17"/>
      <c r="I59" s="17"/>
      <c r="J59" s="17"/>
      <c r="K59" s="17"/>
      <c r="L59" s="17"/>
      <c r="M59" s="17"/>
      <c r="N59" s="17"/>
      <c r="O59" s="17"/>
      <c r="P59" s="17"/>
      <c r="Q59" s="17"/>
      <c r="R59" s="17"/>
      <c r="S59" s="17"/>
      <c r="T59" s="17"/>
      <c r="U59" s="17"/>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c r="LL59"/>
      <c r="LM59"/>
      <c r="LN59"/>
      <c r="LO59"/>
      <c r="LP59"/>
      <c r="LQ59"/>
      <c r="LR59"/>
      <c r="LS59"/>
      <c r="LT59"/>
      <c r="LU59"/>
      <c r="LV59"/>
      <c r="LW59"/>
      <c r="LX59"/>
      <c r="LY59"/>
      <c r="LZ59"/>
      <c r="MA59"/>
      <c r="MB59"/>
      <c r="MC59"/>
      <c r="MD59"/>
      <c r="ME59"/>
      <c r="MF59"/>
      <c r="MG59"/>
      <c r="MH59"/>
      <c r="MI59"/>
      <c r="MJ59"/>
      <c r="MK59"/>
      <c r="ML59"/>
      <c r="MM59"/>
      <c r="MN59"/>
      <c r="MO59"/>
      <c r="MP59"/>
      <c r="MQ59"/>
      <c r="MR59"/>
      <c r="MS59"/>
      <c r="MT59"/>
      <c r="MU59"/>
      <c r="MV59"/>
      <c r="MW59"/>
      <c r="MX59"/>
      <c r="MY59"/>
      <c r="MZ59"/>
      <c r="NA59"/>
      <c r="NB59"/>
      <c r="NC59"/>
      <c r="ND59"/>
      <c r="NE59"/>
      <c r="NF59"/>
      <c r="NG59"/>
      <c r="NH59"/>
      <c r="NI59"/>
      <c r="NJ59"/>
      <c r="NK59"/>
      <c r="NL59"/>
      <c r="NM59"/>
      <c r="NN59"/>
      <c r="NO59"/>
      <c r="NP59"/>
      <c r="NQ59"/>
      <c r="NR59"/>
      <c r="NS59"/>
      <c r="NT59"/>
      <c r="NU59"/>
      <c r="NV59"/>
      <c r="NW59"/>
      <c r="NX59"/>
      <c r="NY59"/>
      <c r="NZ59"/>
      <c r="OA59"/>
      <c r="OB59"/>
      <c r="OC59"/>
      <c r="OD59"/>
      <c r="OE59"/>
      <c r="OF59"/>
      <c r="OG59"/>
      <c r="OH59"/>
      <c r="OI59"/>
      <c r="OJ59"/>
      <c r="OK59"/>
      <c r="OL59"/>
      <c r="OM59"/>
      <c r="ON59"/>
      <c r="OO59"/>
      <c r="OP59"/>
      <c r="OQ59"/>
      <c r="OR59"/>
      <c r="OS59"/>
      <c r="OT59"/>
      <c r="OU59"/>
      <c r="OV59"/>
      <c r="OW59"/>
      <c r="OX59"/>
      <c r="OY59"/>
      <c r="OZ59"/>
      <c r="PA59"/>
      <c r="PB59"/>
      <c r="PC59"/>
      <c r="PD59"/>
      <c r="PE59"/>
      <c r="PF59"/>
      <c r="PG59"/>
      <c r="PH59"/>
      <c r="PI59"/>
      <c r="PJ59"/>
      <c r="PK59"/>
      <c r="PL59"/>
      <c r="PM59"/>
      <c r="PN59"/>
      <c r="PO59"/>
      <c r="PP59"/>
      <c r="PQ59"/>
      <c r="PR59"/>
      <c r="PS59"/>
      <c r="PT59"/>
      <c r="PU59"/>
      <c r="PV59"/>
      <c r="PW59"/>
      <c r="PX59"/>
      <c r="PY59"/>
      <c r="PZ59"/>
      <c r="QA59"/>
      <c r="QB59"/>
      <c r="QC59"/>
      <c r="QD59"/>
      <c r="QE59"/>
      <c r="QF59"/>
      <c r="QG59"/>
      <c r="QH59"/>
      <c r="QI59"/>
      <c r="QJ59"/>
      <c r="QK59"/>
      <c r="QL59"/>
      <c r="QM59"/>
      <c r="QN59"/>
      <c r="QO59"/>
      <c r="QP59"/>
      <c r="QQ59"/>
      <c r="QR59"/>
      <c r="QS59"/>
      <c r="QT59"/>
      <c r="QU59"/>
      <c r="QV59"/>
      <c r="QW59"/>
      <c r="QX59"/>
      <c r="QY59"/>
      <c r="QZ59"/>
      <c r="RA59"/>
      <c r="RB59"/>
      <c r="RC59"/>
      <c r="RD59"/>
      <c r="RE59"/>
      <c r="RF59"/>
      <c r="RG59"/>
      <c r="RH59"/>
      <c r="RI59"/>
      <c r="RJ59"/>
      <c r="RK59"/>
      <c r="RL59"/>
      <c r="RM59"/>
      <c r="RN59"/>
      <c r="RO59"/>
      <c r="RP59"/>
      <c r="RQ59"/>
      <c r="RR59"/>
      <c r="RS59"/>
      <c r="RT59"/>
      <c r="RU59"/>
      <c r="RV59"/>
      <c r="RW59"/>
      <c r="RX59"/>
      <c r="RY59"/>
      <c r="RZ59"/>
      <c r="SA59"/>
      <c r="SB59"/>
      <c r="SC59"/>
      <c r="SD59"/>
      <c r="SE59"/>
      <c r="SF59"/>
      <c r="SG59"/>
      <c r="SH59"/>
      <c r="SI59"/>
      <c r="SJ59"/>
      <c r="SK59"/>
      <c r="SL59"/>
      <c r="SM59"/>
      <c r="SN59"/>
      <c r="SO59"/>
      <c r="SP59"/>
      <c r="SQ59"/>
      <c r="SR59"/>
      <c r="SS59"/>
      <c r="ST59"/>
      <c r="SU59"/>
      <c r="SV59"/>
      <c r="SW59"/>
      <c r="SX59"/>
      <c r="SY59"/>
      <c r="SZ59"/>
      <c r="TA59"/>
      <c r="TB59"/>
      <c r="TC59"/>
      <c r="TD59"/>
      <c r="TE59"/>
      <c r="TF59"/>
      <c r="TG59"/>
      <c r="TH59"/>
    </row>
    <row r="60" spans="1:528" x14ac:dyDescent="0.25">
      <c r="A60" s="17"/>
      <c r="B60" s="17"/>
      <c r="C60" s="17"/>
      <c r="D60" s="17"/>
      <c r="E60" s="17"/>
      <c r="F60" s="17"/>
      <c r="G60" s="17"/>
      <c r="H60" s="17"/>
      <c r="I60" s="17"/>
      <c r="J60" s="17"/>
      <c r="K60" s="17"/>
      <c r="L60" s="17"/>
      <c r="M60" s="17"/>
      <c r="N60" s="17"/>
      <c r="O60" s="17"/>
      <c r="P60" s="17"/>
      <c r="Q60" s="17"/>
      <c r="R60" s="17"/>
      <c r="S60" s="17"/>
      <c r="T60" s="17"/>
      <c r="U60" s="17"/>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c r="OT60"/>
      <c r="OU60"/>
      <c r="OV60"/>
      <c r="OW60"/>
      <c r="OX60"/>
      <c r="OY60"/>
      <c r="OZ60"/>
      <c r="PA60"/>
      <c r="PB60"/>
      <c r="PC60"/>
      <c r="PD60"/>
      <c r="PE60"/>
      <c r="PF60"/>
      <c r="PG60"/>
      <c r="PH60"/>
      <c r="PI60"/>
      <c r="PJ60"/>
      <c r="PK60"/>
      <c r="PL60"/>
      <c r="PM60"/>
      <c r="PN60"/>
      <c r="PO60"/>
      <c r="PP60"/>
      <c r="PQ60"/>
      <c r="PR60"/>
      <c r="PS60"/>
      <c r="PT60"/>
      <c r="PU60"/>
      <c r="PV60"/>
      <c r="PW60"/>
      <c r="PX60"/>
      <c r="PY60"/>
      <c r="PZ60"/>
      <c r="QA60"/>
      <c r="QB60"/>
      <c r="QC60"/>
      <c r="QD60"/>
      <c r="QE60"/>
      <c r="QF60"/>
      <c r="QG60"/>
      <c r="QH60"/>
      <c r="QI60"/>
      <c r="QJ60"/>
      <c r="QK60"/>
      <c r="QL60"/>
      <c r="QM60"/>
      <c r="QN60"/>
      <c r="QO60"/>
      <c r="QP60"/>
      <c r="QQ60"/>
      <c r="QR60"/>
      <c r="QS60"/>
      <c r="QT60"/>
      <c r="QU60"/>
      <c r="QV60"/>
      <c r="QW60"/>
      <c r="QX60"/>
      <c r="QY60"/>
      <c r="QZ60"/>
      <c r="RA60"/>
      <c r="RB60"/>
      <c r="RC60"/>
      <c r="RD60"/>
      <c r="RE60"/>
      <c r="RF60"/>
      <c r="RG60"/>
      <c r="RH60"/>
      <c r="RI60"/>
      <c r="RJ60"/>
      <c r="RK60"/>
      <c r="RL60"/>
      <c r="RM60"/>
      <c r="RN60"/>
      <c r="RO60"/>
      <c r="RP60"/>
      <c r="RQ60"/>
      <c r="RR60"/>
      <c r="RS60"/>
      <c r="RT60"/>
      <c r="RU60"/>
      <c r="RV60"/>
      <c r="RW60"/>
      <c r="RX60"/>
      <c r="RY60"/>
      <c r="RZ60"/>
      <c r="SA60"/>
      <c r="SB60"/>
      <c r="SC60"/>
      <c r="SD60"/>
      <c r="SE60"/>
      <c r="SF60"/>
      <c r="SG60"/>
      <c r="SH60"/>
      <c r="SI60"/>
      <c r="SJ60"/>
      <c r="SK60"/>
      <c r="SL60"/>
      <c r="SM60"/>
      <c r="SN60"/>
      <c r="SO60"/>
      <c r="SP60"/>
      <c r="SQ60"/>
      <c r="SR60"/>
      <c r="SS60"/>
      <c r="ST60"/>
      <c r="SU60"/>
      <c r="SV60"/>
      <c r="SW60"/>
      <c r="SX60"/>
      <c r="SY60"/>
      <c r="SZ60"/>
      <c r="TA60"/>
      <c r="TB60"/>
      <c r="TC60"/>
      <c r="TD60"/>
      <c r="TE60"/>
      <c r="TF60"/>
      <c r="TG60"/>
      <c r="TH60"/>
    </row>
    <row r="61" spans="1:528" x14ac:dyDescent="0.25">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c r="KT61"/>
      <c r="KU61"/>
      <c r="KV61"/>
      <c r="KW61"/>
      <c r="KX61"/>
      <c r="KY61"/>
      <c r="KZ61"/>
      <c r="LA61"/>
      <c r="LB61"/>
      <c r="LC61"/>
      <c r="LD61"/>
      <c r="LE61"/>
      <c r="LF61"/>
      <c r="LG61"/>
      <c r="LH61"/>
      <c r="LI61"/>
      <c r="LJ61"/>
      <c r="LK61"/>
      <c r="LL61"/>
      <c r="LM61"/>
      <c r="LN61"/>
      <c r="LO61"/>
      <c r="LP61"/>
      <c r="LQ61"/>
      <c r="LR61"/>
      <c r="LS61"/>
      <c r="LT61"/>
      <c r="LU61"/>
      <c r="LV61"/>
      <c r="LW61"/>
      <c r="LX61"/>
      <c r="LY61"/>
      <c r="LZ61"/>
      <c r="MA61"/>
      <c r="MB61"/>
      <c r="MC61"/>
      <c r="MD61"/>
      <c r="ME61"/>
      <c r="MF61"/>
      <c r="MG61"/>
      <c r="MH61"/>
      <c r="MI61"/>
      <c r="MJ61"/>
      <c r="MK61"/>
      <c r="ML61"/>
      <c r="MM61"/>
      <c r="MN61"/>
      <c r="MO61"/>
      <c r="MP61"/>
      <c r="MQ61"/>
      <c r="MR61"/>
      <c r="MS61"/>
      <c r="MT61"/>
      <c r="MU61"/>
      <c r="MV61"/>
      <c r="MW61"/>
      <c r="MX61"/>
      <c r="MY61"/>
      <c r="MZ61"/>
      <c r="NA61"/>
      <c r="NB61"/>
      <c r="NC61"/>
      <c r="ND61"/>
      <c r="NE61"/>
      <c r="NF61"/>
      <c r="NG61"/>
      <c r="NH61"/>
      <c r="NI61"/>
      <c r="NJ61"/>
      <c r="NK61"/>
      <c r="NL61"/>
      <c r="NM61"/>
      <c r="NN61"/>
      <c r="NO61"/>
      <c r="NP61"/>
      <c r="NQ61"/>
      <c r="NR61"/>
      <c r="NS61"/>
      <c r="NT61"/>
      <c r="NU61"/>
      <c r="NV61"/>
      <c r="NW61"/>
      <c r="NX61"/>
      <c r="NY61"/>
      <c r="NZ61"/>
      <c r="OA61"/>
      <c r="OB61"/>
      <c r="OC61"/>
      <c r="OD61"/>
      <c r="OE61"/>
      <c r="OF61"/>
      <c r="OG61"/>
      <c r="OH61"/>
      <c r="OI61"/>
      <c r="OJ61"/>
      <c r="OK61"/>
      <c r="OL61"/>
      <c r="OM61"/>
      <c r="ON61"/>
      <c r="OO61"/>
      <c r="OP61"/>
      <c r="OQ61"/>
      <c r="OR61"/>
      <c r="OS61"/>
      <c r="OT61"/>
      <c r="OU61"/>
      <c r="OV61"/>
      <c r="OW61"/>
      <c r="OX61"/>
      <c r="OY61"/>
      <c r="OZ61"/>
      <c r="PA61"/>
      <c r="PB61"/>
      <c r="PC61"/>
      <c r="PD61"/>
      <c r="PE61"/>
      <c r="PF61"/>
      <c r="PG61"/>
      <c r="PH61"/>
      <c r="PI61"/>
      <c r="PJ61"/>
      <c r="PK61"/>
      <c r="PL61"/>
      <c r="PM61"/>
      <c r="PN61"/>
      <c r="PO61"/>
      <c r="PP61"/>
      <c r="PQ61"/>
      <c r="PR61"/>
      <c r="PS61"/>
      <c r="PT61"/>
      <c r="PU61"/>
      <c r="PV61"/>
      <c r="PW61"/>
      <c r="PX61"/>
      <c r="PY61"/>
      <c r="PZ61"/>
      <c r="QA61"/>
      <c r="QB61"/>
      <c r="QC61"/>
      <c r="QD61"/>
      <c r="QE61"/>
      <c r="QF61"/>
      <c r="QG61"/>
      <c r="QH61"/>
      <c r="QI61"/>
      <c r="QJ61"/>
      <c r="QK61"/>
      <c r="QL61"/>
      <c r="QM61"/>
      <c r="QN61"/>
      <c r="QO61"/>
      <c r="QP61"/>
      <c r="QQ61"/>
      <c r="QR61"/>
      <c r="QS61"/>
      <c r="QT61"/>
      <c r="QU61"/>
      <c r="QV61"/>
      <c r="QW61"/>
      <c r="QX61"/>
      <c r="QY61"/>
      <c r="QZ61"/>
      <c r="RA61"/>
      <c r="RB61"/>
      <c r="RC61"/>
      <c r="RD61"/>
      <c r="RE61"/>
      <c r="RF61"/>
      <c r="RG61"/>
      <c r="RH61"/>
      <c r="RI61"/>
      <c r="RJ61"/>
      <c r="RK61"/>
      <c r="RL61"/>
      <c r="RM61"/>
      <c r="RN61"/>
      <c r="RO61"/>
      <c r="RP61"/>
      <c r="RQ61"/>
      <c r="RR61"/>
      <c r="RS61"/>
      <c r="RT61"/>
      <c r="RU61"/>
      <c r="RV61"/>
      <c r="RW61"/>
      <c r="RX61"/>
      <c r="RY61"/>
      <c r="RZ61"/>
      <c r="SA61"/>
      <c r="SB61"/>
      <c r="SC61"/>
      <c r="SD61"/>
      <c r="SE61"/>
      <c r="SF61"/>
      <c r="SG61"/>
      <c r="SH61"/>
      <c r="SI61"/>
      <c r="SJ61"/>
      <c r="SK61"/>
      <c r="SL61"/>
      <c r="SM61"/>
      <c r="SN61"/>
      <c r="SO61"/>
      <c r="SP61"/>
      <c r="SQ61"/>
      <c r="SR61"/>
      <c r="SS61"/>
      <c r="ST61"/>
      <c r="SU61"/>
      <c r="SV61"/>
      <c r="SW61"/>
      <c r="SX61"/>
      <c r="SY61"/>
      <c r="SZ61"/>
      <c r="TA61"/>
      <c r="TB61"/>
      <c r="TC61"/>
      <c r="TD61"/>
      <c r="TE61"/>
      <c r="TF61"/>
      <c r="TG61"/>
      <c r="TH61"/>
    </row>
    <row r="62" spans="1:528" x14ac:dyDescent="0.25">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c r="KT62"/>
      <c r="KU62"/>
      <c r="KV62"/>
      <c r="KW62"/>
      <c r="KX62"/>
      <c r="KY62"/>
      <c r="KZ62"/>
      <c r="LA62"/>
      <c r="LB62"/>
      <c r="LC62"/>
      <c r="LD62"/>
      <c r="LE62"/>
      <c r="LF62"/>
      <c r="LG62"/>
      <c r="LH62"/>
      <c r="LI62"/>
      <c r="LJ62"/>
      <c r="LK62"/>
      <c r="LL62"/>
      <c r="LM62"/>
      <c r="LN62"/>
      <c r="LO62"/>
      <c r="LP62"/>
      <c r="LQ62"/>
      <c r="LR62"/>
      <c r="LS62"/>
      <c r="LT62"/>
      <c r="LU62"/>
      <c r="LV62"/>
      <c r="LW62"/>
      <c r="LX62"/>
      <c r="LY62"/>
      <c r="LZ62"/>
      <c r="MA62"/>
      <c r="MB62"/>
      <c r="MC62"/>
      <c r="MD62"/>
      <c r="ME62"/>
      <c r="MF62"/>
      <c r="MG62"/>
      <c r="MH62"/>
      <c r="MI62"/>
      <c r="MJ62"/>
      <c r="MK62"/>
      <c r="ML62"/>
      <c r="MM62"/>
      <c r="MN62"/>
      <c r="MO62"/>
      <c r="MP62"/>
      <c r="MQ62"/>
      <c r="MR62"/>
      <c r="MS62"/>
      <c r="MT62"/>
      <c r="MU62"/>
      <c r="MV62"/>
      <c r="MW62"/>
      <c r="MX62"/>
      <c r="MY62"/>
      <c r="MZ62"/>
      <c r="NA62"/>
      <c r="NB62"/>
      <c r="NC62"/>
      <c r="ND62"/>
      <c r="NE62"/>
      <c r="NF62"/>
      <c r="NG62"/>
      <c r="NH62"/>
      <c r="NI62"/>
      <c r="NJ62"/>
      <c r="NK62"/>
      <c r="NL62"/>
      <c r="NM62"/>
      <c r="NN62"/>
      <c r="NO62"/>
      <c r="NP62"/>
      <c r="NQ62"/>
      <c r="NR62"/>
      <c r="NS62"/>
      <c r="NT62"/>
      <c r="NU62"/>
      <c r="NV62"/>
      <c r="NW62"/>
      <c r="NX62"/>
      <c r="NY62"/>
      <c r="NZ62"/>
      <c r="OA62"/>
      <c r="OB62"/>
      <c r="OC62"/>
      <c r="OD62"/>
      <c r="OE62"/>
      <c r="OF62"/>
      <c r="OG62"/>
      <c r="OH62"/>
      <c r="OI62"/>
      <c r="OJ62"/>
      <c r="OK62"/>
      <c r="OL62"/>
      <c r="OM62"/>
      <c r="ON62"/>
      <c r="OO62"/>
      <c r="OP62"/>
      <c r="OQ62"/>
      <c r="OR62"/>
      <c r="OS62"/>
      <c r="OT62"/>
      <c r="OU62"/>
      <c r="OV62"/>
      <c r="OW62"/>
      <c r="OX62"/>
      <c r="OY62"/>
      <c r="OZ62"/>
      <c r="PA62"/>
      <c r="PB62"/>
      <c r="PC62"/>
      <c r="PD62"/>
      <c r="PE62"/>
      <c r="PF62"/>
      <c r="PG62"/>
      <c r="PH62"/>
      <c r="PI62"/>
      <c r="PJ62"/>
      <c r="PK62"/>
      <c r="PL62"/>
      <c r="PM62"/>
      <c r="PN62"/>
      <c r="PO62"/>
      <c r="PP62"/>
      <c r="PQ62"/>
      <c r="PR62"/>
      <c r="PS62"/>
      <c r="PT62"/>
      <c r="PU62"/>
      <c r="PV62"/>
      <c r="PW62"/>
      <c r="PX62"/>
      <c r="PY62"/>
      <c r="PZ62"/>
      <c r="QA62"/>
      <c r="QB62"/>
      <c r="QC62"/>
      <c r="QD62"/>
      <c r="QE62"/>
      <c r="QF62"/>
      <c r="QG62"/>
      <c r="QH62"/>
      <c r="QI62"/>
      <c r="QJ62"/>
      <c r="QK62"/>
      <c r="QL62"/>
      <c r="QM62"/>
      <c r="QN62"/>
      <c r="QO62"/>
      <c r="QP62"/>
      <c r="QQ62"/>
      <c r="QR62"/>
      <c r="QS62"/>
      <c r="QT62"/>
      <c r="QU62"/>
      <c r="QV62"/>
      <c r="QW62"/>
      <c r="QX62"/>
      <c r="QY62"/>
      <c r="QZ62"/>
      <c r="RA62"/>
      <c r="RB62"/>
      <c r="RC62"/>
      <c r="RD62"/>
      <c r="RE62"/>
      <c r="RF62"/>
      <c r="RG62"/>
      <c r="RH62"/>
      <c r="RI62"/>
      <c r="RJ62"/>
      <c r="RK62"/>
      <c r="RL62"/>
      <c r="RM62"/>
      <c r="RN62"/>
      <c r="RO62"/>
      <c r="RP62"/>
      <c r="RQ62"/>
      <c r="RR62"/>
      <c r="RS62"/>
      <c r="RT62"/>
      <c r="RU62"/>
      <c r="RV62"/>
      <c r="RW62"/>
      <c r="RX62"/>
      <c r="RY62"/>
      <c r="RZ62"/>
      <c r="SA62"/>
      <c r="SB62"/>
      <c r="SC62"/>
      <c r="SD62"/>
      <c r="SE62"/>
      <c r="SF62"/>
      <c r="SG62"/>
      <c r="SH62"/>
      <c r="SI62"/>
      <c r="SJ62"/>
      <c r="SK62"/>
      <c r="SL62"/>
      <c r="SM62"/>
      <c r="SN62"/>
      <c r="SO62"/>
      <c r="SP62"/>
      <c r="SQ62"/>
      <c r="SR62"/>
      <c r="SS62"/>
      <c r="ST62"/>
      <c r="SU62"/>
      <c r="SV62"/>
      <c r="SW62"/>
      <c r="SX62"/>
      <c r="SY62"/>
      <c r="SZ62"/>
      <c r="TA62"/>
      <c r="TB62"/>
      <c r="TC62"/>
      <c r="TD62"/>
      <c r="TE62"/>
      <c r="TF62"/>
      <c r="TG62"/>
      <c r="TH62"/>
    </row>
    <row r="63" spans="1:528" x14ac:dyDescent="0.25">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c r="KT63"/>
      <c r="KU63"/>
      <c r="KV63"/>
      <c r="KW63"/>
      <c r="KX63"/>
      <c r="KY63"/>
      <c r="KZ63"/>
      <c r="LA63"/>
      <c r="LB63"/>
      <c r="LC63"/>
      <c r="LD63"/>
      <c r="LE63"/>
      <c r="LF63"/>
      <c r="LG63"/>
      <c r="LH63"/>
      <c r="LI63"/>
      <c r="LJ63"/>
      <c r="LK63"/>
      <c r="LL63"/>
      <c r="LM63"/>
      <c r="LN63"/>
      <c r="LO63"/>
      <c r="LP63"/>
      <c r="LQ63"/>
      <c r="LR63"/>
      <c r="LS63"/>
      <c r="LT63"/>
      <c r="LU63"/>
      <c r="LV63"/>
      <c r="LW63"/>
      <c r="LX63"/>
      <c r="LY63"/>
      <c r="LZ63"/>
      <c r="MA63"/>
      <c r="MB63"/>
      <c r="MC63"/>
      <c r="MD63"/>
      <c r="ME63"/>
      <c r="MF63"/>
      <c r="MG63"/>
      <c r="MH63"/>
      <c r="MI63"/>
      <c r="MJ63"/>
      <c r="MK63"/>
      <c r="ML63"/>
      <c r="MM63"/>
      <c r="MN63"/>
      <c r="MO63"/>
      <c r="MP63"/>
      <c r="MQ63"/>
      <c r="MR63"/>
      <c r="MS63"/>
      <c r="MT63"/>
      <c r="MU63"/>
      <c r="MV63"/>
      <c r="MW63"/>
      <c r="MX63"/>
      <c r="MY63"/>
      <c r="MZ63"/>
      <c r="NA63"/>
      <c r="NB63"/>
      <c r="NC63"/>
      <c r="ND63"/>
      <c r="NE63"/>
      <c r="NF63"/>
      <c r="NG63"/>
      <c r="NH63"/>
      <c r="NI63"/>
      <c r="NJ63"/>
      <c r="NK63"/>
      <c r="NL63"/>
      <c r="NM63"/>
      <c r="NN63"/>
      <c r="NO63"/>
      <c r="NP63"/>
      <c r="NQ63"/>
      <c r="NR63"/>
      <c r="NS63"/>
      <c r="NT63"/>
      <c r="NU63"/>
      <c r="NV63"/>
      <c r="NW63"/>
      <c r="NX63"/>
      <c r="NY63"/>
      <c r="NZ63"/>
      <c r="OA63"/>
      <c r="OB63"/>
      <c r="OC63"/>
      <c r="OD63"/>
      <c r="OE63"/>
      <c r="OF63"/>
      <c r="OG63"/>
      <c r="OH63"/>
      <c r="OI63"/>
      <c r="OJ63"/>
      <c r="OK63"/>
      <c r="OL63"/>
      <c r="OM63"/>
      <c r="ON63"/>
      <c r="OO63"/>
      <c r="OP63"/>
      <c r="OQ63"/>
      <c r="OR63"/>
      <c r="OS63"/>
      <c r="OT63"/>
      <c r="OU63"/>
      <c r="OV63"/>
      <c r="OW63"/>
      <c r="OX63"/>
      <c r="OY63"/>
      <c r="OZ63"/>
      <c r="PA63"/>
      <c r="PB63"/>
      <c r="PC63"/>
      <c r="PD63"/>
      <c r="PE63"/>
      <c r="PF63"/>
      <c r="PG63"/>
      <c r="PH63"/>
      <c r="PI63"/>
      <c r="PJ63"/>
      <c r="PK63"/>
      <c r="PL63"/>
      <c r="PM63"/>
      <c r="PN63"/>
      <c r="PO63"/>
      <c r="PP63"/>
      <c r="PQ63"/>
      <c r="PR63"/>
      <c r="PS63"/>
      <c r="PT63"/>
      <c r="PU63"/>
      <c r="PV63"/>
      <c r="PW63"/>
      <c r="PX63"/>
      <c r="PY63"/>
      <c r="PZ63"/>
      <c r="QA63"/>
      <c r="QB63"/>
      <c r="QC63"/>
      <c r="QD63"/>
      <c r="QE63"/>
      <c r="QF63"/>
      <c r="QG63"/>
      <c r="QH63"/>
      <c r="QI63"/>
      <c r="QJ63"/>
      <c r="QK63"/>
      <c r="QL63"/>
      <c r="QM63"/>
      <c r="QN63"/>
      <c r="QO63"/>
      <c r="QP63"/>
      <c r="QQ63"/>
      <c r="QR63"/>
      <c r="QS63"/>
      <c r="QT63"/>
      <c r="QU63"/>
      <c r="QV63"/>
      <c r="QW63"/>
      <c r="QX63"/>
      <c r="QY63"/>
      <c r="QZ63"/>
      <c r="RA63"/>
      <c r="RB63"/>
      <c r="RC63"/>
      <c r="RD63"/>
      <c r="RE63"/>
      <c r="RF63"/>
      <c r="RG63"/>
      <c r="RH63"/>
      <c r="RI63"/>
      <c r="RJ63"/>
      <c r="RK63"/>
      <c r="RL63"/>
      <c r="RM63"/>
      <c r="RN63"/>
      <c r="RO63"/>
      <c r="RP63"/>
      <c r="RQ63"/>
      <c r="RR63"/>
      <c r="RS63"/>
      <c r="RT63"/>
      <c r="RU63"/>
      <c r="RV63"/>
      <c r="RW63"/>
      <c r="RX63"/>
      <c r="RY63"/>
      <c r="RZ63"/>
      <c r="SA63"/>
      <c r="SB63"/>
      <c r="SC63"/>
      <c r="SD63"/>
      <c r="SE63"/>
      <c r="SF63"/>
      <c r="SG63"/>
      <c r="SH63"/>
      <c r="SI63"/>
      <c r="SJ63"/>
      <c r="SK63"/>
      <c r="SL63"/>
      <c r="SM63"/>
      <c r="SN63"/>
      <c r="SO63"/>
      <c r="SP63"/>
      <c r="SQ63"/>
      <c r="SR63"/>
      <c r="SS63"/>
      <c r="ST63"/>
      <c r="SU63"/>
      <c r="SV63"/>
      <c r="SW63"/>
      <c r="SX63"/>
      <c r="SY63"/>
      <c r="SZ63"/>
      <c r="TA63"/>
      <c r="TB63"/>
      <c r="TC63"/>
      <c r="TD63"/>
      <c r="TE63"/>
      <c r="TF63"/>
      <c r="TG63"/>
      <c r="TH63"/>
    </row>
    <row r="64" spans="1:528" x14ac:dyDescent="0.25">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c r="KT64"/>
      <c r="KU64"/>
      <c r="KV64"/>
      <c r="KW64"/>
      <c r="KX64"/>
      <c r="KY64"/>
      <c r="KZ64"/>
      <c r="LA64"/>
      <c r="LB64"/>
      <c r="LC64"/>
      <c r="LD64"/>
      <c r="LE64"/>
      <c r="LF64"/>
      <c r="LG64"/>
      <c r="LH64"/>
      <c r="LI64"/>
      <c r="LJ64"/>
      <c r="LK64"/>
      <c r="LL64"/>
      <c r="LM64"/>
      <c r="LN64"/>
      <c r="LO64"/>
      <c r="LP64"/>
      <c r="LQ64"/>
      <c r="LR64"/>
      <c r="LS64"/>
      <c r="LT64"/>
      <c r="LU64"/>
      <c r="LV64"/>
      <c r="LW64"/>
      <c r="LX64"/>
      <c r="LY64"/>
      <c r="LZ64"/>
      <c r="MA64"/>
      <c r="MB64"/>
      <c r="MC64"/>
      <c r="MD64"/>
      <c r="ME64"/>
      <c r="MF64"/>
      <c r="MG64"/>
      <c r="MH64"/>
      <c r="MI64"/>
      <c r="MJ64"/>
      <c r="MK64"/>
      <c r="ML64"/>
      <c r="MM64"/>
      <c r="MN64"/>
      <c r="MO64"/>
      <c r="MP64"/>
      <c r="MQ64"/>
      <c r="MR64"/>
      <c r="MS64"/>
      <c r="MT64"/>
      <c r="MU64"/>
      <c r="MV64"/>
      <c r="MW64"/>
      <c r="MX64"/>
      <c r="MY64"/>
      <c r="MZ64"/>
      <c r="NA64"/>
      <c r="NB64"/>
      <c r="NC64"/>
      <c r="ND64"/>
      <c r="NE64"/>
      <c r="NF64"/>
      <c r="NG64"/>
      <c r="NH64"/>
      <c r="NI64"/>
      <c r="NJ64"/>
      <c r="NK64"/>
      <c r="NL64"/>
      <c r="NM64"/>
      <c r="NN64"/>
      <c r="NO64"/>
      <c r="NP64"/>
      <c r="NQ64"/>
      <c r="NR64"/>
      <c r="NS64"/>
      <c r="NT64"/>
      <c r="NU64"/>
      <c r="NV64"/>
      <c r="NW64"/>
      <c r="NX64"/>
      <c r="NY64"/>
      <c r="NZ64"/>
      <c r="OA64"/>
      <c r="OB64"/>
      <c r="OC64"/>
      <c r="OD64"/>
      <c r="OE64"/>
      <c r="OF64"/>
      <c r="OG64"/>
      <c r="OH64"/>
      <c r="OI64"/>
      <c r="OJ64"/>
      <c r="OK64"/>
      <c r="OL64"/>
      <c r="OM64"/>
      <c r="ON64"/>
      <c r="OO64"/>
      <c r="OP64"/>
      <c r="OQ64"/>
      <c r="OR64"/>
      <c r="OS64"/>
      <c r="OT64"/>
      <c r="OU64"/>
      <c r="OV64"/>
      <c r="OW64"/>
      <c r="OX64"/>
      <c r="OY64"/>
      <c r="OZ64"/>
      <c r="PA64"/>
      <c r="PB64"/>
      <c r="PC64"/>
      <c r="PD64"/>
      <c r="PE64"/>
      <c r="PF64"/>
      <c r="PG64"/>
      <c r="PH64"/>
      <c r="PI64"/>
      <c r="PJ64"/>
      <c r="PK64"/>
      <c r="PL64"/>
      <c r="PM64"/>
      <c r="PN64"/>
      <c r="PO64"/>
      <c r="PP64"/>
      <c r="PQ64"/>
      <c r="PR64"/>
      <c r="PS64"/>
      <c r="PT64"/>
      <c r="PU64"/>
      <c r="PV64"/>
      <c r="PW64"/>
      <c r="PX64"/>
      <c r="PY64"/>
      <c r="PZ64"/>
      <c r="QA64"/>
      <c r="QB64"/>
      <c r="QC64"/>
      <c r="QD64"/>
      <c r="QE64"/>
      <c r="QF64"/>
      <c r="QG64"/>
      <c r="QH64"/>
      <c r="QI64"/>
      <c r="QJ64"/>
      <c r="QK64"/>
      <c r="QL64"/>
      <c r="QM64"/>
      <c r="QN64"/>
      <c r="QO64"/>
      <c r="QP64"/>
      <c r="QQ64"/>
      <c r="QR64"/>
      <c r="QS64"/>
      <c r="QT64"/>
      <c r="QU64"/>
      <c r="QV64"/>
      <c r="QW64"/>
      <c r="QX64"/>
      <c r="QY64"/>
      <c r="QZ64"/>
      <c r="RA64"/>
      <c r="RB64"/>
      <c r="RC64"/>
      <c r="RD64"/>
      <c r="RE64"/>
      <c r="RF64"/>
      <c r="RG64"/>
      <c r="RH64"/>
      <c r="RI64"/>
      <c r="RJ64"/>
      <c r="RK64"/>
      <c r="RL64"/>
      <c r="RM64"/>
      <c r="RN64"/>
      <c r="RO64"/>
      <c r="RP64"/>
      <c r="RQ64"/>
      <c r="RR64"/>
      <c r="RS64"/>
      <c r="RT64"/>
      <c r="RU64"/>
      <c r="RV64"/>
      <c r="RW64"/>
      <c r="RX64"/>
      <c r="RY64"/>
      <c r="RZ64"/>
      <c r="SA64"/>
      <c r="SB64"/>
      <c r="SC64"/>
      <c r="SD64"/>
      <c r="SE64"/>
      <c r="SF64"/>
      <c r="SG64"/>
      <c r="SH64"/>
      <c r="SI64"/>
      <c r="SJ64"/>
      <c r="SK64"/>
      <c r="SL64"/>
      <c r="SM64"/>
      <c r="SN64"/>
      <c r="SO64"/>
      <c r="SP64"/>
      <c r="SQ64"/>
      <c r="SR64"/>
      <c r="SS64"/>
      <c r="ST64"/>
      <c r="SU64"/>
      <c r="SV64"/>
      <c r="SW64"/>
      <c r="SX64"/>
      <c r="SY64"/>
      <c r="SZ64"/>
      <c r="TA64"/>
      <c r="TB64"/>
      <c r="TC64"/>
      <c r="TD64"/>
      <c r="TE64"/>
      <c r="TF64"/>
      <c r="TG64"/>
      <c r="TH64"/>
    </row>
    <row r="65" spans="3:528" x14ac:dyDescent="0.2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row>
    <row r="66" spans="3:528" x14ac:dyDescent="0.25">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c r="KT66"/>
      <c r="KU66"/>
      <c r="KV66"/>
      <c r="KW66"/>
      <c r="KX66"/>
      <c r="KY66"/>
      <c r="KZ66"/>
      <c r="LA66"/>
      <c r="LB66"/>
      <c r="LC66"/>
      <c r="LD66"/>
      <c r="LE66"/>
      <c r="LF66"/>
      <c r="LG66"/>
      <c r="LH66"/>
      <c r="LI66"/>
      <c r="LJ66"/>
      <c r="LK66"/>
      <c r="LL66"/>
      <c r="LM66"/>
      <c r="LN66"/>
      <c r="LO66"/>
      <c r="LP66"/>
      <c r="LQ66"/>
      <c r="LR66"/>
      <c r="LS66"/>
      <c r="LT66"/>
      <c r="LU66"/>
      <c r="LV66"/>
      <c r="LW66"/>
      <c r="LX66"/>
      <c r="LY66"/>
      <c r="LZ66"/>
      <c r="MA66"/>
      <c r="MB66"/>
      <c r="MC66"/>
      <c r="MD66"/>
      <c r="ME66"/>
      <c r="MF66"/>
      <c r="MG66"/>
      <c r="MH66"/>
      <c r="MI66"/>
      <c r="MJ66"/>
      <c r="MK66"/>
      <c r="ML66"/>
      <c r="MM66"/>
      <c r="MN66"/>
      <c r="MO66"/>
      <c r="MP66"/>
      <c r="MQ66"/>
      <c r="MR66"/>
      <c r="MS66"/>
      <c r="MT66"/>
      <c r="MU66"/>
      <c r="MV66"/>
      <c r="MW66"/>
      <c r="MX66"/>
      <c r="MY66"/>
      <c r="MZ66"/>
      <c r="NA66"/>
      <c r="NB66"/>
      <c r="NC66"/>
      <c r="ND66"/>
      <c r="NE66"/>
      <c r="NF66"/>
      <c r="NG66"/>
      <c r="NH66"/>
      <c r="NI66"/>
      <c r="NJ66"/>
      <c r="NK66"/>
      <c r="NL66"/>
      <c r="NM66"/>
      <c r="NN66"/>
      <c r="NO66"/>
      <c r="NP66"/>
      <c r="NQ66"/>
      <c r="NR66"/>
      <c r="NS66"/>
      <c r="NT66"/>
      <c r="NU66"/>
      <c r="NV66"/>
      <c r="NW66"/>
      <c r="NX66"/>
      <c r="NY66"/>
      <c r="NZ66"/>
      <c r="OA66"/>
      <c r="OB66"/>
      <c r="OC66"/>
      <c r="OD66"/>
      <c r="OE66"/>
      <c r="OF66"/>
      <c r="OG66"/>
      <c r="OH66"/>
      <c r="OI66"/>
      <c r="OJ66"/>
      <c r="OK66"/>
      <c r="OL66"/>
      <c r="OM66"/>
      <c r="ON66"/>
      <c r="OO66"/>
      <c r="OP66"/>
      <c r="OQ66"/>
      <c r="OR66"/>
      <c r="OS66"/>
      <c r="OT66"/>
      <c r="OU66"/>
      <c r="OV66"/>
      <c r="OW66"/>
      <c r="OX66"/>
      <c r="OY66"/>
      <c r="OZ66"/>
      <c r="PA66"/>
      <c r="PB66"/>
      <c r="PC66"/>
      <c r="PD66"/>
      <c r="PE66"/>
      <c r="PF66"/>
      <c r="PG66"/>
      <c r="PH66"/>
      <c r="PI66"/>
      <c r="PJ66"/>
      <c r="PK66"/>
      <c r="PL66"/>
      <c r="PM66"/>
      <c r="PN66"/>
      <c r="PO66"/>
      <c r="PP66"/>
      <c r="PQ66"/>
      <c r="PR66"/>
      <c r="PS66"/>
      <c r="PT66"/>
      <c r="PU66"/>
      <c r="PV66"/>
      <c r="PW66"/>
      <c r="PX66"/>
      <c r="PY66"/>
      <c r="PZ66"/>
      <c r="QA66"/>
      <c r="QB66"/>
      <c r="QC66"/>
      <c r="QD66"/>
      <c r="QE66"/>
      <c r="QF66"/>
      <c r="QG66"/>
      <c r="QH66"/>
      <c r="QI66"/>
      <c r="QJ66"/>
      <c r="QK66"/>
      <c r="QL66"/>
      <c r="QM66"/>
      <c r="QN66"/>
      <c r="QO66"/>
      <c r="QP66"/>
      <c r="QQ66"/>
      <c r="QR66"/>
      <c r="QS66"/>
      <c r="QT66"/>
      <c r="QU66"/>
      <c r="QV66"/>
      <c r="QW66"/>
      <c r="QX66"/>
      <c r="QY66"/>
      <c r="QZ66"/>
      <c r="RA66"/>
      <c r="RB66"/>
      <c r="RC66"/>
      <c r="RD66"/>
      <c r="RE66"/>
      <c r="RF66"/>
      <c r="RG66"/>
      <c r="RH66"/>
      <c r="RI66"/>
      <c r="RJ66"/>
      <c r="RK66"/>
      <c r="RL66"/>
      <c r="RM66"/>
      <c r="RN66"/>
      <c r="RO66"/>
      <c r="RP66"/>
      <c r="RQ66"/>
      <c r="RR66"/>
      <c r="RS66"/>
      <c r="RT66"/>
      <c r="RU66"/>
      <c r="RV66"/>
      <c r="RW66"/>
      <c r="RX66"/>
      <c r="RY66"/>
      <c r="RZ66"/>
      <c r="SA66"/>
      <c r="SB66"/>
      <c r="SC66"/>
      <c r="SD66"/>
      <c r="SE66"/>
      <c r="SF66"/>
      <c r="SG66"/>
      <c r="SH66"/>
      <c r="SI66"/>
      <c r="SJ66"/>
      <c r="SK66"/>
      <c r="SL66"/>
      <c r="SM66"/>
      <c r="SN66"/>
      <c r="SO66"/>
      <c r="SP66"/>
      <c r="SQ66"/>
      <c r="SR66"/>
      <c r="SS66"/>
      <c r="ST66"/>
      <c r="SU66"/>
      <c r="SV66"/>
      <c r="SW66"/>
      <c r="SX66"/>
      <c r="SY66"/>
      <c r="SZ66"/>
      <c r="TA66"/>
      <c r="TB66"/>
      <c r="TC66"/>
      <c r="TD66"/>
      <c r="TE66"/>
      <c r="TF66"/>
      <c r="TG66"/>
      <c r="TH66"/>
    </row>
    <row r="67" spans="3:528" ht="15" customHeight="1" x14ac:dyDescent="0.25">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c r="KT67"/>
      <c r="KU67"/>
      <c r="KV67"/>
      <c r="KW67"/>
      <c r="KX67"/>
      <c r="KY67"/>
      <c r="KZ67"/>
      <c r="LA67"/>
      <c r="LB67"/>
      <c r="LC67"/>
      <c r="LD67"/>
      <c r="LE67"/>
      <c r="LF67"/>
      <c r="LG67"/>
      <c r="LH67"/>
      <c r="LI67"/>
      <c r="LJ67"/>
      <c r="LK67"/>
      <c r="LL67"/>
      <c r="LM67"/>
      <c r="LN67"/>
      <c r="LO67"/>
      <c r="LP67"/>
      <c r="LQ67"/>
      <c r="LR67"/>
      <c r="LS67"/>
      <c r="LT67"/>
      <c r="LU67"/>
      <c r="LV67"/>
      <c r="LW67"/>
      <c r="LX67"/>
      <c r="LY67"/>
      <c r="LZ67"/>
      <c r="MA67"/>
      <c r="MB67"/>
      <c r="MC67"/>
      <c r="MD67"/>
      <c r="ME67"/>
      <c r="MF67"/>
      <c r="MG67"/>
      <c r="MH67"/>
      <c r="MI67"/>
      <c r="MJ67"/>
      <c r="MK67"/>
      <c r="ML67"/>
      <c r="MM67"/>
      <c r="MN67"/>
      <c r="MO67"/>
      <c r="MP67"/>
      <c r="MQ67"/>
      <c r="MR67"/>
      <c r="MS67"/>
      <c r="MT67"/>
      <c r="MU67"/>
      <c r="MV67"/>
      <c r="MW67"/>
      <c r="MX67"/>
      <c r="MY67"/>
      <c r="MZ67"/>
      <c r="NA67"/>
      <c r="NB67"/>
      <c r="NC67"/>
      <c r="ND67"/>
      <c r="NE67"/>
      <c r="NF67"/>
      <c r="NG67"/>
      <c r="NH67"/>
      <c r="NI67"/>
      <c r="NJ67"/>
      <c r="NK67"/>
      <c r="NL67"/>
      <c r="NM67"/>
      <c r="NN67"/>
      <c r="NO67"/>
      <c r="NP67"/>
      <c r="NQ67"/>
      <c r="NR67"/>
      <c r="NS67"/>
      <c r="NT67"/>
      <c r="NU67"/>
      <c r="NV67"/>
      <c r="NW67"/>
      <c r="NX67"/>
      <c r="NY67"/>
      <c r="NZ67"/>
      <c r="OA67"/>
      <c r="OB67"/>
      <c r="OC67"/>
      <c r="OD67"/>
      <c r="OE67"/>
      <c r="OF67"/>
      <c r="OG67"/>
      <c r="OH67"/>
      <c r="OI67"/>
      <c r="OJ67"/>
      <c r="OK67"/>
      <c r="OL67"/>
      <c r="OM67"/>
      <c r="ON67"/>
      <c r="OO67"/>
      <c r="OP67"/>
      <c r="OQ67"/>
      <c r="OR67"/>
      <c r="OS67"/>
      <c r="OT67"/>
      <c r="OU67"/>
      <c r="OV67"/>
      <c r="OW67"/>
      <c r="OX67"/>
      <c r="OY67"/>
      <c r="OZ67"/>
      <c r="PA67"/>
      <c r="PB67"/>
      <c r="PC67"/>
      <c r="PD67"/>
      <c r="PE67"/>
      <c r="PF67"/>
      <c r="PG67"/>
      <c r="PH67"/>
      <c r="PI67"/>
      <c r="PJ67"/>
      <c r="PK67"/>
      <c r="PL67"/>
      <c r="PM67"/>
      <c r="PN67"/>
      <c r="PO67"/>
      <c r="PP67"/>
      <c r="PQ67"/>
      <c r="PR67"/>
      <c r="PS67"/>
      <c r="PT67"/>
      <c r="PU67"/>
      <c r="PV67"/>
      <c r="PW67"/>
      <c r="PX67"/>
      <c r="PY67"/>
      <c r="PZ67"/>
      <c r="QA67"/>
      <c r="QB67"/>
      <c r="QC67"/>
      <c r="QD67"/>
      <c r="QE67"/>
      <c r="QF67"/>
      <c r="QG67"/>
      <c r="QH67"/>
      <c r="QI67"/>
      <c r="QJ67"/>
      <c r="QK67"/>
      <c r="QL67"/>
      <c r="QM67"/>
      <c r="QN67"/>
      <c r="QO67"/>
      <c r="QP67"/>
      <c r="QQ67"/>
      <c r="QR67"/>
      <c r="QS67"/>
      <c r="QT67"/>
      <c r="QU67"/>
      <c r="QV67"/>
      <c r="QW67"/>
      <c r="QX67"/>
      <c r="QY67"/>
      <c r="QZ67"/>
      <c r="RA67"/>
      <c r="RB67"/>
      <c r="RC67"/>
      <c r="RD67"/>
      <c r="RE67"/>
      <c r="RF67"/>
      <c r="RG67"/>
      <c r="RH67"/>
      <c r="RI67"/>
      <c r="RJ67"/>
      <c r="RK67"/>
      <c r="RL67"/>
      <c r="RM67"/>
      <c r="RN67"/>
      <c r="RO67"/>
      <c r="RP67"/>
      <c r="RQ67"/>
      <c r="RR67"/>
      <c r="RS67"/>
      <c r="RT67"/>
      <c r="RU67"/>
      <c r="RV67"/>
      <c r="RW67"/>
      <c r="RX67"/>
      <c r="RY67"/>
      <c r="RZ67"/>
      <c r="SA67"/>
      <c r="SB67"/>
      <c r="SC67"/>
      <c r="SD67"/>
      <c r="SE67"/>
      <c r="SF67"/>
      <c r="SG67"/>
      <c r="SH67"/>
      <c r="SI67"/>
      <c r="SJ67"/>
      <c r="SK67"/>
      <c r="SL67"/>
      <c r="SM67"/>
      <c r="SN67"/>
      <c r="SO67"/>
      <c r="SP67"/>
      <c r="SQ67"/>
      <c r="SR67"/>
      <c r="SS67"/>
      <c r="ST67"/>
      <c r="SU67"/>
      <c r="SV67"/>
      <c r="SW67"/>
      <c r="SX67"/>
      <c r="SY67"/>
      <c r="SZ67"/>
      <c r="TA67"/>
      <c r="TB67"/>
      <c r="TC67"/>
      <c r="TD67"/>
      <c r="TE67"/>
      <c r="TF67"/>
      <c r="TG67"/>
      <c r="TH67"/>
    </row>
    <row r="68" spans="3:528" x14ac:dyDescent="0.25">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row>
    <row r="69" spans="3:528" x14ac:dyDescent="0.25">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c r="KT69"/>
      <c r="KU69"/>
      <c r="KV69"/>
      <c r="KW69"/>
      <c r="KX69"/>
      <c r="KY69"/>
      <c r="KZ69"/>
      <c r="LA69"/>
      <c r="LB69"/>
      <c r="LC69"/>
      <c r="LD69"/>
      <c r="LE69"/>
      <c r="LF69"/>
      <c r="LG69"/>
      <c r="LH69"/>
      <c r="LI69"/>
      <c r="LJ69"/>
      <c r="LK69"/>
      <c r="LL69"/>
      <c r="LM69"/>
      <c r="LN69"/>
      <c r="LO69"/>
      <c r="LP69"/>
      <c r="LQ69"/>
      <c r="LR69"/>
      <c r="LS69"/>
      <c r="LT69"/>
      <c r="LU69"/>
      <c r="LV69"/>
      <c r="LW69"/>
      <c r="LX69"/>
      <c r="LY69"/>
      <c r="LZ69"/>
      <c r="MA69"/>
      <c r="MB69"/>
      <c r="MC69"/>
      <c r="MD69"/>
      <c r="ME69"/>
      <c r="MF69"/>
      <c r="MG69"/>
      <c r="MH69"/>
      <c r="MI69"/>
      <c r="MJ69"/>
      <c r="MK69"/>
      <c r="ML69"/>
      <c r="MM69"/>
      <c r="MN69"/>
      <c r="MO69"/>
      <c r="MP69"/>
      <c r="MQ69"/>
      <c r="MR69"/>
      <c r="MS69"/>
      <c r="MT69"/>
      <c r="MU69"/>
      <c r="MV69"/>
      <c r="MW69"/>
      <c r="MX69"/>
      <c r="MY69"/>
      <c r="MZ69"/>
      <c r="NA69"/>
      <c r="NB69"/>
      <c r="NC69"/>
      <c r="ND69"/>
      <c r="NE69"/>
      <c r="NF69"/>
      <c r="NG69"/>
      <c r="NH69"/>
      <c r="NI69"/>
      <c r="NJ69"/>
      <c r="NK69"/>
      <c r="NL69"/>
      <c r="NM69"/>
      <c r="NN69"/>
      <c r="NO69"/>
      <c r="NP69"/>
      <c r="NQ69"/>
      <c r="NR69"/>
      <c r="NS69"/>
      <c r="NT69"/>
      <c r="NU69"/>
      <c r="NV69"/>
      <c r="NW69"/>
      <c r="NX69"/>
      <c r="NY69"/>
      <c r="NZ69"/>
      <c r="OA69"/>
      <c r="OB69"/>
      <c r="OC69"/>
      <c r="OD69"/>
      <c r="OE69"/>
      <c r="OF69"/>
      <c r="OG69"/>
      <c r="OH69"/>
      <c r="OI69"/>
      <c r="OJ69"/>
      <c r="OK69"/>
      <c r="OL69"/>
      <c r="OM69"/>
      <c r="ON69"/>
      <c r="OO69"/>
      <c r="OP69"/>
      <c r="OQ69"/>
      <c r="OR69"/>
      <c r="OS69"/>
      <c r="OT69"/>
      <c r="OU69"/>
      <c r="OV69"/>
      <c r="OW69"/>
      <c r="OX69"/>
      <c r="OY69"/>
      <c r="OZ69"/>
      <c r="PA69"/>
      <c r="PB69"/>
      <c r="PC69"/>
      <c r="PD69"/>
      <c r="PE69"/>
      <c r="PF69"/>
      <c r="PG69"/>
      <c r="PH69"/>
      <c r="PI69"/>
      <c r="PJ69"/>
      <c r="PK69"/>
      <c r="PL69"/>
      <c r="PM69"/>
      <c r="PN69"/>
      <c r="PO69"/>
      <c r="PP69"/>
      <c r="PQ69"/>
      <c r="PR69"/>
      <c r="PS69"/>
      <c r="PT69"/>
      <c r="PU69"/>
      <c r="PV69"/>
      <c r="PW69"/>
      <c r="PX69"/>
      <c r="PY69"/>
      <c r="PZ69"/>
      <c r="QA69"/>
      <c r="QB69"/>
      <c r="QC69"/>
      <c r="QD69"/>
      <c r="QE69"/>
      <c r="QF69"/>
      <c r="QG69"/>
      <c r="QH69"/>
      <c r="QI69"/>
      <c r="QJ69"/>
      <c r="QK69"/>
      <c r="QL69"/>
      <c r="QM69"/>
      <c r="QN69"/>
      <c r="QO69"/>
      <c r="QP69"/>
      <c r="QQ69"/>
      <c r="QR69"/>
      <c r="QS69"/>
      <c r="QT69"/>
      <c r="QU69"/>
      <c r="QV69"/>
      <c r="QW69"/>
      <c r="QX69"/>
      <c r="QY69"/>
      <c r="QZ69"/>
      <c r="RA69"/>
      <c r="RB69"/>
      <c r="RC69"/>
      <c r="RD69"/>
      <c r="RE69"/>
      <c r="RF69"/>
      <c r="RG69"/>
      <c r="RH69"/>
      <c r="RI69"/>
      <c r="RJ69"/>
      <c r="RK69"/>
      <c r="RL69"/>
      <c r="RM69"/>
      <c r="RN69"/>
      <c r="RO69"/>
      <c r="RP69"/>
      <c r="RQ69"/>
      <c r="RR69"/>
      <c r="RS69"/>
      <c r="RT69"/>
      <c r="RU69"/>
      <c r="RV69"/>
      <c r="RW69"/>
      <c r="RX69"/>
      <c r="RY69"/>
      <c r="RZ69"/>
      <c r="SA69"/>
      <c r="SB69"/>
      <c r="SC69"/>
      <c r="SD69"/>
      <c r="SE69"/>
      <c r="SF69"/>
      <c r="SG69"/>
      <c r="SH69"/>
      <c r="SI69"/>
      <c r="SJ69"/>
      <c r="SK69"/>
      <c r="SL69"/>
      <c r="SM69"/>
      <c r="SN69"/>
      <c r="SO69"/>
      <c r="SP69"/>
      <c r="SQ69"/>
      <c r="SR69"/>
      <c r="SS69"/>
      <c r="ST69"/>
      <c r="SU69"/>
      <c r="SV69"/>
      <c r="SW69"/>
      <c r="SX69"/>
      <c r="SY69"/>
      <c r="SZ69"/>
      <c r="TA69"/>
      <c r="TB69"/>
      <c r="TC69"/>
      <c r="TD69"/>
      <c r="TE69"/>
      <c r="TF69"/>
      <c r="TG69"/>
      <c r="TH69"/>
    </row>
    <row r="70" spans="3:528" x14ac:dyDescent="0.25">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c r="KT70"/>
      <c r="KU70"/>
      <c r="KV70"/>
      <c r="KW70"/>
      <c r="KX70"/>
      <c r="KY70"/>
      <c r="KZ70"/>
      <c r="LA70"/>
      <c r="LB70"/>
      <c r="LC70"/>
      <c r="LD70"/>
      <c r="LE70"/>
      <c r="LF70"/>
      <c r="LG70"/>
      <c r="LH70"/>
      <c r="LI70"/>
      <c r="LJ70"/>
      <c r="LK70"/>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row>
    <row r="71" spans="3:528" x14ac:dyDescent="0.25">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c r="KT71"/>
      <c r="KU71"/>
      <c r="KV71"/>
      <c r="KW71"/>
      <c r="KX71"/>
      <c r="KY71"/>
      <c r="KZ71"/>
      <c r="LA71"/>
      <c r="LB71"/>
      <c r="LC71"/>
      <c r="LD71"/>
      <c r="LE71"/>
      <c r="LF71"/>
      <c r="LG71"/>
      <c r="LH71"/>
      <c r="LI71"/>
      <c r="LJ71"/>
      <c r="LK71"/>
      <c r="LL71"/>
      <c r="LM71"/>
      <c r="LN71"/>
      <c r="LO71"/>
      <c r="LP71"/>
      <c r="LQ71"/>
      <c r="LR71"/>
      <c r="LS71"/>
      <c r="LT71"/>
      <c r="LU71"/>
      <c r="LV71"/>
      <c r="LW71"/>
      <c r="LX71"/>
      <c r="LY71"/>
      <c r="LZ71"/>
      <c r="MA71"/>
      <c r="MB71"/>
      <c r="MC71"/>
      <c r="MD71"/>
      <c r="ME71"/>
      <c r="MF71"/>
      <c r="MG71"/>
      <c r="MH71"/>
      <c r="MI71"/>
      <c r="MJ71"/>
      <c r="MK71"/>
      <c r="ML71"/>
      <c r="MM71"/>
      <c r="MN71"/>
      <c r="MO71"/>
      <c r="MP71"/>
      <c r="MQ71"/>
      <c r="MR71"/>
      <c r="MS71"/>
      <c r="MT71"/>
      <c r="MU71"/>
      <c r="MV71"/>
      <c r="MW71"/>
      <c r="MX71"/>
      <c r="MY71"/>
      <c r="MZ71"/>
      <c r="NA71"/>
      <c r="NB71"/>
      <c r="NC71"/>
      <c r="ND71"/>
      <c r="NE71"/>
      <c r="NF71"/>
      <c r="NG71"/>
      <c r="NH71"/>
      <c r="NI71"/>
      <c r="NJ71"/>
      <c r="NK71"/>
      <c r="NL71"/>
      <c r="NM71"/>
      <c r="NN71"/>
      <c r="NO71"/>
      <c r="NP71"/>
      <c r="NQ71"/>
      <c r="NR71"/>
      <c r="NS71"/>
      <c r="NT71"/>
      <c r="NU71"/>
      <c r="NV71"/>
      <c r="NW71"/>
      <c r="NX71"/>
      <c r="NY71"/>
      <c r="NZ71"/>
      <c r="OA71"/>
      <c r="OB71"/>
      <c r="OC71"/>
      <c r="OD71"/>
      <c r="OE71"/>
      <c r="OF71"/>
      <c r="OG71"/>
      <c r="OH71"/>
      <c r="OI71"/>
      <c r="OJ71"/>
      <c r="OK71"/>
      <c r="OL71"/>
      <c r="OM71"/>
      <c r="ON71"/>
      <c r="OO71"/>
      <c r="OP71"/>
      <c r="OQ71"/>
      <c r="OR71"/>
      <c r="OS71"/>
      <c r="OT71"/>
      <c r="OU71"/>
      <c r="OV71"/>
      <c r="OW71"/>
      <c r="OX71"/>
      <c r="OY71"/>
      <c r="OZ71"/>
      <c r="PA71"/>
      <c r="PB71"/>
      <c r="PC71"/>
      <c r="PD71"/>
      <c r="PE71"/>
      <c r="PF71"/>
      <c r="PG71"/>
      <c r="PH71"/>
      <c r="PI71"/>
      <c r="PJ71"/>
      <c r="PK71"/>
      <c r="PL71"/>
      <c r="PM71"/>
      <c r="PN71"/>
      <c r="PO71"/>
      <c r="PP71"/>
      <c r="PQ71"/>
      <c r="PR71"/>
      <c r="PS71"/>
      <c r="PT71"/>
      <c r="PU71"/>
      <c r="PV71"/>
      <c r="PW71"/>
      <c r="PX71"/>
      <c r="PY71"/>
      <c r="PZ71"/>
      <c r="QA71"/>
      <c r="QB71"/>
      <c r="QC71"/>
      <c r="QD71"/>
      <c r="QE71"/>
      <c r="QF71"/>
      <c r="QG71"/>
      <c r="QH71"/>
      <c r="QI71"/>
      <c r="QJ71"/>
      <c r="QK71"/>
      <c r="QL71"/>
      <c r="QM71"/>
      <c r="QN71"/>
      <c r="QO71"/>
      <c r="QP71"/>
      <c r="QQ71"/>
      <c r="QR71"/>
      <c r="QS71"/>
      <c r="QT71"/>
      <c r="QU71"/>
      <c r="QV71"/>
      <c r="QW71"/>
      <c r="QX71"/>
      <c r="QY71"/>
      <c r="QZ71"/>
      <c r="RA71"/>
      <c r="RB71"/>
      <c r="RC71"/>
      <c r="RD71"/>
      <c r="RE71"/>
      <c r="RF71"/>
      <c r="RG71"/>
      <c r="RH71"/>
      <c r="RI71"/>
      <c r="RJ71"/>
      <c r="RK71"/>
      <c r="RL71"/>
      <c r="RM71"/>
      <c r="RN71"/>
      <c r="RO71"/>
      <c r="RP71"/>
      <c r="RQ71"/>
      <c r="RR71"/>
      <c r="RS71"/>
      <c r="RT71"/>
      <c r="RU71"/>
      <c r="RV71"/>
      <c r="RW71"/>
      <c r="RX71"/>
      <c r="RY71"/>
      <c r="RZ71"/>
      <c r="SA71"/>
      <c r="SB71"/>
      <c r="SC71"/>
      <c r="SD71"/>
      <c r="SE71"/>
      <c r="SF71"/>
      <c r="SG71"/>
      <c r="SH71"/>
      <c r="SI71"/>
      <c r="SJ71"/>
      <c r="SK71"/>
      <c r="SL71"/>
      <c r="SM71"/>
      <c r="SN71"/>
      <c r="SO71"/>
      <c r="SP71"/>
      <c r="SQ71"/>
      <c r="SR71"/>
      <c r="SS71"/>
      <c r="ST71"/>
      <c r="SU71"/>
      <c r="SV71"/>
      <c r="SW71"/>
      <c r="SX71"/>
      <c r="SY71"/>
      <c r="SZ71"/>
      <c r="TA71"/>
      <c r="TB71"/>
      <c r="TC71"/>
      <c r="TD71"/>
      <c r="TE71"/>
      <c r="TF71"/>
      <c r="TG71"/>
      <c r="TH71"/>
    </row>
    <row r="72" spans="3:528" x14ac:dyDescent="0.25">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c r="KT72"/>
      <c r="KU72"/>
      <c r="KV72"/>
      <c r="KW72"/>
      <c r="KX72"/>
      <c r="KY72"/>
      <c r="KZ72"/>
      <c r="LA72"/>
      <c r="LB72"/>
      <c r="LC72"/>
      <c r="LD72"/>
      <c r="LE72"/>
      <c r="LF72"/>
      <c r="LG72"/>
      <c r="LH72"/>
      <c r="LI72"/>
      <c r="LJ72"/>
      <c r="LK72"/>
      <c r="LL72"/>
      <c r="LM72"/>
      <c r="LN72"/>
      <c r="LO72"/>
      <c r="LP72"/>
      <c r="LQ72"/>
      <c r="LR72"/>
      <c r="LS72"/>
      <c r="LT72"/>
      <c r="LU72"/>
      <c r="LV72"/>
      <c r="LW72"/>
      <c r="LX72"/>
      <c r="LY72"/>
      <c r="LZ72"/>
      <c r="MA72"/>
      <c r="MB72"/>
      <c r="MC72"/>
      <c r="MD72"/>
      <c r="ME72"/>
      <c r="MF72"/>
      <c r="MG72"/>
      <c r="MH72"/>
      <c r="MI72"/>
      <c r="MJ72"/>
      <c r="MK72"/>
      <c r="ML72"/>
      <c r="MM72"/>
      <c r="MN72"/>
      <c r="MO72"/>
      <c r="MP72"/>
      <c r="MQ72"/>
      <c r="MR72"/>
      <c r="MS72"/>
      <c r="MT72"/>
      <c r="MU72"/>
      <c r="MV72"/>
      <c r="MW72"/>
      <c r="MX72"/>
      <c r="MY72"/>
      <c r="MZ72"/>
      <c r="NA72"/>
      <c r="NB72"/>
      <c r="NC72"/>
      <c r="ND72"/>
      <c r="NE72"/>
      <c r="NF72"/>
      <c r="NG72"/>
      <c r="NH72"/>
      <c r="NI72"/>
      <c r="NJ72"/>
      <c r="NK72"/>
      <c r="NL72"/>
      <c r="NM72"/>
      <c r="NN72"/>
      <c r="NO72"/>
      <c r="NP72"/>
      <c r="NQ72"/>
      <c r="NR72"/>
      <c r="NS72"/>
      <c r="NT72"/>
      <c r="NU72"/>
      <c r="NV72"/>
      <c r="NW72"/>
      <c r="NX72"/>
      <c r="NY72"/>
      <c r="NZ72"/>
      <c r="OA72"/>
      <c r="OB72"/>
      <c r="OC72"/>
      <c r="OD72"/>
      <c r="OE72"/>
      <c r="OF72"/>
      <c r="OG72"/>
      <c r="OH72"/>
      <c r="OI72"/>
      <c r="OJ72"/>
      <c r="OK72"/>
      <c r="OL72"/>
      <c r="OM72"/>
      <c r="ON72"/>
      <c r="OO72"/>
      <c r="OP72"/>
      <c r="OQ72"/>
      <c r="OR72"/>
      <c r="OS72"/>
      <c r="OT72"/>
      <c r="OU72"/>
      <c r="OV72"/>
      <c r="OW72"/>
      <c r="OX72"/>
      <c r="OY72"/>
      <c r="OZ72"/>
      <c r="PA72"/>
      <c r="PB72"/>
      <c r="PC72"/>
      <c r="PD72"/>
      <c r="PE72"/>
      <c r="PF72"/>
      <c r="PG72"/>
      <c r="PH72"/>
      <c r="PI72"/>
      <c r="PJ72"/>
      <c r="PK72"/>
      <c r="PL72"/>
      <c r="PM72"/>
      <c r="PN72"/>
      <c r="PO72"/>
      <c r="PP72"/>
      <c r="PQ72"/>
      <c r="PR72"/>
      <c r="PS72"/>
      <c r="PT72"/>
      <c r="PU72"/>
      <c r="PV72"/>
      <c r="PW72"/>
      <c r="PX72"/>
      <c r="PY72"/>
      <c r="PZ72"/>
      <c r="QA72"/>
      <c r="QB72"/>
      <c r="QC72"/>
      <c r="QD72"/>
      <c r="QE72"/>
      <c r="QF72"/>
      <c r="QG72"/>
      <c r="QH72"/>
      <c r="QI72"/>
      <c r="QJ72"/>
      <c r="QK72"/>
      <c r="QL72"/>
      <c r="QM72"/>
      <c r="QN72"/>
      <c r="QO72"/>
      <c r="QP72"/>
      <c r="QQ72"/>
      <c r="QR72"/>
      <c r="QS72"/>
      <c r="QT72"/>
      <c r="QU72"/>
      <c r="QV72"/>
      <c r="QW72"/>
      <c r="QX72"/>
      <c r="QY72"/>
      <c r="QZ72"/>
      <c r="RA72"/>
      <c r="RB72"/>
      <c r="RC72"/>
      <c r="RD72"/>
      <c r="RE72"/>
      <c r="RF72"/>
      <c r="RG72"/>
      <c r="RH72"/>
      <c r="RI72"/>
      <c r="RJ72"/>
      <c r="RK72"/>
      <c r="RL72"/>
      <c r="RM72"/>
      <c r="RN72"/>
      <c r="RO72"/>
      <c r="RP72"/>
      <c r="RQ72"/>
      <c r="RR72"/>
      <c r="RS72"/>
      <c r="RT72"/>
      <c r="RU72"/>
      <c r="RV72"/>
      <c r="RW72"/>
      <c r="RX72"/>
      <c r="RY72"/>
      <c r="RZ72"/>
      <c r="SA72"/>
      <c r="SB72"/>
      <c r="SC72"/>
      <c r="SD72"/>
      <c r="SE72"/>
      <c r="SF72"/>
      <c r="SG72"/>
      <c r="SH72"/>
      <c r="SI72"/>
      <c r="SJ72"/>
      <c r="SK72"/>
      <c r="SL72"/>
      <c r="SM72"/>
      <c r="SN72"/>
      <c r="SO72"/>
      <c r="SP72"/>
      <c r="SQ72"/>
      <c r="SR72"/>
      <c r="SS72"/>
      <c r="ST72"/>
      <c r="SU72"/>
      <c r="SV72"/>
      <c r="SW72"/>
      <c r="SX72"/>
      <c r="SY72"/>
      <c r="SZ72"/>
      <c r="TA72"/>
      <c r="TB72"/>
      <c r="TC72"/>
      <c r="TD72"/>
      <c r="TE72"/>
      <c r="TF72"/>
      <c r="TG72"/>
      <c r="TH72"/>
    </row>
    <row r="73" spans="3:528" x14ac:dyDescent="0.25">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c r="KT73"/>
      <c r="KU73"/>
      <c r="KV73"/>
      <c r="KW73"/>
      <c r="KX73"/>
      <c r="KY73"/>
      <c r="KZ73"/>
      <c r="LA73"/>
      <c r="LB73"/>
      <c r="LC73"/>
      <c r="LD73"/>
      <c r="LE73"/>
      <c r="LF73"/>
      <c r="LG73"/>
      <c r="LH73"/>
      <c r="LI73"/>
      <c r="LJ73"/>
      <c r="LK73"/>
      <c r="LL73"/>
      <c r="LM73"/>
      <c r="LN73"/>
      <c r="LO73"/>
      <c r="LP73"/>
      <c r="LQ73"/>
      <c r="LR73"/>
      <c r="LS73"/>
      <c r="LT73"/>
      <c r="LU73"/>
      <c r="LV73"/>
      <c r="LW73"/>
      <c r="LX73"/>
      <c r="LY73"/>
      <c r="LZ73"/>
      <c r="MA73"/>
      <c r="MB73"/>
      <c r="MC73"/>
      <c r="MD73"/>
      <c r="ME73"/>
      <c r="MF73"/>
      <c r="MG73"/>
      <c r="MH73"/>
      <c r="MI73"/>
      <c r="MJ73"/>
      <c r="MK73"/>
      <c r="ML73"/>
      <c r="MM73"/>
      <c r="MN73"/>
      <c r="MO73"/>
      <c r="MP73"/>
      <c r="MQ73"/>
      <c r="MR73"/>
      <c r="MS73"/>
      <c r="MT73"/>
      <c r="MU73"/>
      <c r="MV73"/>
      <c r="MW73"/>
      <c r="MX73"/>
      <c r="MY73"/>
      <c r="MZ73"/>
      <c r="NA73"/>
      <c r="NB73"/>
      <c r="NC73"/>
      <c r="ND73"/>
      <c r="NE73"/>
      <c r="NF73"/>
      <c r="NG73"/>
      <c r="NH73"/>
      <c r="NI73"/>
      <c r="NJ73"/>
      <c r="NK73"/>
      <c r="NL73"/>
      <c r="NM73"/>
      <c r="NN73"/>
      <c r="NO73"/>
      <c r="NP73"/>
      <c r="NQ73"/>
      <c r="NR73"/>
      <c r="NS73"/>
      <c r="NT73"/>
      <c r="NU73"/>
      <c r="NV73"/>
      <c r="NW73"/>
      <c r="NX73"/>
      <c r="NY73"/>
      <c r="NZ73"/>
      <c r="OA73"/>
      <c r="OB73"/>
      <c r="OC73"/>
      <c r="OD73"/>
      <c r="OE73"/>
      <c r="OF73"/>
      <c r="OG73"/>
      <c r="OH73"/>
      <c r="OI73"/>
      <c r="OJ73"/>
      <c r="OK73"/>
      <c r="OL73"/>
      <c r="OM73"/>
      <c r="ON73"/>
      <c r="OO73"/>
      <c r="OP73"/>
      <c r="OQ73"/>
      <c r="OR73"/>
      <c r="OS73"/>
      <c r="OT73"/>
      <c r="OU73"/>
      <c r="OV73"/>
      <c r="OW73"/>
      <c r="OX73"/>
      <c r="OY73"/>
      <c r="OZ73"/>
      <c r="PA73"/>
      <c r="PB73"/>
      <c r="PC73"/>
      <c r="PD73"/>
      <c r="PE73"/>
      <c r="PF73"/>
      <c r="PG73"/>
      <c r="PH73"/>
      <c r="PI73"/>
      <c r="PJ73"/>
      <c r="PK73"/>
      <c r="PL73"/>
      <c r="PM73"/>
      <c r="PN73"/>
      <c r="PO73"/>
      <c r="PP73"/>
      <c r="PQ73"/>
      <c r="PR73"/>
      <c r="PS73"/>
      <c r="PT73"/>
      <c r="PU73"/>
      <c r="PV73"/>
      <c r="PW73"/>
      <c r="PX73"/>
      <c r="PY73"/>
      <c r="PZ73"/>
      <c r="QA73"/>
      <c r="QB73"/>
      <c r="QC73"/>
      <c r="QD73"/>
      <c r="QE73"/>
      <c r="QF73"/>
      <c r="QG73"/>
      <c r="QH73"/>
      <c r="QI73"/>
      <c r="QJ73"/>
      <c r="QK73"/>
      <c r="QL73"/>
      <c r="QM73"/>
      <c r="QN73"/>
      <c r="QO73"/>
      <c r="QP73"/>
      <c r="QQ73"/>
      <c r="QR73"/>
      <c r="QS73"/>
      <c r="QT73"/>
      <c r="QU73"/>
      <c r="QV73"/>
      <c r="QW73"/>
      <c r="QX73"/>
      <c r="QY73"/>
      <c r="QZ73"/>
      <c r="RA73"/>
      <c r="RB73"/>
      <c r="RC73"/>
      <c r="RD73"/>
      <c r="RE73"/>
      <c r="RF73"/>
      <c r="RG73"/>
      <c r="RH73"/>
      <c r="RI73"/>
      <c r="RJ73"/>
      <c r="RK73"/>
      <c r="RL73"/>
      <c r="RM73"/>
      <c r="RN73"/>
      <c r="RO73"/>
      <c r="RP73"/>
      <c r="RQ73"/>
      <c r="RR73"/>
      <c r="RS73"/>
      <c r="RT73"/>
      <c r="RU73"/>
      <c r="RV73"/>
      <c r="RW73"/>
      <c r="RX73"/>
      <c r="RY73"/>
      <c r="RZ73"/>
      <c r="SA73"/>
      <c r="SB73"/>
      <c r="SC73"/>
      <c r="SD73"/>
      <c r="SE73"/>
      <c r="SF73"/>
      <c r="SG73"/>
      <c r="SH73"/>
      <c r="SI73"/>
      <c r="SJ73"/>
      <c r="SK73"/>
      <c r="SL73"/>
      <c r="SM73"/>
      <c r="SN73"/>
      <c r="SO73"/>
      <c r="SP73"/>
      <c r="SQ73"/>
      <c r="SR73"/>
      <c r="SS73"/>
      <c r="ST73"/>
      <c r="SU73"/>
      <c r="SV73"/>
      <c r="SW73"/>
      <c r="SX73"/>
      <c r="SY73"/>
      <c r="SZ73"/>
      <c r="TA73"/>
      <c r="TB73"/>
      <c r="TC73"/>
      <c r="TD73"/>
      <c r="TE73"/>
      <c r="TF73"/>
      <c r="TG73"/>
      <c r="TH73"/>
    </row>
    <row r="74" spans="3:528" x14ac:dyDescent="0.25">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c r="KT74"/>
      <c r="KU74"/>
      <c r="KV74"/>
      <c r="KW74"/>
      <c r="KX74"/>
      <c r="KY74"/>
      <c r="KZ74"/>
      <c r="LA74"/>
      <c r="LB74"/>
      <c r="LC74"/>
      <c r="LD74"/>
      <c r="LE74"/>
      <c r="LF74"/>
      <c r="LG74"/>
      <c r="LH74"/>
      <c r="LI74"/>
      <c r="LJ74"/>
      <c r="LK74"/>
      <c r="LL74"/>
      <c r="LM74"/>
      <c r="LN74"/>
      <c r="LO74"/>
      <c r="LP74"/>
      <c r="LQ74"/>
      <c r="LR74"/>
      <c r="LS74"/>
      <c r="LT74"/>
      <c r="LU74"/>
      <c r="LV74"/>
      <c r="LW74"/>
      <c r="LX74"/>
      <c r="LY74"/>
      <c r="LZ74"/>
      <c r="MA74"/>
      <c r="MB74"/>
      <c r="MC74"/>
      <c r="MD74"/>
      <c r="ME74"/>
      <c r="MF74"/>
      <c r="MG74"/>
      <c r="MH74"/>
      <c r="MI74"/>
      <c r="MJ74"/>
      <c r="MK74"/>
      <c r="ML74"/>
      <c r="MM74"/>
      <c r="MN74"/>
      <c r="MO74"/>
      <c r="MP74"/>
      <c r="MQ74"/>
      <c r="MR74"/>
      <c r="MS74"/>
      <c r="MT74"/>
      <c r="MU74"/>
      <c r="MV74"/>
      <c r="MW74"/>
      <c r="MX74"/>
      <c r="MY74"/>
      <c r="MZ74"/>
      <c r="NA74"/>
      <c r="NB74"/>
      <c r="NC74"/>
      <c r="ND74"/>
      <c r="NE74"/>
      <c r="NF74"/>
      <c r="NG74"/>
      <c r="NH74"/>
      <c r="NI74"/>
      <c r="NJ74"/>
      <c r="NK74"/>
      <c r="NL74"/>
      <c r="NM74"/>
      <c r="NN74"/>
      <c r="NO74"/>
      <c r="NP74"/>
      <c r="NQ74"/>
      <c r="NR74"/>
      <c r="NS74"/>
      <c r="NT74"/>
      <c r="NU74"/>
      <c r="NV74"/>
      <c r="NW74"/>
      <c r="NX74"/>
      <c r="NY74"/>
      <c r="NZ74"/>
      <c r="OA74"/>
      <c r="OB74"/>
      <c r="OC74"/>
      <c r="OD74"/>
      <c r="OE74"/>
      <c r="OF74"/>
      <c r="OG74"/>
      <c r="OH74"/>
      <c r="OI74"/>
      <c r="OJ74"/>
      <c r="OK74"/>
      <c r="OL74"/>
      <c r="OM74"/>
      <c r="ON74"/>
      <c r="OO74"/>
      <c r="OP74"/>
      <c r="OQ74"/>
      <c r="OR74"/>
      <c r="OS74"/>
      <c r="OT74"/>
      <c r="OU74"/>
      <c r="OV74"/>
      <c r="OW74"/>
      <c r="OX74"/>
      <c r="OY74"/>
      <c r="OZ74"/>
      <c r="PA74"/>
      <c r="PB74"/>
      <c r="PC74"/>
      <c r="PD74"/>
      <c r="PE74"/>
      <c r="PF74"/>
      <c r="PG74"/>
      <c r="PH74"/>
      <c r="PI74"/>
      <c r="PJ74"/>
      <c r="PK74"/>
      <c r="PL74"/>
      <c r="PM74"/>
      <c r="PN74"/>
      <c r="PO74"/>
      <c r="PP74"/>
      <c r="PQ74"/>
      <c r="PR74"/>
      <c r="PS74"/>
      <c r="PT74"/>
      <c r="PU74"/>
      <c r="PV74"/>
      <c r="PW74"/>
      <c r="PX74"/>
      <c r="PY74"/>
      <c r="PZ74"/>
      <c r="QA74"/>
      <c r="QB74"/>
      <c r="QC74"/>
      <c r="QD74"/>
      <c r="QE74"/>
      <c r="QF74"/>
      <c r="QG74"/>
      <c r="QH74"/>
      <c r="QI74"/>
      <c r="QJ74"/>
      <c r="QK74"/>
      <c r="QL74"/>
      <c r="QM74"/>
      <c r="QN74"/>
      <c r="QO74"/>
      <c r="QP74"/>
      <c r="QQ74"/>
      <c r="QR74"/>
      <c r="QS74"/>
      <c r="QT74"/>
      <c r="QU74"/>
      <c r="QV74"/>
      <c r="QW74"/>
      <c r="QX74"/>
      <c r="QY74"/>
      <c r="QZ74"/>
      <c r="RA74"/>
      <c r="RB74"/>
      <c r="RC74"/>
      <c r="RD74"/>
      <c r="RE74"/>
      <c r="RF74"/>
      <c r="RG74"/>
      <c r="RH74"/>
      <c r="RI74"/>
      <c r="RJ74"/>
      <c r="RK74"/>
      <c r="RL74"/>
      <c r="RM74"/>
      <c r="RN74"/>
      <c r="RO74"/>
      <c r="RP74"/>
      <c r="RQ74"/>
      <c r="RR74"/>
      <c r="RS74"/>
      <c r="RT74"/>
      <c r="RU74"/>
      <c r="RV74"/>
      <c r="RW74"/>
      <c r="RX74"/>
      <c r="RY74"/>
      <c r="RZ74"/>
      <c r="SA74"/>
      <c r="SB74"/>
      <c r="SC74"/>
      <c r="SD74"/>
      <c r="SE74"/>
      <c r="SF74"/>
      <c r="SG74"/>
      <c r="SH74"/>
      <c r="SI74"/>
      <c r="SJ74"/>
      <c r="SK74"/>
      <c r="SL74"/>
      <c r="SM74"/>
      <c r="SN74"/>
      <c r="SO74"/>
      <c r="SP74"/>
      <c r="SQ74"/>
      <c r="SR74"/>
      <c r="SS74"/>
      <c r="ST74"/>
      <c r="SU74"/>
      <c r="SV74"/>
      <c r="SW74"/>
      <c r="SX74"/>
      <c r="SY74"/>
      <c r="SZ74"/>
      <c r="TA74"/>
      <c r="TB74"/>
      <c r="TC74"/>
      <c r="TD74"/>
      <c r="TE74"/>
      <c r="TF74"/>
      <c r="TG74"/>
      <c r="TH74"/>
    </row>
    <row r="75" spans="3:528" x14ac:dyDescent="0.2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c r="KT75"/>
      <c r="KU75"/>
      <c r="KV75"/>
      <c r="KW75"/>
      <c r="KX75"/>
      <c r="KY75"/>
      <c r="KZ75"/>
      <c r="LA75"/>
      <c r="LB75"/>
      <c r="LC75"/>
      <c r="LD75"/>
      <c r="LE75"/>
      <c r="LF75"/>
      <c r="LG75"/>
      <c r="LH75"/>
      <c r="LI75"/>
      <c r="LJ75"/>
      <c r="LK75"/>
      <c r="LL75"/>
      <c r="LM75"/>
      <c r="LN75"/>
      <c r="LO75"/>
      <c r="LP75"/>
      <c r="LQ75"/>
      <c r="LR75"/>
      <c r="LS75"/>
      <c r="LT75"/>
      <c r="LU75"/>
      <c r="LV75"/>
      <c r="LW75"/>
      <c r="LX75"/>
      <c r="LY75"/>
      <c r="LZ75"/>
      <c r="MA75"/>
      <c r="MB75"/>
      <c r="MC75"/>
      <c r="MD75"/>
      <c r="ME75"/>
      <c r="MF75"/>
      <c r="MG75"/>
      <c r="MH75"/>
      <c r="MI75"/>
      <c r="MJ75"/>
      <c r="MK75"/>
      <c r="ML75"/>
      <c r="MM75"/>
      <c r="MN75"/>
      <c r="MO75"/>
      <c r="MP75"/>
      <c r="MQ75"/>
      <c r="MR75"/>
      <c r="MS75"/>
      <c r="MT75"/>
      <c r="MU75"/>
      <c r="MV75"/>
      <c r="MW75"/>
      <c r="MX75"/>
      <c r="MY75"/>
      <c r="MZ75"/>
      <c r="NA75"/>
      <c r="NB75"/>
      <c r="NC75"/>
      <c r="ND75"/>
      <c r="NE75"/>
      <c r="NF75"/>
      <c r="NG75"/>
      <c r="NH75"/>
      <c r="NI75"/>
      <c r="NJ75"/>
      <c r="NK75"/>
      <c r="NL75"/>
      <c r="NM75"/>
      <c r="NN75"/>
      <c r="NO75"/>
      <c r="NP75"/>
      <c r="NQ75"/>
      <c r="NR75"/>
      <c r="NS75"/>
      <c r="NT75"/>
      <c r="NU75"/>
      <c r="NV75"/>
      <c r="NW75"/>
      <c r="NX75"/>
      <c r="NY75"/>
      <c r="NZ75"/>
      <c r="OA75"/>
      <c r="OB75"/>
      <c r="OC75"/>
      <c r="OD75"/>
      <c r="OE75"/>
      <c r="OF75"/>
      <c r="OG75"/>
      <c r="OH75"/>
      <c r="OI75"/>
      <c r="OJ75"/>
      <c r="OK75"/>
      <c r="OL75"/>
      <c r="OM75"/>
      <c r="ON75"/>
      <c r="OO75"/>
      <c r="OP75"/>
      <c r="OQ75"/>
      <c r="OR75"/>
      <c r="OS75"/>
      <c r="OT75"/>
      <c r="OU75"/>
      <c r="OV75"/>
      <c r="OW75"/>
      <c r="OX75"/>
      <c r="OY75"/>
      <c r="OZ75"/>
      <c r="PA75"/>
      <c r="PB75"/>
      <c r="PC75"/>
      <c r="PD75"/>
      <c r="PE75"/>
      <c r="PF75"/>
      <c r="PG75"/>
      <c r="PH75"/>
      <c r="PI75"/>
      <c r="PJ75"/>
      <c r="PK75"/>
      <c r="PL75"/>
      <c r="PM75"/>
      <c r="PN75"/>
      <c r="PO75"/>
      <c r="PP75"/>
      <c r="PQ75"/>
      <c r="PR75"/>
      <c r="PS75"/>
      <c r="PT75"/>
      <c r="PU75"/>
      <c r="PV75"/>
      <c r="PW75"/>
      <c r="PX75"/>
      <c r="PY75"/>
      <c r="PZ75"/>
      <c r="QA75"/>
      <c r="QB75"/>
      <c r="QC75"/>
      <c r="QD75"/>
      <c r="QE75"/>
      <c r="QF75"/>
      <c r="QG75"/>
      <c r="QH75"/>
      <c r="QI75"/>
      <c r="QJ75"/>
      <c r="QK75"/>
      <c r="QL75"/>
      <c r="QM75"/>
      <c r="QN75"/>
      <c r="QO75"/>
      <c r="QP75"/>
      <c r="QQ75"/>
      <c r="QR75"/>
      <c r="QS75"/>
      <c r="QT75"/>
      <c r="QU75"/>
      <c r="QV75"/>
      <c r="QW75"/>
      <c r="QX75"/>
      <c r="QY75"/>
      <c r="QZ75"/>
      <c r="RA75"/>
      <c r="RB75"/>
      <c r="RC75"/>
      <c r="RD75"/>
      <c r="RE75"/>
      <c r="RF75"/>
      <c r="RG75"/>
      <c r="RH75"/>
      <c r="RI75"/>
      <c r="RJ75"/>
      <c r="RK75"/>
      <c r="RL75"/>
      <c r="RM75"/>
      <c r="RN75"/>
      <c r="RO75"/>
      <c r="RP75"/>
      <c r="RQ75"/>
      <c r="RR75"/>
      <c r="RS75"/>
      <c r="RT75"/>
      <c r="RU75"/>
      <c r="RV75"/>
      <c r="RW75"/>
      <c r="RX75"/>
      <c r="RY75"/>
      <c r="RZ75"/>
      <c r="SA75"/>
      <c r="SB75"/>
      <c r="SC75"/>
      <c r="SD75"/>
      <c r="SE75"/>
      <c r="SF75"/>
      <c r="SG75"/>
      <c r="SH75"/>
      <c r="SI75"/>
      <c r="SJ75"/>
      <c r="SK75"/>
      <c r="SL75"/>
      <c r="SM75"/>
      <c r="SN75"/>
      <c r="SO75"/>
      <c r="SP75"/>
      <c r="SQ75"/>
      <c r="SR75"/>
      <c r="SS75"/>
      <c r="ST75"/>
      <c r="SU75"/>
      <c r="SV75"/>
      <c r="SW75"/>
      <c r="SX75"/>
      <c r="SY75"/>
      <c r="SZ75"/>
      <c r="TA75"/>
      <c r="TB75"/>
      <c r="TC75"/>
      <c r="TD75"/>
      <c r="TE75"/>
      <c r="TF75"/>
      <c r="TG75"/>
      <c r="TH75"/>
    </row>
    <row r="76" spans="3:528" x14ac:dyDescent="0.25">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c r="KT76"/>
      <c r="KU76"/>
      <c r="KV76"/>
      <c r="KW76"/>
      <c r="KX76"/>
      <c r="KY76"/>
      <c r="KZ76"/>
      <c r="LA76"/>
      <c r="LB76"/>
      <c r="LC76"/>
      <c r="LD76"/>
      <c r="LE76"/>
      <c r="LF76"/>
      <c r="LG76"/>
      <c r="LH76"/>
      <c r="LI76"/>
      <c r="LJ76"/>
      <c r="LK76"/>
      <c r="LL76"/>
      <c r="LM76"/>
      <c r="LN76"/>
      <c r="LO76"/>
      <c r="LP76"/>
      <c r="LQ76"/>
      <c r="LR76"/>
      <c r="LS76"/>
      <c r="LT76"/>
      <c r="LU76"/>
      <c r="LV76"/>
      <c r="LW76"/>
      <c r="LX76"/>
      <c r="LY76"/>
      <c r="LZ76"/>
      <c r="MA76"/>
      <c r="MB76"/>
      <c r="MC76"/>
      <c r="MD76"/>
      <c r="ME76"/>
      <c r="MF76"/>
      <c r="MG76"/>
      <c r="MH76"/>
      <c r="MI76"/>
      <c r="MJ76"/>
      <c r="MK76"/>
      <c r="ML76"/>
      <c r="MM76"/>
      <c r="MN76"/>
      <c r="MO76"/>
      <c r="MP76"/>
      <c r="MQ76"/>
      <c r="MR76"/>
      <c r="MS76"/>
      <c r="MT76"/>
      <c r="MU76"/>
      <c r="MV76"/>
      <c r="MW76"/>
      <c r="MX76"/>
      <c r="MY76"/>
      <c r="MZ76"/>
      <c r="NA76"/>
      <c r="NB76"/>
      <c r="NC76"/>
      <c r="ND76"/>
      <c r="NE76"/>
      <c r="NF76"/>
      <c r="NG76"/>
      <c r="NH76"/>
      <c r="NI76"/>
      <c r="NJ76"/>
      <c r="NK76"/>
      <c r="NL76"/>
      <c r="NM76"/>
      <c r="NN76"/>
      <c r="NO76"/>
      <c r="NP76"/>
      <c r="NQ76"/>
      <c r="NR76"/>
      <c r="NS76"/>
      <c r="NT76"/>
      <c r="NU76"/>
      <c r="NV76"/>
      <c r="NW76"/>
      <c r="NX76"/>
      <c r="NY76"/>
      <c r="NZ76"/>
      <c r="OA76"/>
      <c r="OB76"/>
      <c r="OC76"/>
      <c r="OD76"/>
      <c r="OE76"/>
      <c r="OF76"/>
      <c r="OG76"/>
      <c r="OH76"/>
      <c r="OI76"/>
      <c r="OJ76"/>
      <c r="OK76"/>
      <c r="OL76"/>
      <c r="OM76"/>
      <c r="ON76"/>
      <c r="OO76"/>
      <c r="OP76"/>
      <c r="OQ76"/>
      <c r="OR76"/>
      <c r="OS76"/>
      <c r="OT76"/>
      <c r="OU76"/>
      <c r="OV76"/>
      <c r="OW76"/>
      <c r="OX76"/>
      <c r="OY76"/>
      <c r="OZ76"/>
      <c r="PA76"/>
      <c r="PB76"/>
      <c r="PC76"/>
      <c r="PD76"/>
      <c r="PE76"/>
      <c r="PF76"/>
      <c r="PG76"/>
      <c r="PH76"/>
      <c r="PI76"/>
      <c r="PJ76"/>
      <c r="PK76"/>
      <c r="PL76"/>
      <c r="PM76"/>
      <c r="PN76"/>
      <c r="PO76"/>
      <c r="PP76"/>
      <c r="PQ76"/>
      <c r="PR76"/>
      <c r="PS76"/>
      <c r="PT76"/>
      <c r="PU76"/>
      <c r="PV76"/>
      <c r="PW76"/>
      <c r="PX76"/>
      <c r="PY76"/>
      <c r="PZ76"/>
      <c r="QA76"/>
      <c r="QB76"/>
      <c r="QC76"/>
      <c r="QD76"/>
      <c r="QE76"/>
      <c r="QF76"/>
      <c r="QG76"/>
      <c r="QH76"/>
      <c r="QI76"/>
      <c r="QJ76"/>
      <c r="QK76"/>
      <c r="QL76"/>
      <c r="QM76"/>
      <c r="QN76"/>
      <c r="QO76"/>
      <c r="QP76"/>
      <c r="QQ76"/>
      <c r="QR76"/>
      <c r="QS76"/>
      <c r="QT76"/>
      <c r="QU76"/>
      <c r="QV76"/>
      <c r="QW76"/>
      <c r="QX76"/>
      <c r="QY76"/>
      <c r="QZ76"/>
      <c r="RA76"/>
      <c r="RB76"/>
      <c r="RC76"/>
      <c r="RD76"/>
      <c r="RE76"/>
      <c r="RF76"/>
      <c r="RG76"/>
      <c r="RH76"/>
      <c r="RI76"/>
      <c r="RJ76"/>
      <c r="RK76"/>
      <c r="RL76"/>
      <c r="RM76"/>
      <c r="RN76"/>
      <c r="RO76"/>
      <c r="RP76"/>
      <c r="RQ76"/>
      <c r="RR76"/>
      <c r="RS76"/>
      <c r="RT76"/>
      <c r="RU76"/>
      <c r="RV76"/>
      <c r="RW76"/>
      <c r="RX76"/>
      <c r="RY76"/>
      <c r="RZ76"/>
      <c r="SA76"/>
      <c r="SB76"/>
      <c r="SC76"/>
      <c r="SD76"/>
      <c r="SE76"/>
      <c r="SF76"/>
      <c r="SG76"/>
      <c r="SH76"/>
      <c r="SI76"/>
      <c r="SJ76"/>
      <c r="SK76"/>
      <c r="SL76"/>
      <c r="SM76"/>
      <c r="SN76"/>
      <c r="SO76"/>
      <c r="SP76"/>
      <c r="SQ76"/>
      <c r="SR76"/>
      <c r="SS76"/>
      <c r="ST76"/>
      <c r="SU76"/>
      <c r="SV76"/>
      <c r="SW76"/>
      <c r="SX76"/>
      <c r="SY76"/>
      <c r="SZ76"/>
      <c r="TA76"/>
      <c r="TB76"/>
      <c r="TC76"/>
      <c r="TD76"/>
      <c r="TE76"/>
      <c r="TF76"/>
      <c r="TG76"/>
      <c r="TH76"/>
    </row>
    <row r="77" spans="3:528" x14ac:dyDescent="0.25">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c r="KT77"/>
      <c r="KU77"/>
      <c r="KV77"/>
      <c r="KW77"/>
      <c r="KX77"/>
      <c r="KY77"/>
      <c r="KZ77"/>
      <c r="LA77"/>
      <c r="LB77"/>
      <c r="LC77"/>
      <c r="LD77"/>
      <c r="LE77"/>
      <c r="LF77"/>
      <c r="LG77"/>
      <c r="LH77"/>
      <c r="LI77"/>
      <c r="LJ77"/>
      <c r="LK77"/>
      <c r="LL77"/>
      <c r="LM77"/>
      <c r="LN77"/>
      <c r="LO77"/>
      <c r="LP77"/>
      <c r="LQ77"/>
      <c r="LR77"/>
      <c r="LS77"/>
      <c r="LT77"/>
      <c r="LU77"/>
      <c r="LV77"/>
      <c r="LW77"/>
      <c r="LX77"/>
      <c r="LY77"/>
      <c r="LZ77"/>
      <c r="MA77"/>
      <c r="MB77"/>
      <c r="MC77"/>
      <c r="MD77"/>
      <c r="ME77"/>
      <c r="MF77"/>
      <c r="MG77"/>
      <c r="MH77"/>
      <c r="MI77"/>
      <c r="MJ77"/>
      <c r="MK77"/>
      <c r="ML77"/>
      <c r="MM77"/>
      <c r="MN77"/>
      <c r="MO77"/>
      <c r="MP77"/>
      <c r="MQ77"/>
      <c r="MR77"/>
      <c r="MS77"/>
      <c r="MT77"/>
      <c r="MU77"/>
      <c r="MV77"/>
      <c r="MW77"/>
      <c r="MX77"/>
      <c r="MY77"/>
      <c r="MZ77"/>
      <c r="NA77"/>
      <c r="NB77"/>
      <c r="NC77"/>
      <c r="ND77"/>
      <c r="NE77"/>
      <c r="NF77"/>
      <c r="NG77"/>
      <c r="NH77"/>
      <c r="NI77"/>
      <c r="NJ77"/>
      <c r="NK77"/>
      <c r="NL77"/>
      <c r="NM77"/>
      <c r="NN77"/>
      <c r="NO77"/>
      <c r="NP77"/>
      <c r="NQ77"/>
      <c r="NR77"/>
      <c r="NS77"/>
      <c r="NT77"/>
      <c r="NU77"/>
      <c r="NV77"/>
      <c r="NW77"/>
      <c r="NX77"/>
      <c r="NY77"/>
      <c r="NZ77"/>
      <c r="OA77"/>
      <c r="OB77"/>
      <c r="OC77"/>
      <c r="OD77"/>
      <c r="OE77"/>
      <c r="OF77"/>
      <c r="OG77"/>
      <c r="OH77"/>
      <c r="OI77"/>
      <c r="OJ77"/>
      <c r="OK77"/>
      <c r="OL77"/>
      <c r="OM77"/>
      <c r="ON77"/>
      <c r="OO77"/>
      <c r="OP77"/>
      <c r="OQ77"/>
      <c r="OR77"/>
      <c r="OS77"/>
      <c r="OT77"/>
      <c r="OU77"/>
      <c r="OV77"/>
      <c r="OW77"/>
      <c r="OX77"/>
      <c r="OY77"/>
      <c r="OZ77"/>
      <c r="PA77"/>
      <c r="PB77"/>
      <c r="PC77"/>
      <c r="PD77"/>
      <c r="PE77"/>
      <c r="PF77"/>
      <c r="PG77"/>
      <c r="PH77"/>
      <c r="PI77"/>
      <c r="PJ77"/>
      <c r="PK77"/>
      <c r="PL77"/>
      <c r="PM77"/>
      <c r="PN77"/>
      <c r="PO77"/>
      <c r="PP77"/>
      <c r="PQ77"/>
      <c r="PR77"/>
      <c r="PS77"/>
      <c r="PT77"/>
      <c r="PU77"/>
      <c r="PV77"/>
      <c r="PW77"/>
      <c r="PX77"/>
      <c r="PY77"/>
      <c r="PZ77"/>
      <c r="QA77"/>
      <c r="QB77"/>
      <c r="QC77"/>
      <c r="QD77"/>
      <c r="QE77"/>
      <c r="QF77"/>
      <c r="QG77"/>
      <c r="QH77"/>
      <c r="QI77"/>
      <c r="QJ77"/>
      <c r="QK77"/>
      <c r="QL77"/>
      <c r="QM77"/>
      <c r="QN77"/>
      <c r="QO77"/>
      <c r="QP77"/>
      <c r="QQ77"/>
      <c r="QR77"/>
      <c r="QS77"/>
      <c r="QT77"/>
      <c r="QU77"/>
      <c r="QV77"/>
      <c r="QW77"/>
      <c r="QX77"/>
      <c r="QY77"/>
      <c r="QZ77"/>
      <c r="RA77"/>
      <c r="RB77"/>
      <c r="RC77"/>
      <c r="RD77"/>
      <c r="RE77"/>
      <c r="RF77"/>
      <c r="RG77"/>
      <c r="RH77"/>
      <c r="RI77"/>
      <c r="RJ77"/>
      <c r="RK77"/>
      <c r="RL77"/>
      <c r="RM77"/>
      <c r="RN77"/>
      <c r="RO77"/>
      <c r="RP77"/>
      <c r="RQ77"/>
      <c r="RR77"/>
      <c r="RS77"/>
      <c r="RT77"/>
      <c r="RU77"/>
      <c r="RV77"/>
      <c r="RW77"/>
      <c r="RX77"/>
      <c r="RY77"/>
      <c r="RZ77"/>
      <c r="SA77"/>
      <c r="SB77"/>
      <c r="SC77"/>
      <c r="SD77"/>
      <c r="SE77"/>
      <c r="SF77"/>
      <c r="SG77"/>
      <c r="SH77"/>
      <c r="SI77"/>
      <c r="SJ77"/>
      <c r="SK77"/>
      <c r="SL77"/>
      <c r="SM77"/>
      <c r="SN77"/>
      <c r="SO77"/>
      <c r="SP77"/>
      <c r="SQ77"/>
      <c r="SR77"/>
      <c r="SS77"/>
      <c r="ST77"/>
      <c r="SU77"/>
      <c r="SV77"/>
      <c r="SW77"/>
      <c r="SX77"/>
      <c r="SY77"/>
      <c r="SZ77"/>
      <c r="TA77"/>
      <c r="TB77"/>
      <c r="TC77"/>
      <c r="TD77"/>
      <c r="TE77"/>
      <c r="TF77"/>
      <c r="TG77"/>
      <c r="TH77"/>
    </row>
    <row r="78" spans="3:528" x14ac:dyDescent="0.25">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c r="KT78"/>
      <c r="KU78"/>
      <c r="KV78"/>
      <c r="KW78"/>
      <c r="KX78"/>
      <c r="KY78"/>
      <c r="KZ78"/>
      <c r="LA78"/>
      <c r="LB78"/>
      <c r="LC78"/>
      <c r="LD78"/>
      <c r="LE78"/>
      <c r="LF78"/>
      <c r="LG78"/>
      <c r="LH78"/>
      <c r="LI78"/>
      <c r="LJ78"/>
      <c r="LK78"/>
      <c r="LL78"/>
      <c r="LM78"/>
      <c r="LN78"/>
      <c r="LO78"/>
      <c r="LP78"/>
      <c r="LQ78"/>
      <c r="LR78"/>
      <c r="LS78"/>
      <c r="LT78"/>
      <c r="LU78"/>
      <c r="LV78"/>
      <c r="LW78"/>
      <c r="LX78"/>
      <c r="LY78"/>
      <c r="LZ78"/>
      <c r="MA78"/>
      <c r="MB78"/>
      <c r="MC78"/>
      <c r="MD78"/>
      <c r="ME78"/>
      <c r="MF78"/>
      <c r="MG78"/>
      <c r="MH78"/>
      <c r="MI78"/>
      <c r="MJ78"/>
      <c r="MK78"/>
      <c r="ML78"/>
      <c r="MM78"/>
      <c r="MN78"/>
      <c r="MO78"/>
      <c r="MP78"/>
      <c r="MQ78"/>
      <c r="MR78"/>
      <c r="MS78"/>
      <c r="MT78"/>
      <c r="MU78"/>
      <c r="MV78"/>
      <c r="MW78"/>
      <c r="MX78"/>
      <c r="MY78"/>
      <c r="MZ78"/>
      <c r="NA78"/>
      <c r="NB78"/>
      <c r="NC78"/>
      <c r="ND78"/>
      <c r="NE78"/>
      <c r="NF78"/>
      <c r="NG78"/>
      <c r="NH78"/>
      <c r="NI78"/>
      <c r="NJ78"/>
      <c r="NK78"/>
      <c r="NL78"/>
      <c r="NM78"/>
      <c r="NN78"/>
      <c r="NO78"/>
      <c r="NP78"/>
      <c r="NQ78"/>
      <c r="NR78"/>
      <c r="NS78"/>
      <c r="NT78"/>
      <c r="NU78"/>
      <c r="NV78"/>
      <c r="NW78"/>
      <c r="NX78"/>
      <c r="NY78"/>
      <c r="NZ78"/>
      <c r="OA78"/>
      <c r="OB78"/>
      <c r="OC78"/>
      <c r="OD78"/>
      <c r="OE78"/>
      <c r="OF78"/>
      <c r="OG78"/>
      <c r="OH78"/>
      <c r="OI78"/>
      <c r="OJ78"/>
      <c r="OK78"/>
      <c r="OL78"/>
      <c r="OM78"/>
      <c r="ON78"/>
      <c r="OO78"/>
      <c r="OP78"/>
      <c r="OQ78"/>
      <c r="OR78"/>
      <c r="OS78"/>
      <c r="OT78"/>
      <c r="OU78"/>
      <c r="OV78"/>
      <c r="OW78"/>
      <c r="OX78"/>
      <c r="OY78"/>
      <c r="OZ78"/>
      <c r="PA78"/>
      <c r="PB78"/>
      <c r="PC78"/>
      <c r="PD78"/>
      <c r="PE78"/>
      <c r="PF78"/>
      <c r="PG78"/>
      <c r="PH78"/>
      <c r="PI78"/>
      <c r="PJ78"/>
      <c r="PK78"/>
      <c r="PL78"/>
      <c r="PM78"/>
      <c r="PN78"/>
      <c r="PO78"/>
      <c r="PP78"/>
      <c r="PQ78"/>
      <c r="PR78"/>
      <c r="PS78"/>
      <c r="PT78"/>
      <c r="PU78"/>
      <c r="PV78"/>
      <c r="PW78"/>
      <c r="PX78"/>
      <c r="PY78"/>
      <c r="PZ78"/>
      <c r="QA78"/>
      <c r="QB78"/>
      <c r="QC78"/>
      <c r="QD78"/>
      <c r="QE78"/>
      <c r="QF78"/>
      <c r="QG78"/>
      <c r="QH78"/>
      <c r="QI78"/>
      <c r="QJ78"/>
      <c r="QK78"/>
      <c r="QL78"/>
      <c r="QM78"/>
      <c r="QN78"/>
      <c r="QO78"/>
      <c r="QP78"/>
      <c r="QQ78"/>
      <c r="QR78"/>
      <c r="QS78"/>
      <c r="QT78"/>
      <c r="QU78"/>
      <c r="QV78"/>
      <c r="QW78"/>
      <c r="QX78"/>
      <c r="QY78"/>
      <c r="QZ78"/>
      <c r="RA78"/>
      <c r="RB78"/>
      <c r="RC78"/>
      <c r="RD78"/>
      <c r="RE78"/>
      <c r="RF78"/>
      <c r="RG78"/>
      <c r="RH78"/>
      <c r="RI78"/>
      <c r="RJ78"/>
      <c r="RK78"/>
      <c r="RL78"/>
      <c r="RM78"/>
      <c r="RN78"/>
      <c r="RO78"/>
      <c r="RP78"/>
      <c r="RQ78"/>
      <c r="RR78"/>
      <c r="RS78"/>
      <c r="RT78"/>
      <c r="RU78"/>
      <c r="RV78"/>
      <c r="RW78"/>
      <c r="RX78"/>
      <c r="RY78"/>
      <c r="RZ78"/>
      <c r="SA78"/>
      <c r="SB78"/>
      <c r="SC78"/>
      <c r="SD78"/>
      <c r="SE78"/>
      <c r="SF78"/>
      <c r="SG78"/>
      <c r="SH78"/>
      <c r="SI78"/>
      <c r="SJ78"/>
      <c r="SK78"/>
      <c r="SL78"/>
      <c r="SM78"/>
      <c r="SN78"/>
      <c r="SO78"/>
      <c r="SP78"/>
      <c r="SQ78"/>
      <c r="SR78"/>
      <c r="SS78"/>
      <c r="ST78"/>
      <c r="SU78"/>
      <c r="SV78"/>
      <c r="SW78"/>
      <c r="SX78"/>
      <c r="SY78"/>
      <c r="SZ78"/>
      <c r="TA78"/>
      <c r="TB78"/>
      <c r="TC78"/>
      <c r="TD78"/>
      <c r="TE78"/>
      <c r="TF78"/>
      <c r="TG78"/>
      <c r="TH78"/>
    </row>
    <row r="79" spans="3:528" x14ac:dyDescent="0.25">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c r="KT79"/>
      <c r="KU79"/>
      <c r="KV79"/>
      <c r="KW79"/>
      <c r="KX79"/>
      <c r="KY79"/>
      <c r="KZ79"/>
      <c r="LA79"/>
      <c r="LB79"/>
      <c r="LC79"/>
      <c r="LD79"/>
      <c r="LE79"/>
      <c r="LF79"/>
      <c r="LG79"/>
      <c r="LH79"/>
      <c r="LI79"/>
      <c r="LJ79"/>
      <c r="LK79"/>
      <c r="LL79"/>
      <c r="LM79"/>
      <c r="LN79"/>
      <c r="LO79"/>
      <c r="LP79"/>
      <c r="LQ79"/>
      <c r="LR79"/>
      <c r="LS79"/>
      <c r="LT79"/>
      <c r="LU79"/>
      <c r="LV79"/>
      <c r="LW79"/>
      <c r="LX79"/>
      <c r="LY79"/>
      <c r="LZ79"/>
      <c r="MA79"/>
      <c r="MB79"/>
      <c r="MC79"/>
      <c r="MD79"/>
      <c r="ME79"/>
      <c r="MF79"/>
      <c r="MG79"/>
      <c r="MH79"/>
      <c r="MI79"/>
      <c r="MJ79"/>
      <c r="MK79"/>
      <c r="ML79"/>
      <c r="MM79"/>
      <c r="MN79"/>
      <c r="MO79"/>
      <c r="MP79"/>
      <c r="MQ79"/>
      <c r="MR79"/>
      <c r="MS79"/>
      <c r="MT79"/>
      <c r="MU79"/>
      <c r="MV79"/>
      <c r="MW79"/>
      <c r="MX79"/>
      <c r="MY79"/>
      <c r="MZ79"/>
      <c r="NA79"/>
      <c r="NB79"/>
      <c r="NC79"/>
      <c r="ND79"/>
      <c r="NE79"/>
      <c r="NF79"/>
      <c r="NG79"/>
      <c r="NH79"/>
      <c r="NI79"/>
      <c r="NJ79"/>
      <c r="NK79"/>
      <c r="NL79"/>
      <c r="NM79"/>
      <c r="NN79"/>
      <c r="NO79"/>
      <c r="NP79"/>
      <c r="NQ79"/>
      <c r="NR79"/>
      <c r="NS79"/>
      <c r="NT79"/>
      <c r="NU79"/>
      <c r="NV79"/>
      <c r="NW79"/>
      <c r="NX79"/>
      <c r="NY79"/>
      <c r="NZ79"/>
      <c r="OA79"/>
      <c r="OB79"/>
      <c r="OC79"/>
      <c r="OD79"/>
      <c r="OE79"/>
      <c r="OF79"/>
      <c r="OG79"/>
      <c r="OH79"/>
      <c r="OI79"/>
      <c r="OJ79"/>
      <c r="OK79"/>
      <c r="OL79"/>
      <c r="OM79"/>
      <c r="ON79"/>
      <c r="OO79"/>
      <c r="OP79"/>
      <c r="OQ79"/>
      <c r="OR79"/>
      <c r="OS79"/>
      <c r="OT79"/>
      <c r="OU79"/>
      <c r="OV79"/>
      <c r="OW79"/>
      <c r="OX79"/>
      <c r="OY79"/>
      <c r="OZ79"/>
      <c r="PA79"/>
      <c r="PB79"/>
      <c r="PC79"/>
      <c r="PD79"/>
      <c r="PE79"/>
      <c r="PF79"/>
      <c r="PG79"/>
      <c r="PH79"/>
      <c r="PI79"/>
      <c r="PJ79"/>
      <c r="PK79"/>
      <c r="PL79"/>
      <c r="PM79"/>
      <c r="PN79"/>
      <c r="PO79"/>
      <c r="PP79"/>
      <c r="PQ79"/>
      <c r="PR79"/>
      <c r="PS79"/>
      <c r="PT79"/>
      <c r="PU79"/>
      <c r="PV79"/>
      <c r="PW79"/>
      <c r="PX79"/>
      <c r="PY79"/>
      <c r="PZ79"/>
      <c r="QA79"/>
      <c r="QB79"/>
      <c r="QC79"/>
      <c r="QD79"/>
      <c r="QE79"/>
      <c r="QF79"/>
      <c r="QG79"/>
      <c r="QH79"/>
      <c r="QI79"/>
      <c r="QJ79"/>
      <c r="QK79"/>
      <c r="QL79"/>
      <c r="QM79"/>
      <c r="QN79"/>
      <c r="QO79"/>
      <c r="QP79"/>
      <c r="QQ79"/>
      <c r="QR79"/>
      <c r="QS79"/>
      <c r="QT79"/>
      <c r="QU79"/>
      <c r="QV79"/>
      <c r="QW79"/>
      <c r="QX79"/>
      <c r="QY79"/>
      <c r="QZ79"/>
      <c r="RA79"/>
      <c r="RB79"/>
      <c r="RC79"/>
      <c r="RD79"/>
      <c r="RE79"/>
      <c r="RF79"/>
      <c r="RG79"/>
      <c r="RH79"/>
      <c r="RI79"/>
      <c r="RJ79"/>
      <c r="RK79"/>
      <c r="RL79"/>
      <c r="RM79"/>
      <c r="RN79"/>
      <c r="RO79"/>
      <c r="RP79"/>
      <c r="RQ79"/>
      <c r="RR79"/>
      <c r="RS79"/>
      <c r="RT79"/>
      <c r="RU79"/>
      <c r="RV79"/>
      <c r="RW79"/>
      <c r="RX79"/>
      <c r="RY79"/>
      <c r="RZ79"/>
      <c r="SA79"/>
      <c r="SB79"/>
      <c r="SC79"/>
      <c r="SD79"/>
      <c r="SE79"/>
      <c r="SF79"/>
      <c r="SG79"/>
      <c r="SH79"/>
      <c r="SI79"/>
      <c r="SJ79"/>
      <c r="SK79"/>
      <c r="SL79"/>
      <c r="SM79"/>
      <c r="SN79"/>
      <c r="SO79"/>
      <c r="SP79"/>
      <c r="SQ79"/>
      <c r="SR79"/>
      <c r="SS79"/>
      <c r="ST79"/>
      <c r="SU79"/>
      <c r="SV79"/>
      <c r="SW79"/>
      <c r="SX79"/>
      <c r="SY79"/>
      <c r="SZ79"/>
      <c r="TA79"/>
      <c r="TB79"/>
      <c r="TC79"/>
      <c r="TD79"/>
      <c r="TE79"/>
      <c r="TF79"/>
      <c r="TG79"/>
      <c r="TH79"/>
    </row>
    <row r="80" spans="3:528" x14ac:dyDescent="0.25">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c r="KT80"/>
      <c r="KU80"/>
      <c r="KV80"/>
      <c r="KW80"/>
      <c r="KX80"/>
      <c r="KY80"/>
      <c r="KZ80"/>
      <c r="LA80"/>
      <c r="LB80"/>
      <c r="LC80"/>
      <c r="LD80"/>
      <c r="LE80"/>
      <c r="LF80"/>
      <c r="LG80"/>
      <c r="LH80"/>
      <c r="LI80"/>
      <c r="LJ80"/>
      <c r="LK80"/>
      <c r="LL80"/>
      <c r="LM80"/>
      <c r="LN80"/>
      <c r="LO80"/>
      <c r="LP80"/>
      <c r="LQ80"/>
      <c r="LR80"/>
      <c r="LS80"/>
      <c r="LT80"/>
      <c r="LU80"/>
      <c r="LV80"/>
      <c r="LW80"/>
      <c r="LX80"/>
      <c r="LY80"/>
      <c r="LZ80"/>
      <c r="MA80"/>
      <c r="MB80"/>
      <c r="MC80"/>
      <c r="MD80"/>
      <c r="ME80"/>
      <c r="MF80"/>
      <c r="MG80"/>
      <c r="MH80"/>
      <c r="MI80"/>
      <c r="MJ80"/>
      <c r="MK80"/>
      <c r="ML80"/>
      <c r="MM80"/>
      <c r="MN80"/>
      <c r="MO80"/>
      <c r="MP80"/>
      <c r="MQ80"/>
      <c r="MR80"/>
      <c r="MS80"/>
      <c r="MT80"/>
      <c r="MU80"/>
      <c r="MV80"/>
      <c r="MW80"/>
      <c r="MX80"/>
      <c r="MY80"/>
      <c r="MZ80"/>
      <c r="NA80"/>
      <c r="NB80"/>
      <c r="NC80"/>
      <c r="ND80"/>
      <c r="NE80"/>
      <c r="NF80"/>
      <c r="NG80"/>
      <c r="NH80"/>
      <c r="NI80"/>
      <c r="NJ80"/>
      <c r="NK80"/>
      <c r="NL80"/>
      <c r="NM80"/>
      <c r="NN80"/>
      <c r="NO80"/>
      <c r="NP80"/>
      <c r="NQ80"/>
      <c r="NR80"/>
      <c r="NS80"/>
      <c r="NT80"/>
      <c r="NU80"/>
      <c r="NV80"/>
      <c r="NW80"/>
      <c r="NX80"/>
      <c r="NY80"/>
      <c r="NZ80"/>
      <c r="OA80"/>
      <c r="OB80"/>
      <c r="OC80"/>
      <c r="OD80"/>
      <c r="OE80"/>
      <c r="OF80"/>
      <c r="OG80"/>
      <c r="OH80"/>
      <c r="OI80"/>
      <c r="OJ80"/>
      <c r="OK80"/>
      <c r="OL80"/>
      <c r="OM80"/>
      <c r="ON80"/>
      <c r="OO80"/>
      <c r="OP80"/>
      <c r="OQ80"/>
      <c r="OR80"/>
      <c r="OS80"/>
      <c r="OT80"/>
      <c r="OU80"/>
      <c r="OV80"/>
      <c r="OW80"/>
      <c r="OX80"/>
      <c r="OY80"/>
      <c r="OZ80"/>
      <c r="PA80"/>
      <c r="PB80"/>
      <c r="PC80"/>
      <c r="PD80"/>
      <c r="PE80"/>
      <c r="PF80"/>
      <c r="PG80"/>
      <c r="PH80"/>
      <c r="PI80"/>
      <c r="PJ80"/>
      <c r="PK80"/>
      <c r="PL80"/>
      <c r="PM80"/>
      <c r="PN80"/>
      <c r="PO80"/>
      <c r="PP80"/>
      <c r="PQ80"/>
      <c r="PR80"/>
      <c r="PS80"/>
      <c r="PT80"/>
      <c r="PU80"/>
      <c r="PV80"/>
      <c r="PW80"/>
      <c r="PX80"/>
      <c r="PY80"/>
      <c r="PZ80"/>
      <c r="QA80"/>
      <c r="QB80"/>
      <c r="QC80"/>
      <c r="QD80"/>
      <c r="QE80"/>
      <c r="QF80"/>
      <c r="QG80"/>
      <c r="QH80"/>
      <c r="QI80"/>
      <c r="QJ80"/>
      <c r="QK80"/>
      <c r="QL80"/>
      <c r="QM80"/>
      <c r="QN80"/>
      <c r="QO80"/>
      <c r="QP80"/>
      <c r="QQ80"/>
      <c r="QR80"/>
      <c r="QS80"/>
      <c r="QT80"/>
      <c r="QU80"/>
      <c r="QV80"/>
      <c r="QW80"/>
      <c r="QX80"/>
      <c r="QY80"/>
      <c r="QZ80"/>
      <c r="RA80"/>
      <c r="RB80"/>
      <c r="RC80"/>
      <c r="RD80"/>
      <c r="RE80"/>
      <c r="RF80"/>
      <c r="RG80"/>
      <c r="RH80"/>
      <c r="RI80"/>
      <c r="RJ80"/>
      <c r="RK80"/>
      <c r="RL80"/>
      <c r="RM80"/>
      <c r="RN80"/>
      <c r="RO80"/>
      <c r="RP80"/>
      <c r="RQ80"/>
      <c r="RR80"/>
      <c r="RS80"/>
      <c r="RT80"/>
      <c r="RU80"/>
      <c r="RV80"/>
      <c r="RW80"/>
      <c r="RX80"/>
      <c r="RY80"/>
      <c r="RZ80"/>
      <c r="SA80"/>
      <c r="SB80"/>
      <c r="SC80"/>
      <c r="SD80"/>
      <c r="SE80"/>
      <c r="SF80"/>
      <c r="SG80"/>
      <c r="SH80"/>
      <c r="SI80"/>
      <c r="SJ80"/>
      <c r="SK80"/>
      <c r="SL80"/>
      <c r="SM80"/>
      <c r="SN80"/>
      <c r="SO80"/>
      <c r="SP80"/>
      <c r="SQ80"/>
      <c r="SR80"/>
      <c r="SS80"/>
      <c r="ST80"/>
      <c r="SU80"/>
      <c r="SV80"/>
      <c r="SW80"/>
      <c r="SX80"/>
      <c r="SY80"/>
      <c r="SZ80"/>
      <c r="TA80"/>
      <c r="TB80"/>
      <c r="TC80"/>
      <c r="TD80"/>
      <c r="TE80"/>
      <c r="TF80"/>
      <c r="TG80"/>
      <c r="TH80"/>
    </row>
    <row r="81" spans="3:528" x14ac:dyDescent="0.25">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c r="KT81"/>
      <c r="KU81"/>
      <c r="KV81"/>
      <c r="KW81"/>
      <c r="KX81"/>
      <c r="KY81"/>
      <c r="KZ81"/>
      <c r="LA81"/>
      <c r="LB81"/>
      <c r="LC81"/>
      <c r="LD81"/>
      <c r="LE81"/>
      <c r="LF81"/>
      <c r="LG81"/>
      <c r="LH81"/>
      <c r="LI81"/>
      <c r="LJ81"/>
      <c r="LK81"/>
      <c r="LL81"/>
      <c r="LM81"/>
      <c r="LN81"/>
      <c r="LO81"/>
      <c r="LP81"/>
      <c r="LQ81"/>
      <c r="LR81"/>
      <c r="LS81"/>
      <c r="LT81"/>
      <c r="LU81"/>
      <c r="LV81"/>
      <c r="LW81"/>
      <c r="LX81"/>
      <c r="LY81"/>
      <c r="LZ81"/>
      <c r="MA81"/>
      <c r="MB81"/>
      <c r="MC81"/>
      <c r="MD81"/>
      <c r="ME81"/>
      <c r="MF81"/>
      <c r="MG81"/>
      <c r="MH81"/>
      <c r="MI81"/>
      <c r="MJ81"/>
      <c r="MK81"/>
      <c r="ML81"/>
      <c r="MM81"/>
      <c r="MN81"/>
      <c r="MO81"/>
      <c r="MP81"/>
      <c r="MQ81"/>
      <c r="MR81"/>
      <c r="MS81"/>
      <c r="MT81"/>
      <c r="MU81"/>
      <c r="MV81"/>
      <c r="MW81"/>
      <c r="MX81"/>
      <c r="MY81"/>
      <c r="MZ81"/>
      <c r="NA81"/>
      <c r="NB81"/>
      <c r="NC81"/>
      <c r="ND81"/>
      <c r="NE81"/>
      <c r="NF81"/>
      <c r="NG81"/>
      <c r="NH81"/>
      <c r="NI81"/>
      <c r="NJ81"/>
      <c r="NK81"/>
      <c r="NL81"/>
      <c r="NM81"/>
      <c r="NN81"/>
      <c r="NO81"/>
      <c r="NP81"/>
      <c r="NQ81"/>
      <c r="NR81"/>
      <c r="NS81"/>
      <c r="NT81"/>
      <c r="NU81"/>
      <c r="NV81"/>
      <c r="NW81"/>
      <c r="NX81"/>
      <c r="NY81"/>
      <c r="NZ81"/>
      <c r="OA81"/>
      <c r="OB81"/>
      <c r="OC81"/>
      <c r="OD81"/>
      <c r="OE81"/>
      <c r="OF81"/>
      <c r="OG81"/>
      <c r="OH81"/>
      <c r="OI81"/>
      <c r="OJ81"/>
      <c r="OK81"/>
      <c r="OL81"/>
      <c r="OM81"/>
      <c r="ON81"/>
      <c r="OO81"/>
      <c r="OP81"/>
      <c r="OQ81"/>
      <c r="OR81"/>
      <c r="OS81"/>
      <c r="OT81"/>
      <c r="OU81"/>
      <c r="OV81"/>
      <c r="OW81"/>
      <c r="OX81"/>
      <c r="OY81"/>
      <c r="OZ81"/>
      <c r="PA81"/>
      <c r="PB81"/>
      <c r="PC81"/>
      <c r="PD81"/>
      <c r="PE81"/>
      <c r="PF81"/>
      <c r="PG81"/>
      <c r="PH81"/>
      <c r="PI81"/>
      <c r="PJ81"/>
      <c r="PK81"/>
      <c r="PL81"/>
      <c r="PM81"/>
      <c r="PN81"/>
      <c r="PO81"/>
      <c r="PP81"/>
      <c r="PQ81"/>
      <c r="PR81"/>
      <c r="PS81"/>
      <c r="PT81"/>
      <c r="PU81"/>
      <c r="PV81"/>
      <c r="PW81"/>
      <c r="PX81"/>
      <c r="PY81"/>
      <c r="PZ81"/>
      <c r="QA81"/>
      <c r="QB81"/>
      <c r="QC81"/>
      <c r="QD81"/>
      <c r="QE81"/>
      <c r="QF81"/>
      <c r="QG81"/>
      <c r="QH81"/>
      <c r="QI81"/>
      <c r="QJ81"/>
      <c r="QK81"/>
      <c r="QL81"/>
      <c r="QM81"/>
      <c r="QN81"/>
      <c r="QO81"/>
      <c r="QP81"/>
      <c r="QQ81"/>
      <c r="QR81"/>
      <c r="QS81"/>
      <c r="QT81"/>
      <c r="QU81"/>
      <c r="QV81"/>
      <c r="QW81"/>
      <c r="QX81"/>
      <c r="QY81"/>
      <c r="QZ81"/>
      <c r="RA81"/>
      <c r="RB81"/>
      <c r="RC81"/>
      <c r="RD81"/>
      <c r="RE81"/>
      <c r="RF81"/>
      <c r="RG81"/>
      <c r="RH81"/>
      <c r="RI81"/>
      <c r="RJ81"/>
      <c r="RK81"/>
      <c r="RL81"/>
      <c r="RM81"/>
      <c r="RN81"/>
      <c r="RO81"/>
      <c r="RP81"/>
      <c r="RQ81"/>
      <c r="RR81"/>
      <c r="RS81"/>
      <c r="RT81"/>
      <c r="RU81"/>
      <c r="RV81"/>
      <c r="RW81"/>
      <c r="RX81"/>
      <c r="RY81"/>
      <c r="RZ81"/>
      <c r="SA81"/>
      <c r="SB81"/>
      <c r="SC81"/>
      <c r="SD81"/>
      <c r="SE81"/>
      <c r="SF81"/>
      <c r="SG81"/>
      <c r="SH81"/>
      <c r="SI81"/>
      <c r="SJ81"/>
      <c r="SK81"/>
      <c r="SL81"/>
      <c r="SM81"/>
      <c r="SN81"/>
      <c r="SO81"/>
      <c r="SP81"/>
      <c r="SQ81"/>
      <c r="SR81"/>
      <c r="SS81"/>
      <c r="ST81"/>
      <c r="SU81"/>
      <c r="SV81"/>
      <c r="SW81"/>
      <c r="SX81"/>
      <c r="SY81"/>
      <c r="SZ81"/>
      <c r="TA81"/>
      <c r="TB81"/>
      <c r="TC81"/>
      <c r="TD81"/>
      <c r="TE81"/>
      <c r="TF81"/>
      <c r="TG81"/>
      <c r="TH81"/>
    </row>
    <row r="82" spans="3:528" x14ac:dyDescent="0.25">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c r="KT82"/>
      <c r="KU82"/>
      <c r="KV82"/>
      <c r="KW82"/>
      <c r="KX82"/>
      <c r="KY82"/>
      <c r="KZ82"/>
      <c r="LA82"/>
      <c r="LB82"/>
      <c r="LC82"/>
      <c r="LD82"/>
      <c r="LE82"/>
      <c r="LF82"/>
      <c r="LG82"/>
      <c r="LH82"/>
      <c r="LI82"/>
      <c r="LJ82"/>
      <c r="LK82"/>
      <c r="LL82"/>
      <c r="LM82"/>
      <c r="LN82"/>
      <c r="LO82"/>
      <c r="LP82"/>
      <c r="LQ82"/>
      <c r="LR82"/>
      <c r="LS82"/>
      <c r="LT82"/>
      <c r="LU82"/>
      <c r="LV82"/>
      <c r="LW82"/>
      <c r="LX82"/>
      <c r="LY82"/>
      <c r="LZ82"/>
      <c r="MA82"/>
      <c r="MB82"/>
      <c r="MC82"/>
      <c r="MD82"/>
      <c r="ME82"/>
      <c r="MF82"/>
      <c r="MG82"/>
      <c r="MH82"/>
      <c r="MI82"/>
      <c r="MJ82"/>
      <c r="MK82"/>
      <c r="ML82"/>
      <c r="MM82"/>
      <c r="MN82"/>
      <c r="MO82"/>
      <c r="MP82"/>
      <c r="MQ82"/>
      <c r="MR82"/>
      <c r="MS82"/>
      <c r="MT82"/>
      <c r="MU82"/>
      <c r="MV82"/>
      <c r="MW82"/>
      <c r="MX82"/>
      <c r="MY82"/>
      <c r="MZ82"/>
      <c r="NA82"/>
      <c r="NB82"/>
      <c r="NC82"/>
      <c r="ND82"/>
      <c r="NE82"/>
      <c r="NF82"/>
      <c r="NG82"/>
      <c r="NH82"/>
      <c r="NI82"/>
      <c r="NJ82"/>
      <c r="NK82"/>
      <c r="NL82"/>
      <c r="NM82"/>
      <c r="NN82"/>
      <c r="NO82"/>
      <c r="NP82"/>
      <c r="NQ82"/>
      <c r="NR82"/>
      <c r="NS82"/>
      <c r="NT82"/>
      <c r="NU82"/>
      <c r="NV82"/>
      <c r="NW82"/>
      <c r="NX82"/>
      <c r="NY82"/>
      <c r="NZ82"/>
      <c r="OA82"/>
      <c r="OB82"/>
      <c r="OC82"/>
      <c r="OD82"/>
      <c r="OE82"/>
      <c r="OF82"/>
      <c r="OG82"/>
      <c r="OH82"/>
      <c r="OI82"/>
      <c r="OJ82"/>
      <c r="OK82"/>
      <c r="OL82"/>
      <c r="OM82"/>
      <c r="ON82"/>
      <c r="OO82"/>
      <c r="OP82"/>
      <c r="OQ82"/>
      <c r="OR82"/>
      <c r="OS82"/>
      <c r="OT82"/>
      <c r="OU82"/>
      <c r="OV82"/>
      <c r="OW82"/>
      <c r="OX82"/>
      <c r="OY82"/>
      <c r="OZ82"/>
      <c r="PA82"/>
      <c r="PB82"/>
      <c r="PC82"/>
      <c r="PD82"/>
      <c r="PE82"/>
      <c r="PF82"/>
      <c r="PG82"/>
      <c r="PH82"/>
      <c r="PI82"/>
      <c r="PJ82"/>
      <c r="PK82"/>
      <c r="PL82"/>
      <c r="PM82"/>
      <c r="PN82"/>
      <c r="PO82"/>
      <c r="PP82"/>
      <c r="PQ82"/>
      <c r="PR82"/>
      <c r="PS82"/>
      <c r="PT82"/>
      <c r="PU82"/>
      <c r="PV82"/>
      <c r="PW82"/>
      <c r="PX82"/>
      <c r="PY82"/>
      <c r="PZ82"/>
      <c r="QA82"/>
      <c r="QB82"/>
      <c r="QC82"/>
      <c r="QD82"/>
      <c r="QE82"/>
      <c r="QF82"/>
      <c r="QG82"/>
      <c r="QH82"/>
      <c r="QI82"/>
      <c r="QJ82"/>
      <c r="QK82"/>
      <c r="QL82"/>
      <c r="QM82"/>
      <c r="QN82"/>
      <c r="QO82"/>
      <c r="QP82"/>
      <c r="QQ82"/>
      <c r="QR82"/>
      <c r="QS82"/>
      <c r="QT82"/>
      <c r="QU82"/>
      <c r="QV82"/>
      <c r="QW82"/>
      <c r="QX82"/>
      <c r="QY82"/>
      <c r="QZ82"/>
      <c r="RA82"/>
      <c r="RB82"/>
      <c r="RC82"/>
      <c r="RD82"/>
      <c r="RE82"/>
      <c r="RF82"/>
      <c r="RG82"/>
      <c r="RH82"/>
      <c r="RI82"/>
      <c r="RJ82"/>
      <c r="RK82"/>
      <c r="RL82"/>
      <c r="RM82"/>
      <c r="RN82"/>
      <c r="RO82"/>
      <c r="RP82"/>
      <c r="RQ82"/>
      <c r="RR82"/>
      <c r="RS82"/>
      <c r="RT82"/>
      <c r="RU82"/>
      <c r="RV82"/>
      <c r="RW82"/>
      <c r="RX82"/>
      <c r="RY82"/>
      <c r="RZ82"/>
      <c r="SA82"/>
      <c r="SB82"/>
      <c r="SC82"/>
      <c r="SD82"/>
      <c r="SE82"/>
      <c r="SF82"/>
      <c r="SG82"/>
      <c r="SH82"/>
      <c r="SI82"/>
      <c r="SJ82"/>
      <c r="SK82"/>
      <c r="SL82"/>
      <c r="SM82"/>
      <c r="SN82"/>
      <c r="SO82"/>
      <c r="SP82"/>
      <c r="SQ82"/>
      <c r="SR82"/>
      <c r="SS82"/>
      <c r="ST82"/>
      <c r="SU82"/>
      <c r="SV82"/>
      <c r="SW82"/>
      <c r="SX82"/>
      <c r="SY82"/>
      <c r="SZ82"/>
      <c r="TA82"/>
      <c r="TB82"/>
      <c r="TC82"/>
      <c r="TD82"/>
      <c r="TE82"/>
      <c r="TF82"/>
      <c r="TG82"/>
      <c r="TH82"/>
    </row>
    <row r="83" spans="3:528" x14ac:dyDescent="0.25">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c r="KT83"/>
      <c r="KU83"/>
      <c r="KV83"/>
      <c r="KW83"/>
      <c r="KX83"/>
      <c r="KY83"/>
      <c r="KZ83"/>
      <c r="LA83"/>
      <c r="LB83"/>
      <c r="LC83"/>
      <c r="LD83"/>
      <c r="LE83"/>
      <c r="LF83"/>
      <c r="LG83"/>
      <c r="LH83"/>
      <c r="LI83"/>
      <c r="LJ83"/>
      <c r="LK83"/>
      <c r="LL83"/>
      <c r="LM83"/>
      <c r="LN83"/>
      <c r="LO83"/>
      <c r="LP83"/>
      <c r="LQ83"/>
      <c r="LR83"/>
      <c r="LS83"/>
      <c r="LT83"/>
      <c r="LU83"/>
      <c r="LV83"/>
      <c r="LW83"/>
      <c r="LX83"/>
      <c r="LY83"/>
      <c r="LZ83"/>
      <c r="MA83"/>
      <c r="MB83"/>
      <c r="MC83"/>
      <c r="MD83"/>
      <c r="ME83"/>
      <c r="MF83"/>
      <c r="MG83"/>
      <c r="MH83"/>
      <c r="MI83"/>
      <c r="MJ83"/>
      <c r="MK83"/>
      <c r="ML83"/>
      <c r="MM83"/>
      <c r="MN83"/>
      <c r="MO83"/>
      <c r="MP83"/>
      <c r="MQ83"/>
      <c r="MR83"/>
      <c r="MS83"/>
      <c r="MT83"/>
      <c r="MU83"/>
      <c r="MV83"/>
      <c r="MW83"/>
      <c r="MX83"/>
      <c r="MY83"/>
      <c r="MZ83"/>
      <c r="NA83"/>
      <c r="NB83"/>
      <c r="NC83"/>
      <c r="ND83"/>
      <c r="NE83"/>
      <c r="NF83"/>
      <c r="NG83"/>
      <c r="NH83"/>
      <c r="NI83"/>
      <c r="NJ83"/>
      <c r="NK83"/>
      <c r="NL83"/>
      <c r="NM83"/>
      <c r="NN83"/>
      <c r="NO83"/>
      <c r="NP83"/>
      <c r="NQ83"/>
      <c r="NR83"/>
      <c r="NS83"/>
      <c r="NT83"/>
      <c r="NU83"/>
      <c r="NV83"/>
      <c r="NW83"/>
      <c r="NX83"/>
      <c r="NY83"/>
      <c r="NZ83"/>
      <c r="OA83"/>
      <c r="OB83"/>
      <c r="OC83"/>
      <c r="OD83"/>
      <c r="OE83"/>
      <c r="OF83"/>
      <c r="OG83"/>
      <c r="OH83"/>
      <c r="OI83"/>
      <c r="OJ83"/>
      <c r="OK83"/>
      <c r="OL83"/>
      <c r="OM83"/>
      <c r="ON83"/>
      <c r="OO83"/>
      <c r="OP83"/>
      <c r="OQ83"/>
      <c r="OR83"/>
      <c r="OS83"/>
      <c r="OT83"/>
      <c r="OU83"/>
      <c r="OV83"/>
      <c r="OW83"/>
      <c r="OX83"/>
      <c r="OY83"/>
      <c r="OZ83"/>
      <c r="PA83"/>
      <c r="PB83"/>
      <c r="PC83"/>
      <c r="PD83"/>
      <c r="PE83"/>
      <c r="PF83"/>
      <c r="PG83"/>
      <c r="PH83"/>
      <c r="PI83"/>
      <c r="PJ83"/>
      <c r="PK83"/>
      <c r="PL83"/>
      <c r="PM83"/>
      <c r="PN83"/>
      <c r="PO83"/>
      <c r="PP83"/>
      <c r="PQ83"/>
      <c r="PR83"/>
      <c r="PS83"/>
      <c r="PT83"/>
      <c r="PU83"/>
      <c r="PV83"/>
      <c r="PW83"/>
      <c r="PX83"/>
      <c r="PY83"/>
      <c r="PZ83"/>
      <c r="QA83"/>
      <c r="QB83"/>
      <c r="QC83"/>
      <c r="QD83"/>
      <c r="QE83"/>
      <c r="QF83"/>
      <c r="QG83"/>
      <c r="QH83"/>
      <c r="QI83"/>
      <c r="QJ83"/>
      <c r="QK83"/>
      <c r="QL83"/>
      <c r="QM83"/>
      <c r="QN83"/>
      <c r="QO83"/>
      <c r="QP83"/>
      <c r="QQ83"/>
      <c r="QR83"/>
      <c r="QS83"/>
      <c r="QT83"/>
      <c r="QU83"/>
      <c r="QV83"/>
      <c r="QW83"/>
      <c r="QX83"/>
      <c r="QY83"/>
      <c r="QZ83"/>
      <c r="RA83"/>
      <c r="RB83"/>
      <c r="RC83"/>
      <c r="RD83"/>
      <c r="RE83"/>
      <c r="RF83"/>
      <c r="RG83"/>
      <c r="RH83"/>
      <c r="RI83"/>
      <c r="RJ83"/>
      <c r="RK83"/>
      <c r="RL83"/>
      <c r="RM83"/>
      <c r="RN83"/>
      <c r="RO83"/>
      <c r="RP83"/>
      <c r="RQ83"/>
      <c r="RR83"/>
      <c r="RS83"/>
      <c r="RT83"/>
      <c r="RU83"/>
      <c r="RV83"/>
      <c r="RW83"/>
      <c r="RX83"/>
      <c r="RY83"/>
      <c r="RZ83"/>
      <c r="SA83"/>
      <c r="SB83"/>
      <c r="SC83"/>
      <c r="SD83"/>
      <c r="SE83"/>
      <c r="SF83"/>
      <c r="SG83"/>
      <c r="SH83"/>
      <c r="SI83"/>
      <c r="SJ83"/>
      <c r="SK83"/>
      <c r="SL83"/>
      <c r="SM83"/>
      <c r="SN83"/>
      <c r="SO83"/>
      <c r="SP83"/>
      <c r="SQ83"/>
      <c r="SR83"/>
      <c r="SS83"/>
      <c r="ST83"/>
      <c r="SU83"/>
      <c r="SV83"/>
      <c r="SW83"/>
      <c r="SX83"/>
      <c r="SY83"/>
      <c r="SZ83"/>
      <c r="TA83"/>
      <c r="TB83"/>
      <c r="TC83"/>
      <c r="TD83"/>
      <c r="TE83"/>
      <c r="TF83"/>
      <c r="TG83"/>
      <c r="TH83"/>
    </row>
    <row r="84" spans="3:528" x14ac:dyDescent="0.25">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c r="KT84"/>
      <c r="KU84"/>
      <c r="KV84"/>
      <c r="KW84"/>
      <c r="KX84"/>
      <c r="KY84"/>
      <c r="KZ84"/>
      <c r="LA84"/>
      <c r="LB84"/>
      <c r="LC84"/>
      <c r="LD84"/>
      <c r="LE84"/>
      <c r="LF84"/>
      <c r="LG84"/>
      <c r="LH84"/>
      <c r="LI84"/>
      <c r="LJ84"/>
      <c r="LK84"/>
      <c r="LL84"/>
      <c r="LM84"/>
      <c r="LN84"/>
      <c r="LO84"/>
      <c r="LP84"/>
      <c r="LQ84"/>
      <c r="LR84"/>
      <c r="LS84"/>
      <c r="LT84"/>
      <c r="LU84"/>
      <c r="LV84"/>
      <c r="LW84"/>
      <c r="LX84"/>
      <c r="LY84"/>
      <c r="LZ84"/>
      <c r="MA84"/>
      <c r="MB84"/>
      <c r="MC84"/>
      <c r="MD84"/>
      <c r="ME84"/>
      <c r="MF84"/>
      <c r="MG84"/>
      <c r="MH84"/>
      <c r="MI84"/>
      <c r="MJ84"/>
      <c r="MK84"/>
      <c r="ML84"/>
      <c r="MM84"/>
      <c r="MN84"/>
      <c r="MO84"/>
      <c r="MP84"/>
      <c r="MQ84"/>
      <c r="MR84"/>
      <c r="MS84"/>
      <c r="MT84"/>
      <c r="MU84"/>
      <c r="MV84"/>
      <c r="MW84"/>
      <c r="MX84"/>
      <c r="MY84"/>
      <c r="MZ84"/>
      <c r="NA84"/>
      <c r="NB84"/>
      <c r="NC84"/>
      <c r="ND84"/>
      <c r="NE84"/>
      <c r="NF84"/>
      <c r="NG84"/>
      <c r="NH84"/>
      <c r="NI84"/>
      <c r="NJ84"/>
      <c r="NK84"/>
      <c r="NL84"/>
      <c r="NM84"/>
      <c r="NN84"/>
      <c r="NO84"/>
      <c r="NP84"/>
      <c r="NQ84"/>
      <c r="NR84"/>
      <c r="NS84"/>
      <c r="NT84"/>
      <c r="NU84"/>
      <c r="NV84"/>
      <c r="NW84"/>
      <c r="NX84"/>
      <c r="NY84"/>
      <c r="NZ84"/>
      <c r="OA84"/>
      <c r="OB84"/>
      <c r="OC84"/>
      <c r="OD84"/>
      <c r="OE84"/>
      <c r="OF84"/>
      <c r="OG84"/>
      <c r="OH84"/>
      <c r="OI84"/>
      <c r="OJ84"/>
      <c r="OK84"/>
      <c r="OL84"/>
      <c r="OM84"/>
      <c r="ON84"/>
      <c r="OO84"/>
      <c r="OP84"/>
      <c r="OQ84"/>
      <c r="OR84"/>
      <c r="OS84"/>
      <c r="OT84"/>
      <c r="OU84"/>
      <c r="OV84"/>
      <c r="OW84"/>
      <c r="OX84"/>
      <c r="OY84"/>
      <c r="OZ84"/>
      <c r="PA84"/>
      <c r="PB84"/>
      <c r="PC84"/>
      <c r="PD84"/>
      <c r="PE84"/>
      <c r="PF84"/>
      <c r="PG84"/>
      <c r="PH84"/>
      <c r="PI84"/>
      <c r="PJ84"/>
      <c r="PK84"/>
      <c r="PL84"/>
      <c r="PM84"/>
      <c r="PN84"/>
      <c r="PO84"/>
      <c r="PP84"/>
      <c r="PQ84"/>
      <c r="PR84"/>
      <c r="PS84"/>
      <c r="PT84"/>
      <c r="PU84"/>
      <c r="PV84"/>
      <c r="PW84"/>
      <c r="PX84"/>
      <c r="PY84"/>
      <c r="PZ84"/>
      <c r="QA84"/>
      <c r="QB84"/>
      <c r="QC84"/>
      <c r="QD84"/>
      <c r="QE84"/>
      <c r="QF84"/>
      <c r="QG84"/>
      <c r="QH84"/>
      <c r="QI84"/>
      <c r="QJ84"/>
      <c r="QK84"/>
      <c r="QL84"/>
      <c r="QM84"/>
      <c r="QN84"/>
      <c r="QO84"/>
      <c r="QP84"/>
      <c r="QQ84"/>
      <c r="QR84"/>
      <c r="QS84"/>
      <c r="QT84"/>
      <c r="QU84"/>
      <c r="QV84"/>
      <c r="QW84"/>
      <c r="QX84"/>
      <c r="QY84"/>
      <c r="QZ84"/>
      <c r="RA84"/>
      <c r="RB84"/>
      <c r="RC84"/>
      <c r="RD84"/>
      <c r="RE84"/>
      <c r="RF84"/>
      <c r="RG84"/>
      <c r="RH84"/>
      <c r="RI84"/>
      <c r="RJ84"/>
      <c r="RK84"/>
      <c r="RL84"/>
      <c r="RM84"/>
      <c r="RN84"/>
      <c r="RO84"/>
      <c r="RP84"/>
      <c r="RQ84"/>
      <c r="RR84"/>
      <c r="RS84"/>
      <c r="RT84"/>
      <c r="RU84"/>
      <c r="RV84"/>
      <c r="RW84"/>
      <c r="RX84"/>
      <c r="RY84"/>
      <c r="RZ84"/>
      <c r="SA84"/>
      <c r="SB84"/>
      <c r="SC84"/>
      <c r="SD84"/>
      <c r="SE84"/>
      <c r="SF84"/>
      <c r="SG84"/>
      <c r="SH84"/>
      <c r="SI84"/>
      <c r="SJ84"/>
      <c r="SK84"/>
      <c r="SL84"/>
      <c r="SM84"/>
      <c r="SN84"/>
      <c r="SO84"/>
      <c r="SP84"/>
      <c r="SQ84"/>
      <c r="SR84"/>
      <c r="SS84"/>
      <c r="ST84"/>
      <c r="SU84"/>
      <c r="SV84"/>
      <c r="SW84"/>
      <c r="SX84"/>
      <c r="SY84"/>
      <c r="SZ84"/>
      <c r="TA84"/>
      <c r="TB84"/>
      <c r="TC84"/>
      <c r="TD84"/>
      <c r="TE84"/>
      <c r="TF84"/>
      <c r="TG84"/>
      <c r="TH84"/>
    </row>
    <row r="85" spans="3:528" x14ac:dyDescent="0.2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c r="KT85"/>
      <c r="KU85"/>
      <c r="KV85"/>
      <c r="KW85"/>
      <c r="KX85"/>
      <c r="KY85"/>
      <c r="KZ85"/>
      <c r="LA85"/>
      <c r="LB85"/>
      <c r="LC85"/>
      <c r="LD85"/>
      <c r="LE85"/>
      <c r="LF85"/>
      <c r="LG85"/>
      <c r="LH85"/>
      <c r="LI85"/>
      <c r="LJ85"/>
      <c r="LK85"/>
      <c r="LL85"/>
      <c r="LM85"/>
      <c r="LN85"/>
      <c r="LO85"/>
      <c r="LP85"/>
      <c r="LQ85"/>
      <c r="LR85"/>
      <c r="LS85"/>
      <c r="LT85"/>
      <c r="LU85"/>
      <c r="LV85"/>
      <c r="LW85"/>
      <c r="LX85"/>
      <c r="LY85"/>
      <c r="LZ85"/>
      <c r="MA85"/>
      <c r="MB85"/>
      <c r="MC85"/>
      <c r="MD85"/>
      <c r="ME85"/>
      <c r="MF85"/>
      <c r="MG85"/>
      <c r="MH85"/>
      <c r="MI85"/>
      <c r="MJ85"/>
      <c r="MK85"/>
      <c r="ML85"/>
      <c r="MM85"/>
      <c r="MN85"/>
      <c r="MO85"/>
      <c r="MP85"/>
      <c r="MQ85"/>
      <c r="MR85"/>
      <c r="MS85"/>
      <c r="MT85"/>
      <c r="MU85"/>
      <c r="MV85"/>
      <c r="MW85"/>
      <c r="MX85"/>
      <c r="MY85"/>
      <c r="MZ85"/>
      <c r="NA85"/>
      <c r="NB85"/>
      <c r="NC85"/>
      <c r="ND85"/>
      <c r="NE85"/>
      <c r="NF85"/>
      <c r="NG85"/>
      <c r="NH85"/>
      <c r="NI85"/>
      <c r="NJ85"/>
      <c r="NK85"/>
      <c r="NL85"/>
      <c r="NM85"/>
      <c r="NN85"/>
      <c r="NO85"/>
      <c r="NP85"/>
      <c r="NQ85"/>
      <c r="NR85"/>
      <c r="NS85"/>
      <c r="NT85"/>
      <c r="NU85"/>
      <c r="NV85"/>
      <c r="NW85"/>
      <c r="NX85"/>
      <c r="NY85"/>
      <c r="NZ85"/>
      <c r="OA85"/>
      <c r="OB85"/>
      <c r="OC85"/>
      <c r="OD85"/>
      <c r="OE85"/>
      <c r="OF85"/>
      <c r="OG85"/>
      <c r="OH85"/>
      <c r="OI85"/>
      <c r="OJ85"/>
      <c r="OK85"/>
      <c r="OL85"/>
      <c r="OM85"/>
      <c r="ON85"/>
      <c r="OO85"/>
      <c r="OP85"/>
      <c r="OQ85"/>
      <c r="OR85"/>
      <c r="OS85"/>
      <c r="OT85"/>
      <c r="OU85"/>
      <c r="OV85"/>
      <c r="OW85"/>
      <c r="OX85"/>
      <c r="OY85"/>
      <c r="OZ85"/>
      <c r="PA85"/>
      <c r="PB85"/>
      <c r="PC85"/>
      <c r="PD85"/>
      <c r="PE85"/>
      <c r="PF85"/>
      <c r="PG85"/>
      <c r="PH85"/>
      <c r="PI85"/>
      <c r="PJ85"/>
      <c r="PK85"/>
      <c r="PL85"/>
      <c r="PM85"/>
      <c r="PN85"/>
      <c r="PO85"/>
      <c r="PP85"/>
      <c r="PQ85"/>
      <c r="PR85"/>
      <c r="PS85"/>
      <c r="PT85"/>
      <c r="PU85"/>
      <c r="PV85"/>
      <c r="PW85"/>
      <c r="PX85"/>
      <c r="PY85"/>
      <c r="PZ85"/>
      <c r="QA85"/>
      <c r="QB85"/>
      <c r="QC85"/>
      <c r="QD85"/>
      <c r="QE85"/>
      <c r="QF85"/>
      <c r="QG85"/>
      <c r="QH85"/>
      <c r="QI85"/>
      <c r="QJ85"/>
      <c r="QK85"/>
      <c r="QL85"/>
      <c r="QM85"/>
      <c r="QN85"/>
      <c r="QO85"/>
      <c r="QP85"/>
      <c r="QQ85"/>
      <c r="QR85"/>
      <c r="QS85"/>
      <c r="QT85"/>
      <c r="QU85"/>
      <c r="QV85"/>
      <c r="QW85"/>
      <c r="QX85"/>
      <c r="QY85"/>
      <c r="QZ85"/>
      <c r="RA85"/>
      <c r="RB85"/>
      <c r="RC85"/>
      <c r="RD85"/>
      <c r="RE85"/>
      <c r="RF85"/>
      <c r="RG85"/>
      <c r="RH85"/>
      <c r="RI85"/>
      <c r="RJ85"/>
      <c r="RK85"/>
      <c r="RL85"/>
      <c r="RM85"/>
      <c r="RN85"/>
      <c r="RO85"/>
      <c r="RP85"/>
      <c r="RQ85"/>
      <c r="RR85"/>
      <c r="RS85"/>
      <c r="RT85"/>
      <c r="RU85"/>
      <c r="RV85"/>
      <c r="RW85"/>
      <c r="RX85"/>
      <c r="RY85"/>
      <c r="RZ85"/>
      <c r="SA85"/>
      <c r="SB85"/>
      <c r="SC85"/>
      <c r="SD85"/>
      <c r="SE85"/>
      <c r="SF85"/>
      <c r="SG85"/>
      <c r="SH85"/>
      <c r="SI85"/>
      <c r="SJ85"/>
      <c r="SK85"/>
      <c r="SL85"/>
      <c r="SM85"/>
      <c r="SN85"/>
      <c r="SO85"/>
      <c r="SP85"/>
      <c r="SQ85"/>
      <c r="SR85"/>
      <c r="SS85"/>
      <c r="ST85"/>
      <c r="SU85"/>
      <c r="SV85"/>
      <c r="SW85"/>
      <c r="SX85"/>
      <c r="SY85"/>
      <c r="SZ85"/>
      <c r="TA85"/>
      <c r="TB85"/>
      <c r="TC85"/>
      <c r="TD85"/>
      <c r="TE85"/>
      <c r="TF85"/>
      <c r="TG85"/>
      <c r="TH85"/>
    </row>
    <row r="86" spans="3:528" x14ac:dyDescent="0.25">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c r="KT86"/>
      <c r="KU86"/>
      <c r="KV86"/>
      <c r="KW86"/>
      <c r="KX86"/>
      <c r="KY86"/>
      <c r="KZ86"/>
      <c r="LA86"/>
      <c r="LB86"/>
      <c r="LC86"/>
      <c r="LD86"/>
      <c r="LE86"/>
      <c r="LF86"/>
      <c r="LG86"/>
      <c r="LH86"/>
      <c r="LI86"/>
      <c r="LJ86"/>
      <c r="LK86"/>
      <c r="LL86"/>
      <c r="LM86"/>
      <c r="LN86"/>
      <c r="LO86"/>
      <c r="LP86"/>
      <c r="LQ86"/>
      <c r="LR86"/>
      <c r="LS86"/>
      <c r="LT86"/>
      <c r="LU86"/>
      <c r="LV86"/>
      <c r="LW86"/>
      <c r="LX86"/>
      <c r="LY86"/>
      <c r="LZ86"/>
      <c r="MA86"/>
      <c r="MB86"/>
      <c r="MC86"/>
      <c r="MD86"/>
      <c r="ME86"/>
      <c r="MF86"/>
      <c r="MG86"/>
      <c r="MH86"/>
      <c r="MI86"/>
      <c r="MJ86"/>
      <c r="MK86"/>
      <c r="ML86"/>
      <c r="MM86"/>
      <c r="MN86"/>
      <c r="MO86"/>
      <c r="MP86"/>
      <c r="MQ86"/>
      <c r="MR86"/>
      <c r="MS86"/>
      <c r="MT86"/>
      <c r="MU86"/>
      <c r="MV86"/>
      <c r="MW86"/>
      <c r="MX86"/>
      <c r="MY86"/>
      <c r="MZ86"/>
      <c r="NA86"/>
      <c r="NB86"/>
      <c r="NC86"/>
      <c r="ND86"/>
      <c r="NE86"/>
      <c r="NF86"/>
      <c r="NG86"/>
      <c r="NH86"/>
      <c r="NI86"/>
      <c r="NJ86"/>
      <c r="NK86"/>
      <c r="NL86"/>
      <c r="NM86"/>
      <c r="NN86"/>
      <c r="NO86"/>
      <c r="NP86"/>
      <c r="NQ86"/>
      <c r="NR86"/>
      <c r="NS86"/>
      <c r="NT86"/>
      <c r="NU86"/>
      <c r="NV86"/>
      <c r="NW86"/>
      <c r="NX86"/>
      <c r="NY86"/>
      <c r="NZ86"/>
      <c r="OA86"/>
      <c r="OB86"/>
      <c r="OC86"/>
      <c r="OD86"/>
      <c r="OE86"/>
      <c r="OF86"/>
      <c r="OG86"/>
      <c r="OH86"/>
      <c r="OI86"/>
      <c r="OJ86"/>
      <c r="OK86"/>
      <c r="OL86"/>
      <c r="OM86"/>
      <c r="ON86"/>
      <c r="OO86"/>
      <c r="OP86"/>
      <c r="OQ86"/>
      <c r="OR86"/>
      <c r="OS86"/>
      <c r="OT86"/>
      <c r="OU86"/>
      <c r="OV86"/>
      <c r="OW86"/>
      <c r="OX86"/>
      <c r="OY86"/>
      <c r="OZ86"/>
      <c r="PA86"/>
      <c r="PB86"/>
      <c r="PC86"/>
      <c r="PD86"/>
      <c r="PE86"/>
      <c r="PF86"/>
      <c r="PG86"/>
      <c r="PH86"/>
      <c r="PI86"/>
      <c r="PJ86"/>
      <c r="PK86"/>
      <c r="PL86"/>
      <c r="PM86"/>
      <c r="PN86"/>
      <c r="PO86"/>
      <c r="PP86"/>
      <c r="PQ86"/>
      <c r="PR86"/>
      <c r="PS86"/>
      <c r="PT86"/>
      <c r="PU86"/>
      <c r="PV86"/>
      <c r="PW86"/>
      <c r="PX86"/>
      <c r="PY86"/>
      <c r="PZ86"/>
      <c r="QA86"/>
      <c r="QB86"/>
      <c r="QC86"/>
      <c r="QD86"/>
      <c r="QE86"/>
      <c r="QF86"/>
      <c r="QG86"/>
      <c r="QH86"/>
      <c r="QI86"/>
      <c r="QJ86"/>
      <c r="QK86"/>
      <c r="QL86"/>
      <c r="QM86"/>
      <c r="QN86"/>
      <c r="QO86"/>
      <c r="QP86"/>
      <c r="QQ86"/>
      <c r="QR86"/>
      <c r="QS86"/>
      <c r="QT86"/>
      <c r="QU86"/>
      <c r="QV86"/>
      <c r="QW86"/>
      <c r="QX86"/>
      <c r="QY86"/>
      <c r="QZ86"/>
      <c r="RA86"/>
      <c r="RB86"/>
      <c r="RC86"/>
      <c r="RD86"/>
      <c r="RE86"/>
      <c r="RF86"/>
      <c r="RG86"/>
      <c r="RH86"/>
      <c r="RI86"/>
      <c r="RJ86"/>
      <c r="RK86"/>
      <c r="RL86"/>
      <c r="RM86"/>
      <c r="RN86"/>
      <c r="RO86"/>
      <c r="RP86"/>
      <c r="RQ86"/>
      <c r="RR86"/>
      <c r="RS86"/>
      <c r="RT86"/>
      <c r="RU86"/>
      <c r="RV86"/>
      <c r="RW86"/>
      <c r="RX86"/>
      <c r="RY86"/>
      <c r="RZ86"/>
      <c r="SA86"/>
      <c r="SB86"/>
      <c r="SC86"/>
      <c r="SD86"/>
      <c r="SE86"/>
      <c r="SF86"/>
      <c r="SG86"/>
      <c r="SH86"/>
      <c r="SI86"/>
      <c r="SJ86"/>
      <c r="SK86"/>
      <c r="SL86"/>
      <c r="SM86"/>
      <c r="SN86"/>
      <c r="SO86"/>
      <c r="SP86"/>
      <c r="SQ86"/>
      <c r="SR86"/>
      <c r="SS86"/>
      <c r="ST86"/>
      <c r="SU86"/>
      <c r="SV86"/>
      <c r="SW86"/>
      <c r="SX86"/>
      <c r="SY86"/>
      <c r="SZ86"/>
      <c r="TA86"/>
      <c r="TB86"/>
      <c r="TC86"/>
      <c r="TD86"/>
      <c r="TE86"/>
      <c r="TF86"/>
      <c r="TG86"/>
      <c r="TH86"/>
    </row>
    <row r="87" spans="3:528" x14ac:dyDescent="0.25">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c r="KT87"/>
      <c r="KU87"/>
      <c r="KV87"/>
      <c r="KW87"/>
      <c r="KX87"/>
      <c r="KY87"/>
      <c r="KZ87"/>
      <c r="LA87"/>
      <c r="LB87"/>
      <c r="LC87"/>
      <c r="LD87"/>
      <c r="LE87"/>
      <c r="LF87"/>
      <c r="LG87"/>
      <c r="LH87"/>
      <c r="LI87"/>
      <c r="LJ87"/>
      <c r="LK87"/>
      <c r="LL87"/>
      <c r="LM87"/>
      <c r="LN87"/>
      <c r="LO87"/>
      <c r="LP87"/>
      <c r="LQ87"/>
      <c r="LR87"/>
      <c r="LS87"/>
      <c r="LT87"/>
      <c r="LU87"/>
      <c r="LV87"/>
      <c r="LW87"/>
      <c r="LX87"/>
      <c r="LY87"/>
      <c r="LZ87"/>
      <c r="MA87"/>
      <c r="MB87"/>
      <c r="MC87"/>
      <c r="MD87"/>
      <c r="ME87"/>
      <c r="MF87"/>
      <c r="MG87"/>
      <c r="MH87"/>
      <c r="MI87"/>
      <c r="MJ87"/>
      <c r="MK87"/>
      <c r="ML87"/>
      <c r="MM87"/>
      <c r="MN87"/>
      <c r="MO87"/>
      <c r="MP87"/>
      <c r="MQ87"/>
      <c r="MR87"/>
      <c r="MS87"/>
      <c r="MT87"/>
      <c r="MU87"/>
      <c r="MV87"/>
      <c r="MW87"/>
      <c r="MX87"/>
      <c r="MY87"/>
      <c r="MZ87"/>
      <c r="NA87"/>
      <c r="NB87"/>
      <c r="NC87"/>
      <c r="ND87"/>
      <c r="NE87"/>
      <c r="NF87"/>
      <c r="NG87"/>
      <c r="NH87"/>
      <c r="NI87"/>
      <c r="NJ87"/>
      <c r="NK87"/>
      <c r="NL87"/>
      <c r="NM87"/>
      <c r="NN87"/>
      <c r="NO87"/>
      <c r="NP87"/>
      <c r="NQ87"/>
      <c r="NR87"/>
      <c r="NS87"/>
      <c r="NT87"/>
      <c r="NU87"/>
      <c r="NV87"/>
      <c r="NW87"/>
      <c r="NX87"/>
      <c r="NY87"/>
      <c r="NZ87"/>
      <c r="OA87"/>
      <c r="OB87"/>
      <c r="OC87"/>
      <c r="OD87"/>
      <c r="OE87"/>
      <c r="OF87"/>
      <c r="OG87"/>
      <c r="OH87"/>
      <c r="OI87"/>
      <c r="OJ87"/>
      <c r="OK87"/>
      <c r="OL87"/>
      <c r="OM87"/>
      <c r="ON87"/>
      <c r="OO87"/>
      <c r="OP87"/>
      <c r="OQ87"/>
      <c r="OR87"/>
      <c r="OS87"/>
      <c r="OT87"/>
      <c r="OU87"/>
      <c r="OV87"/>
      <c r="OW87"/>
      <c r="OX87"/>
      <c r="OY87"/>
      <c r="OZ87"/>
      <c r="PA87"/>
      <c r="PB87"/>
      <c r="PC87"/>
      <c r="PD87"/>
      <c r="PE87"/>
      <c r="PF87"/>
      <c r="PG87"/>
      <c r="PH87"/>
      <c r="PI87"/>
      <c r="PJ87"/>
      <c r="PK87"/>
      <c r="PL87"/>
      <c r="PM87"/>
      <c r="PN87"/>
      <c r="PO87"/>
      <c r="PP87"/>
      <c r="PQ87"/>
      <c r="PR87"/>
      <c r="PS87"/>
      <c r="PT87"/>
      <c r="PU87"/>
      <c r="PV87"/>
      <c r="PW87"/>
      <c r="PX87"/>
      <c r="PY87"/>
      <c r="PZ87"/>
      <c r="QA87"/>
      <c r="QB87"/>
      <c r="QC87"/>
      <c r="QD87"/>
      <c r="QE87"/>
      <c r="QF87"/>
      <c r="QG87"/>
      <c r="QH87"/>
      <c r="QI87"/>
      <c r="QJ87"/>
      <c r="QK87"/>
      <c r="QL87"/>
      <c r="QM87"/>
      <c r="QN87"/>
      <c r="QO87"/>
      <c r="QP87"/>
      <c r="QQ87"/>
      <c r="QR87"/>
      <c r="QS87"/>
      <c r="QT87"/>
      <c r="QU87"/>
      <c r="QV87"/>
      <c r="QW87"/>
      <c r="QX87"/>
      <c r="QY87"/>
      <c r="QZ87"/>
      <c r="RA87"/>
      <c r="RB87"/>
      <c r="RC87"/>
      <c r="RD87"/>
      <c r="RE87"/>
      <c r="RF87"/>
      <c r="RG87"/>
      <c r="RH87"/>
      <c r="RI87"/>
      <c r="RJ87"/>
      <c r="RK87"/>
      <c r="RL87"/>
      <c r="RM87"/>
      <c r="RN87"/>
      <c r="RO87"/>
      <c r="RP87"/>
      <c r="RQ87"/>
      <c r="RR87"/>
      <c r="RS87"/>
      <c r="RT87"/>
      <c r="RU87"/>
      <c r="RV87"/>
      <c r="RW87"/>
      <c r="RX87"/>
      <c r="RY87"/>
      <c r="RZ87"/>
      <c r="SA87"/>
      <c r="SB87"/>
      <c r="SC87"/>
      <c r="SD87"/>
      <c r="SE87"/>
      <c r="SF87"/>
      <c r="SG87"/>
      <c r="SH87"/>
      <c r="SI87"/>
      <c r="SJ87"/>
      <c r="SK87"/>
      <c r="SL87"/>
      <c r="SM87"/>
      <c r="SN87"/>
      <c r="SO87"/>
      <c r="SP87"/>
      <c r="SQ87"/>
      <c r="SR87"/>
      <c r="SS87"/>
      <c r="ST87"/>
      <c r="SU87"/>
      <c r="SV87"/>
      <c r="SW87"/>
      <c r="SX87"/>
      <c r="SY87"/>
      <c r="SZ87"/>
      <c r="TA87"/>
      <c r="TB87"/>
      <c r="TC87"/>
      <c r="TD87"/>
      <c r="TE87"/>
      <c r="TF87"/>
      <c r="TG87"/>
      <c r="TH87"/>
    </row>
    <row r="88" spans="3:528" x14ac:dyDescent="0.25">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c r="KT88"/>
      <c r="KU88"/>
      <c r="KV88"/>
      <c r="KW88"/>
      <c r="KX88"/>
      <c r="KY88"/>
      <c r="KZ88"/>
      <c r="LA88"/>
      <c r="LB88"/>
      <c r="LC88"/>
      <c r="LD88"/>
      <c r="LE88"/>
      <c r="LF88"/>
      <c r="LG88"/>
      <c r="LH88"/>
      <c r="LI88"/>
      <c r="LJ88"/>
      <c r="LK88"/>
      <c r="LL88"/>
      <c r="LM88"/>
      <c r="LN88"/>
      <c r="LO88"/>
      <c r="LP88"/>
      <c r="LQ88"/>
      <c r="LR88"/>
      <c r="LS88"/>
      <c r="LT88"/>
      <c r="LU88"/>
      <c r="LV88"/>
      <c r="LW88"/>
      <c r="LX88"/>
      <c r="LY88"/>
      <c r="LZ88"/>
      <c r="MA88"/>
      <c r="MB88"/>
      <c r="MC88"/>
      <c r="MD88"/>
      <c r="ME88"/>
      <c r="MF88"/>
      <c r="MG88"/>
      <c r="MH88"/>
      <c r="MI88"/>
      <c r="MJ88"/>
      <c r="MK88"/>
      <c r="ML88"/>
      <c r="MM88"/>
      <c r="MN88"/>
      <c r="MO88"/>
      <c r="MP88"/>
      <c r="MQ88"/>
      <c r="MR88"/>
      <c r="MS88"/>
      <c r="MT88"/>
      <c r="MU88"/>
      <c r="MV88"/>
      <c r="MW88"/>
      <c r="MX88"/>
      <c r="MY88"/>
      <c r="MZ88"/>
      <c r="NA88"/>
      <c r="NB88"/>
      <c r="NC88"/>
      <c r="ND88"/>
      <c r="NE88"/>
      <c r="NF88"/>
      <c r="NG88"/>
      <c r="NH88"/>
      <c r="NI88"/>
      <c r="NJ88"/>
      <c r="NK88"/>
      <c r="NL88"/>
      <c r="NM88"/>
      <c r="NN88"/>
      <c r="NO88"/>
      <c r="NP88"/>
      <c r="NQ88"/>
      <c r="NR88"/>
      <c r="NS88"/>
      <c r="NT88"/>
      <c r="NU88"/>
      <c r="NV88"/>
      <c r="NW88"/>
      <c r="NX88"/>
      <c r="NY88"/>
      <c r="NZ88"/>
      <c r="OA88"/>
      <c r="OB88"/>
      <c r="OC88"/>
      <c r="OD88"/>
      <c r="OE88"/>
      <c r="OF88"/>
      <c r="OG88"/>
      <c r="OH88"/>
      <c r="OI88"/>
      <c r="OJ88"/>
      <c r="OK88"/>
      <c r="OL88"/>
      <c r="OM88"/>
      <c r="ON88"/>
      <c r="OO88"/>
      <c r="OP88"/>
      <c r="OQ88"/>
      <c r="OR88"/>
      <c r="OS88"/>
      <c r="OT88"/>
      <c r="OU88"/>
      <c r="OV88"/>
      <c r="OW88"/>
      <c r="OX88"/>
      <c r="OY88"/>
      <c r="OZ88"/>
      <c r="PA88"/>
      <c r="PB88"/>
      <c r="PC88"/>
      <c r="PD88"/>
      <c r="PE88"/>
      <c r="PF88"/>
      <c r="PG88"/>
      <c r="PH88"/>
      <c r="PI88"/>
      <c r="PJ88"/>
      <c r="PK88"/>
      <c r="PL88"/>
      <c r="PM88"/>
      <c r="PN88"/>
      <c r="PO88"/>
      <c r="PP88"/>
      <c r="PQ88"/>
      <c r="PR88"/>
      <c r="PS88"/>
      <c r="PT88"/>
      <c r="PU88"/>
      <c r="PV88"/>
      <c r="PW88"/>
      <c r="PX88"/>
      <c r="PY88"/>
      <c r="PZ88"/>
      <c r="QA88"/>
      <c r="QB88"/>
      <c r="QC88"/>
      <c r="QD88"/>
      <c r="QE88"/>
      <c r="QF88"/>
      <c r="QG88"/>
      <c r="QH88"/>
      <c r="QI88"/>
      <c r="QJ88"/>
      <c r="QK88"/>
      <c r="QL88"/>
      <c r="QM88"/>
      <c r="QN88"/>
      <c r="QO88"/>
      <c r="QP88"/>
      <c r="QQ88"/>
      <c r="QR88"/>
      <c r="QS88"/>
      <c r="QT88"/>
      <c r="QU88"/>
      <c r="QV88"/>
      <c r="QW88"/>
      <c r="QX88"/>
      <c r="QY88"/>
      <c r="QZ88"/>
      <c r="RA88"/>
      <c r="RB88"/>
      <c r="RC88"/>
      <c r="RD88"/>
      <c r="RE88"/>
      <c r="RF88"/>
      <c r="RG88"/>
      <c r="RH88"/>
      <c r="RI88"/>
      <c r="RJ88"/>
      <c r="RK88"/>
      <c r="RL88"/>
      <c r="RM88"/>
      <c r="RN88"/>
      <c r="RO88"/>
      <c r="RP88"/>
      <c r="RQ88"/>
      <c r="RR88"/>
      <c r="RS88"/>
      <c r="RT88"/>
      <c r="RU88"/>
      <c r="RV88"/>
      <c r="RW88"/>
      <c r="RX88"/>
      <c r="RY88"/>
      <c r="RZ88"/>
      <c r="SA88"/>
      <c r="SB88"/>
      <c r="SC88"/>
      <c r="SD88"/>
      <c r="SE88"/>
      <c r="SF88"/>
      <c r="SG88"/>
      <c r="SH88"/>
      <c r="SI88"/>
      <c r="SJ88"/>
      <c r="SK88"/>
      <c r="SL88"/>
      <c r="SM88"/>
      <c r="SN88"/>
      <c r="SO88"/>
      <c r="SP88"/>
      <c r="SQ88"/>
      <c r="SR88"/>
      <c r="SS88"/>
      <c r="ST88"/>
      <c r="SU88"/>
      <c r="SV88"/>
      <c r="SW88"/>
      <c r="SX88"/>
      <c r="SY88"/>
      <c r="SZ88"/>
      <c r="TA88"/>
      <c r="TB88"/>
      <c r="TC88"/>
      <c r="TD88"/>
      <c r="TE88"/>
      <c r="TF88"/>
      <c r="TG88"/>
      <c r="TH88"/>
    </row>
    <row r="89" spans="3:528" x14ac:dyDescent="0.25">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c r="KT89"/>
      <c r="KU89"/>
      <c r="KV89"/>
      <c r="KW89"/>
      <c r="KX89"/>
      <c r="KY89"/>
      <c r="KZ89"/>
      <c r="LA89"/>
      <c r="LB89"/>
      <c r="LC89"/>
      <c r="LD89"/>
      <c r="LE89"/>
      <c r="LF89"/>
      <c r="LG89"/>
      <c r="LH89"/>
      <c r="LI89"/>
      <c r="LJ89"/>
      <c r="LK89"/>
      <c r="LL89"/>
      <c r="LM89"/>
      <c r="LN89"/>
      <c r="LO89"/>
      <c r="LP89"/>
      <c r="LQ89"/>
      <c r="LR89"/>
      <c r="LS89"/>
      <c r="LT89"/>
      <c r="LU89"/>
      <c r="LV89"/>
      <c r="LW89"/>
      <c r="LX89"/>
      <c r="LY89"/>
      <c r="LZ89"/>
      <c r="MA89"/>
      <c r="MB89"/>
      <c r="MC89"/>
      <c r="MD89"/>
      <c r="ME89"/>
      <c r="MF89"/>
      <c r="MG89"/>
      <c r="MH89"/>
      <c r="MI89"/>
      <c r="MJ89"/>
      <c r="MK89"/>
      <c r="ML89"/>
      <c r="MM89"/>
      <c r="MN89"/>
      <c r="MO89"/>
      <c r="MP89"/>
      <c r="MQ89"/>
      <c r="MR89"/>
      <c r="MS89"/>
      <c r="MT89"/>
      <c r="MU89"/>
      <c r="MV89"/>
      <c r="MW89"/>
      <c r="MX89"/>
      <c r="MY89"/>
      <c r="MZ89"/>
      <c r="NA89"/>
      <c r="NB89"/>
      <c r="NC89"/>
      <c r="ND89"/>
      <c r="NE89"/>
      <c r="NF89"/>
      <c r="NG89"/>
      <c r="NH89"/>
      <c r="NI89"/>
      <c r="NJ89"/>
      <c r="NK89"/>
      <c r="NL89"/>
      <c r="NM89"/>
      <c r="NN89"/>
      <c r="NO89"/>
      <c r="NP89"/>
      <c r="NQ89"/>
      <c r="NR89"/>
      <c r="NS89"/>
      <c r="NT89"/>
      <c r="NU89"/>
      <c r="NV89"/>
      <c r="NW89"/>
      <c r="NX89"/>
      <c r="NY89"/>
      <c r="NZ89"/>
      <c r="OA89"/>
      <c r="OB89"/>
      <c r="OC89"/>
      <c r="OD89"/>
      <c r="OE89"/>
      <c r="OF89"/>
      <c r="OG89"/>
      <c r="OH89"/>
      <c r="OI89"/>
      <c r="OJ89"/>
      <c r="OK89"/>
      <c r="OL89"/>
      <c r="OM89"/>
      <c r="ON89"/>
      <c r="OO89"/>
      <c r="OP89"/>
      <c r="OQ89"/>
      <c r="OR89"/>
      <c r="OS89"/>
      <c r="OT89"/>
      <c r="OU89"/>
      <c r="OV89"/>
      <c r="OW89"/>
      <c r="OX89"/>
      <c r="OY89"/>
      <c r="OZ89"/>
      <c r="PA89"/>
      <c r="PB89"/>
      <c r="PC89"/>
      <c r="PD89"/>
      <c r="PE89"/>
      <c r="PF89"/>
      <c r="PG89"/>
      <c r="PH89"/>
      <c r="PI89"/>
      <c r="PJ89"/>
      <c r="PK89"/>
      <c r="PL89"/>
      <c r="PM89"/>
      <c r="PN89"/>
      <c r="PO89"/>
      <c r="PP89"/>
      <c r="PQ89"/>
      <c r="PR89"/>
      <c r="PS89"/>
      <c r="PT89"/>
      <c r="PU89"/>
      <c r="PV89"/>
      <c r="PW89"/>
      <c r="PX89"/>
      <c r="PY89"/>
      <c r="PZ89"/>
      <c r="QA89"/>
      <c r="QB89"/>
      <c r="QC89"/>
      <c r="QD89"/>
      <c r="QE89"/>
      <c r="QF89"/>
      <c r="QG89"/>
      <c r="QH89"/>
      <c r="QI89"/>
      <c r="QJ89"/>
      <c r="QK89"/>
      <c r="QL89"/>
      <c r="QM89"/>
      <c r="QN89"/>
      <c r="QO89"/>
      <c r="QP89"/>
      <c r="QQ89"/>
      <c r="QR89"/>
      <c r="QS89"/>
      <c r="QT89"/>
      <c r="QU89"/>
      <c r="QV89"/>
      <c r="QW89"/>
      <c r="QX89"/>
      <c r="QY89"/>
      <c r="QZ89"/>
      <c r="RA89"/>
      <c r="RB89"/>
      <c r="RC89"/>
      <c r="RD89"/>
      <c r="RE89"/>
      <c r="RF89"/>
      <c r="RG89"/>
      <c r="RH89"/>
      <c r="RI89"/>
      <c r="RJ89"/>
      <c r="RK89"/>
      <c r="RL89"/>
      <c r="RM89"/>
      <c r="RN89"/>
      <c r="RO89"/>
      <c r="RP89"/>
      <c r="RQ89"/>
      <c r="RR89"/>
      <c r="RS89"/>
      <c r="RT89"/>
      <c r="RU89"/>
      <c r="RV89"/>
      <c r="RW89"/>
      <c r="RX89"/>
      <c r="RY89"/>
      <c r="RZ89"/>
      <c r="SA89"/>
      <c r="SB89"/>
      <c r="SC89"/>
      <c r="SD89"/>
      <c r="SE89"/>
      <c r="SF89"/>
      <c r="SG89"/>
      <c r="SH89"/>
      <c r="SI89"/>
      <c r="SJ89"/>
      <c r="SK89"/>
      <c r="SL89"/>
      <c r="SM89"/>
      <c r="SN89"/>
      <c r="SO89"/>
      <c r="SP89"/>
      <c r="SQ89"/>
      <c r="SR89"/>
      <c r="SS89"/>
      <c r="ST89"/>
      <c r="SU89"/>
      <c r="SV89"/>
      <c r="SW89"/>
      <c r="SX89"/>
      <c r="SY89"/>
      <c r="SZ89"/>
      <c r="TA89"/>
      <c r="TB89"/>
      <c r="TC89"/>
      <c r="TD89"/>
      <c r="TE89"/>
      <c r="TF89"/>
      <c r="TG89"/>
      <c r="TH89"/>
    </row>
    <row r="90" spans="3:528" x14ac:dyDescent="0.25">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c r="KT90"/>
      <c r="KU90"/>
      <c r="KV90"/>
      <c r="KW90"/>
      <c r="KX90"/>
      <c r="KY90"/>
      <c r="KZ90"/>
      <c r="LA90"/>
      <c r="LB90"/>
      <c r="LC90"/>
      <c r="LD90"/>
      <c r="LE90"/>
      <c r="LF90"/>
      <c r="LG90"/>
      <c r="LH90"/>
      <c r="LI90"/>
      <c r="LJ90"/>
      <c r="LK90"/>
      <c r="LL90"/>
      <c r="LM90"/>
      <c r="LN90"/>
      <c r="LO90"/>
      <c r="LP90"/>
      <c r="LQ90"/>
      <c r="LR90"/>
      <c r="LS90"/>
      <c r="LT90"/>
      <c r="LU90"/>
      <c r="LV90"/>
      <c r="LW90"/>
      <c r="LX90"/>
      <c r="LY90"/>
      <c r="LZ90"/>
      <c r="MA90"/>
      <c r="MB90"/>
      <c r="MC90"/>
      <c r="MD90"/>
      <c r="ME90"/>
      <c r="MF90"/>
      <c r="MG90"/>
      <c r="MH90"/>
      <c r="MI90"/>
      <c r="MJ90"/>
      <c r="MK90"/>
      <c r="ML90"/>
      <c r="MM90"/>
      <c r="MN90"/>
      <c r="MO90"/>
      <c r="MP90"/>
      <c r="MQ90"/>
      <c r="MR90"/>
      <c r="MS90"/>
      <c r="MT90"/>
      <c r="MU90"/>
      <c r="MV90"/>
      <c r="MW90"/>
      <c r="MX90"/>
      <c r="MY90"/>
      <c r="MZ90"/>
      <c r="NA90"/>
      <c r="NB90"/>
      <c r="NC90"/>
      <c r="ND90"/>
      <c r="NE90"/>
      <c r="NF90"/>
      <c r="NG90"/>
      <c r="NH90"/>
      <c r="NI90"/>
      <c r="NJ90"/>
      <c r="NK90"/>
      <c r="NL90"/>
      <c r="NM90"/>
      <c r="NN90"/>
      <c r="NO90"/>
      <c r="NP90"/>
      <c r="NQ90"/>
      <c r="NR90"/>
      <c r="NS90"/>
      <c r="NT90"/>
      <c r="NU90"/>
      <c r="NV90"/>
      <c r="NW90"/>
      <c r="NX90"/>
      <c r="NY90"/>
      <c r="NZ90"/>
      <c r="OA90"/>
      <c r="OB90"/>
      <c r="OC90"/>
      <c r="OD90"/>
      <c r="OE90"/>
      <c r="OF90"/>
      <c r="OG90"/>
      <c r="OH90"/>
      <c r="OI90"/>
      <c r="OJ90"/>
      <c r="OK90"/>
      <c r="OL90"/>
      <c r="OM90"/>
      <c r="ON90"/>
      <c r="OO90"/>
      <c r="OP90"/>
      <c r="OQ90"/>
      <c r="OR90"/>
      <c r="OS90"/>
      <c r="OT90"/>
      <c r="OU90"/>
      <c r="OV90"/>
      <c r="OW90"/>
      <c r="OX90"/>
      <c r="OY90"/>
      <c r="OZ90"/>
      <c r="PA90"/>
      <c r="PB90"/>
      <c r="PC90"/>
      <c r="PD90"/>
      <c r="PE90"/>
      <c r="PF90"/>
      <c r="PG90"/>
      <c r="PH90"/>
      <c r="PI90"/>
      <c r="PJ90"/>
      <c r="PK90"/>
      <c r="PL90"/>
      <c r="PM90"/>
      <c r="PN90"/>
      <c r="PO90"/>
      <c r="PP90"/>
      <c r="PQ90"/>
      <c r="PR90"/>
      <c r="PS90"/>
      <c r="PT90"/>
      <c r="PU90"/>
      <c r="PV90"/>
      <c r="PW90"/>
      <c r="PX90"/>
      <c r="PY90"/>
      <c r="PZ90"/>
      <c r="QA90"/>
      <c r="QB90"/>
      <c r="QC90"/>
      <c r="QD90"/>
      <c r="QE90"/>
      <c r="QF90"/>
      <c r="QG90"/>
      <c r="QH90"/>
      <c r="QI90"/>
      <c r="QJ90"/>
      <c r="QK90"/>
      <c r="QL90"/>
      <c r="QM90"/>
      <c r="QN90"/>
      <c r="QO90"/>
      <c r="QP90"/>
      <c r="QQ90"/>
      <c r="QR90"/>
      <c r="QS90"/>
      <c r="QT90"/>
      <c r="QU90"/>
      <c r="QV90"/>
      <c r="QW90"/>
      <c r="QX90"/>
      <c r="QY90"/>
      <c r="QZ90"/>
      <c r="RA90"/>
      <c r="RB90"/>
      <c r="RC90"/>
      <c r="RD90"/>
      <c r="RE90"/>
      <c r="RF90"/>
      <c r="RG90"/>
      <c r="RH90"/>
      <c r="RI90"/>
      <c r="RJ90"/>
      <c r="RK90"/>
      <c r="RL90"/>
      <c r="RM90"/>
      <c r="RN90"/>
      <c r="RO90"/>
      <c r="RP90"/>
      <c r="RQ90"/>
      <c r="RR90"/>
      <c r="RS90"/>
      <c r="RT90"/>
      <c r="RU90"/>
      <c r="RV90"/>
      <c r="RW90"/>
      <c r="RX90"/>
      <c r="RY90"/>
      <c r="RZ90"/>
      <c r="SA90"/>
      <c r="SB90"/>
      <c r="SC90"/>
      <c r="SD90"/>
      <c r="SE90"/>
      <c r="SF90"/>
      <c r="SG90"/>
      <c r="SH90"/>
      <c r="SI90"/>
      <c r="SJ90"/>
      <c r="SK90"/>
      <c r="SL90"/>
      <c r="SM90"/>
      <c r="SN90"/>
      <c r="SO90"/>
      <c r="SP90"/>
      <c r="SQ90"/>
      <c r="SR90"/>
      <c r="SS90"/>
      <c r="ST90"/>
      <c r="SU90"/>
      <c r="SV90"/>
      <c r="SW90"/>
      <c r="SX90"/>
      <c r="SY90"/>
      <c r="SZ90"/>
      <c r="TA90"/>
      <c r="TB90"/>
      <c r="TC90"/>
      <c r="TD90"/>
      <c r="TE90"/>
      <c r="TF90"/>
      <c r="TG90"/>
      <c r="TH90"/>
    </row>
    <row r="91" spans="3:528" x14ac:dyDescent="0.25">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c r="KT91"/>
      <c r="KU91"/>
      <c r="KV91"/>
      <c r="KW91"/>
      <c r="KX91"/>
      <c r="KY91"/>
      <c r="KZ91"/>
      <c r="LA91"/>
      <c r="LB91"/>
      <c r="LC91"/>
      <c r="LD91"/>
      <c r="LE91"/>
      <c r="LF91"/>
      <c r="LG91"/>
      <c r="LH91"/>
      <c r="LI91"/>
      <c r="LJ91"/>
      <c r="LK91"/>
      <c r="LL91"/>
      <c r="LM91"/>
      <c r="LN91"/>
      <c r="LO91"/>
      <c r="LP91"/>
      <c r="LQ91"/>
      <c r="LR91"/>
      <c r="LS91"/>
      <c r="LT91"/>
      <c r="LU91"/>
      <c r="LV91"/>
      <c r="LW91"/>
      <c r="LX91"/>
      <c r="LY91"/>
      <c r="LZ91"/>
      <c r="MA91"/>
      <c r="MB91"/>
      <c r="MC91"/>
      <c r="MD91"/>
      <c r="ME91"/>
      <c r="MF91"/>
      <c r="MG91"/>
      <c r="MH91"/>
      <c r="MI91"/>
      <c r="MJ91"/>
      <c r="MK91"/>
      <c r="ML91"/>
      <c r="MM91"/>
      <c r="MN91"/>
      <c r="MO91"/>
      <c r="MP91"/>
      <c r="MQ91"/>
      <c r="MR91"/>
      <c r="MS91"/>
      <c r="MT91"/>
      <c r="MU91"/>
      <c r="MV91"/>
      <c r="MW91"/>
      <c r="MX91"/>
      <c r="MY91"/>
      <c r="MZ91"/>
      <c r="NA91"/>
      <c r="NB91"/>
      <c r="NC91"/>
      <c r="ND91"/>
      <c r="NE91"/>
      <c r="NF91"/>
      <c r="NG91"/>
      <c r="NH91"/>
      <c r="NI91"/>
      <c r="NJ91"/>
      <c r="NK91"/>
      <c r="NL91"/>
      <c r="NM91"/>
      <c r="NN91"/>
      <c r="NO91"/>
      <c r="NP91"/>
      <c r="NQ91"/>
      <c r="NR91"/>
      <c r="NS91"/>
      <c r="NT91"/>
      <c r="NU91"/>
      <c r="NV91"/>
      <c r="NW91"/>
      <c r="NX91"/>
      <c r="NY91"/>
      <c r="NZ91"/>
      <c r="OA91"/>
      <c r="OB91"/>
      <c r="OC91"/>
      <c r="OD91"/>
      <c r="OE91"/>
      <c r="OF91"/>
      <c r="OG91"/>
      <c r="OH91"/>
      <c r="OI91"/>
      <c r="OJ91"/>
      <c r="OK91"/>
      <c r="OL91"/>
      <c r="OM91"/>
      <c r="ON91"/>
      <c r="OO91"/>
      <c r="OP91"/>
      <c r="OQ91"/>
      <c r="OR91"/>
      <c r="OS91"/>
      <c r="OT91"/>
      <c r="OU91"/>
      <c r="OV91"/>
      <c r="OW91"/>
      <c r="OX91"/>
      <c r="OY91"/>
      <c r="OZ91"/>
      <c r="PA91"/>
      <c r="PB91"/>
      <c r="PC91"/>
      <c r="PD91"/>
      <c r="PE91"/>
      <c r="PF91"/>
      <c r="PG91"/>
      <c r="PH91"/>
      <c r="PI91"/>
      <c r="PJ91"/>
      <c r="PK91"/>
      <c r="PL91"/>
      <c r="PM91"/>
      <c r="PN91"/>
      <c r="PO91"/>
      <c r="PP91"/>
      <c r="PQ91"/>
      <c r="PR91"/>
      <c r="PS91"/>
      <c r="PT91"/>
      <c r="PU91"/>
      <c r="PV91"/>
      <c r="PW91"/>
      <c r="PX91"/>
      <c r="PY91"/>
      <c r="PZ91"/>
      <c r="QA91"/>
      <c r="QB91"/>
      <c r="QC91"/>
      <c r="QD91"/>
      <c r="QE91"/>
      <c r="QF91"/>
      <c r="QG91"/>
      <c r="QH91"/>
      <c r="QI91"/>
      <c r="QJ91"/>
      <c r="QK91"/>
      <c r="QL91"/>
      <c r="QM91"/>
      <c r="QN91"/>
      <c r="QO91"/>
      <c r="QP91"/>
      <c r="QQ91"/>
      <c r="QR91"/>
      <c r="QS91"/>
      <c r="QT91"/>
      <c r="QU91"/>
      <c r="QV91"/>
      <c r="QW91"/>
      <c r="QX91"/>
      <c r="QY91"/>
      <c r="QZ91"/>
      <c r="RA91"/>
      <c r="RB91"/>
      <c r="RC91"/>
      <c r="RD91"/>
      <c r="RE91"/>
      <c r="RF91"/>
      <c r="RG91"/>
      <c r="RH91"/>
      <c r="RI91"/>
      <c r="RJ91"/>
      <c r="RK91"/>
      <c r="RL91"/>
      <c r="RM91"/>
      <c r="RN91"/>
      <c r="RO91"/>
      <c r="RP91"/>
      <c r="RQ91"/>
      <c r="RR91"/>
      <c r="RS91"/>
      <c r="RT91"/>
      <c r="RU91"/>
      <c r="RV91"/>
      <c r="RW91"/>
      <c r="RX91"/>
      <c r="RY91"/>
      <c r="RZ91"/>
      <c r="SA91"/>
      <c r="SB91"/>
      <c r="SC91"/>
      <c r="SD91"/>
      <c r="SE91"/>
      <c r="SF91"/>
      <c r="SG91"/>
      <c r="SH91"/>
      <c r="SI91"/>
      <c r="SJ91"/>
      <c r="SK91"/>
      <c r="SL91"/>
      <c r="SM91"/>
      <c r="SN91"/>
      <c r="SO91"/>
      <c r="SP91"/>
      <c r="SQ91"/>
      <c r="SR91"/>
      <c r="SS91"/>
      <c r="ST91"/>
      <c r="SU91"/>
      <c r="SV91"/>
      <c r="SW91"/>
      <c r="SX91"/>
      <c r="SY91"/>
      <c r="SZ91"/>
      <c r="TA91"/>
      <c r="TB91"/>
      <c r="TC91"/>
      <c r="TD91"/>
      <c r="TE91"/>
      <c r="TF91"/>
      <c r="TG91"/>
      <c r="TH91"/>
    </row>
    <row r="92" spans="3:528" x14ac:dyDescent="0.25">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c r="KT92"/>
      <c r="KU92"/>
      <c r="KV92"/>
      <c r="KW92"/>
      <c r="KX92"/>
      <c r="KY92"/>
      <c r="KZ92"/>
      <c r="LA92"/>
      <c r="LB92"/>
      <c r="LC92"/>
      <c r="LD92"/>
      <c r="LE92"/>
      <c r="LF92"/>
      <c r="LG92"/>
      <c r="LH92"/>
      <c r="LI92"/>
      <c r="LJ92"/>
      <c r="LK92"/>
      <c r="LL92"/>
      <c r="LM92"/>
      <c r="LN92"/>
      <c r="LO92"/>
      <c r="LP92"/>
      <c r="LQ92"/>
      <c r="LR92"/>
      <c r="LS92"/>
      <c r="LT92"/>
      <c r="LU92"/>
      <c r="LV92"/>
      <c r="LW92"/>
      <c r="LX92"/>
      <c r="LY92"/>
      <c r="LZ92"/>
      <c r="MA92"/>
      <c r="MB92"/>
      <c r="MC92"/>
      <c r="MD92"/>
      <c r="ME92"/>
      <c r="MF92"/>
      <c r="MG92"/>
      <c r="MH92"/>
      <c r="MI92"/>
      <c r="MJ92"/>
      <c r="MK92"/>
      <c r="ML92"/>
      <c r="MM92"/>
      <c r="MN92"/>
      <c r="MO92"/>
      <c r="MP92"/>
      <c r="MQ92"/>
      <c r="MR92"/>
      <c r="MS92"/>
      <c r="MT92"/>
      <c r="MU92"/>
      <c r="MV92"/>
      <c r="MW92"/>
      <c r="MX92"/>
      <c r="MY92"/>
      <c r="MZ92"/>
      <c r="NA92"/>
      <c r="NB92"/>
      <c r="NC92"/>
      <c r="ND92"/>
      <c r="NE92"/>
      <c r="NF92"/>
      <c r="NG92"/>
      <c r="NH92"/>
      <c r="NI92"/>
      <c r="NJ92"/>
      <c r="NK92"/>
      <c r="NL92"/>
      <c r="NM92"/>
      <c r="NN92"/>
      <c r="NO92"/>
      <c r="NP92"/>
      <c r="NQ92"/>
      <c r="NR92"/>
      <c r="NS92"/>
      <c r="NT92"/>
      <c r="NU92"/>
      <c r="NV92"/>
      <c r="NW92"/>
      <c r="NX92"/>
      <c r="NY92"/>
      <c r="NZ92"/>
      <c r="OA92"/>
      <c r="OB92"/>
      <c r="OC92"/>
      <c r="OD92"/>
      <c r="OE92"/>
      <c r="OF92"/>
      <c r="OG92"/>
      <c r="OH92"/>
      <c r="OI92"/>
      <c r="OJ92"/>
      <c r="OK92"/>
      <c r="OL92"/>
      <c r="OM92"/>
      <c r="ON92"/>
      <c r="OO92"/>
      <c r="OP92"/>
      <c r="OQ92"/>
      <c r="OR92"/>
      <c r="OS92"/>
      <c r="OT92"/>
      <c r="OU92"/>
      <c r="OV92"/>
      <c r="OW92"/>
      <c r="OX92"/>
      <c r="OY92"/>
      <c r="OZ92"/>
      <c r="PA92"/>
      <c r="PB92"/>
      <c r="PC92"/>
      <c r="PD92"/>
      <c r="PE92"/>
      <c r="PF92"/>
      <c r="PG92"/>
      <c r="PH92"/>
      <c r="PI92"/>
      <c r="PJ92"/>
      <c r="PK92"/>
      <c r="PL92"/>
      <c r="PM92"/>
      <c r="PN92"/>
      <c r="PO92"/>
      <c r="PP92"/>
      <c r="PQ92"/>
      <c r="PR92"/>
      <c r="PS92"/>
      <c r="PT92"/>
      <c r="PU92"/>
      <c r="PV92"/>
      <c r="PW92"/>
      <c r="PX92"/>
      <c r="PY92"/>
      <c r="PZ92"/>
      <c r="QA92"/>
      <c r="QB92"/>
      <c r="QC92"/>
      <c r="QD92"/>
      <c r="QE92"/>
      <c r="QF92"/>
      <c r="QG92"/>
      <c r="QH92"/>
      <c r="QI92"/>
      <c r="QJ92"/>
      <c r="QK92"/>
      <c r="QL92"/>
      <c r="QM92"/>
      <c r="QN92"/>
      <c r="QO92"/>
      <c r="QP92"/>
      <c r="QQ92"/>
      <c r="QR92"/>
      <c r="QS92"/>
      <c r="QT92"/>
      <c r="QU92"/>
      <c r="QV92"/>
      <c r="QW92"/>
      <c r="QX92"/>
      <c r="QY92"/>
      <c r="QZ92"/>
      <c r="RA92"/>
      <c r="RB92"/>
      <c r="RC92"/>
      <c r="RD92"/>
      <c r="RE92"/>
      <c r="RF92"/>
      <c r="RG92"/>
      <c r="RH92"/>
      <c r="RI92"/>
      <c r="RJ92"/>
      <c r="RK92"/>
      <c r="RL92"/>
      <c r="RM92"/>
      <c r="RN92"/>
      <c r="RO92"/>
      <c r="RP92"/>
      <c r="RQ92"/>
      <c r="RR92"/>
      <c r="RS92"/>
      <c r="RT92"/>
      <c r="RU92"/>
      <c r="RV92"/>
      <c r="RW92"/>
      <c r="RX92"/>
      <c r="RY92"/>
      <c r="RZ92"/>
      <c r="SA92"/>
      <c r="SB92"/>
      <c r="SC92"/>
      <c r="SD92"/>
      <c r="SE92"/>
      <c r="SF92"/>
      <c r="SG92"/>
      <c r="SH92"/>
      <c r="SI92"/>
      <c r="SJ92"/>
      <c r="SK92"/>
      <c r="SL92"/>
      <c r="SM92"/>
      <c r="SN92"/>
      <c r="SO92"/>
      <c r="SP92"/>
      <c r="SQ92"/>
      <c r="SR92"/>
      <c r="SS92"/>
      <c r="ST92"/>
      <c r="SU92"/>
      <c r="SV92"/>
      <c r="SW92"/>
      <c r="SX92"/>
      <c r="SY92"/>
      <c r="SZ92"/>
      <c r="TA92"/>
      <c r="TB92"/>
      <c r="TC92"/>
      <c r="TD92"/>
      <c r="TE92"/>
      <c r="TF92"/>
      <c r="TG92"/>
      <c r="TH92"/>
    </row>
    <row r="93" spans="3:528" x14ac:dyDescent="0.25">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c r="KT93"/>
      <c r="KU93"/>
      <c r="KV93"/>
      <c r="KW93"/>
      <c r="KX93"/>
      <c r="KY93"/>
      <c r="KZ93"/>
      <c r="LA93"/>
      <c r="LB93"/>
      <c r="LC93"/>
      <c r="LD93"/>
      <c r="LE93"/>
      <c r="LF93"/>
      <c r="LG93"/>
      <c r="LH93"/>
      <c r="LI93"/>
      <c r="LJ93"/>
      <c r="LK93"/>
      <c r="LL93"/>
      <c r="LM93"/>
      <c r="LN93"/>
      <c r="LO93"/>
      <c r="LP93"/>
      <c r="LQ93"/>
      <c r="LR93"/>
      <c r="LS93"/>
      <c r="LT93"/>
      <c r="LU93"/>
      <c r="LV93"/>
      <c r="LW93"/>
      <c r="LX93"/>
      <c r="LY93"/>
      <c r="LZ93"/>
      <c r="MA93"/>
      <c r="MB93"/>
      <c r="MC93"/>
      <c r="MD93"/>
      <c r="ME93"/>
      <c r="MF93"/>
      <c r="MG93"/>
      <c r="MH93"/>
      <c r="MI93"/>
      <c r="MJ93"/>
      <c r="MK93"/>
      <c r="ML93"/>
      <c r="MM93"/>
      <c r="MN93"/>
      <c r="MO93"/>
      <c r="MP93"/>
      <c r="MQ93"/>
      <c r="MR93"/>
      <c r="MS93"/>
      <c r="MT93"/>
      <c r="MU93"/>
      <c r="MV93"/>
      <c r="MW93"/>
      <c r="MX93"/>
      <c r="MY93"/>
      <c r="MZ93"/>
      <c r="NA93"/>
      <c r="NB93"/>
      <c r="NC93"/>
      <c r="ND93"/>
      <c r="NE93"/>
      <c r="NF93"/>
      <c r="NG93"/>
      <c r="NH93"/>
      <c r="NI93"/>
      <c r="NJ93"/>
      <c r="NK93"/>
      <c r="NL93"/>
      <c r="NM93"/>
      <c r="NN93"/>
      <c r="NO93"/>
      <c r="NP93"/>
      <c r="NQ93"/>
      <c r="NR93"/>
      <c r="NS93"/>
      <c r="NT93"/>
      <c r="NU93"/>
      <c r="NV93"/>
      <c r="NW93"/>
      <c r="NX93"/>
      <c r="NY93"/>
      <c r="NZ93"/>
      <c r="OA93"/>
      <c r="OB93"/>
      <c r="OC93"/>
      <c r="OD93"/>
      <c r="OE93"/>
      <c r="OF93"/>
      <c r="OG93"/>
      <c r="OH93"/>
      <c r="OI93"/>
      <c r="OJ93"/>
      <c r="OK93"/>
      <c r="OL93"/>
      <c r="OM93"/>
      <c r="ON93"/>
      <c r="OO93"/>
      <c r="OP93"/>
      <c r="OQ93"/>
      <c r="OR93"/>
      <c r="OS93"/>
      <c r="OT93"/>
      <c r="OU93"/>
      <c r="OV93"/>
      <c r="OW93"/>
      <c r="OX93"/>
      <c r="OY93"/>
      <c r="OZ93"/>
      <c r="PA93"/>
      <c r="PB93"/>
      <c r="PC93"/>
      <c r="PD93"/>
      <c r="PE93"/>
      <c r="PF93"/>
      <c r="PG93"/>
      <c r="PH93"/>
      <c r="PI93"/>
      <c r="PJ93"/>
      <c r="PK93"/>
      <c r="PL93"/>
      <c r="PM93"/>
      <c r="PN93"/>
      <c r="PO93"/>
      <c r="PP93"/>
      <c r="PQ93"/>
      <c r="PR93"/>
      <c r="PS93"/>
      <c r="PT93"/>
      <c r="PU93"/>
      <c r="PV93"/>
      <c r="PW93"/>
      <c r="PX93"/>
      <c r="PY93"/>
      <c r="PZ93"/>
      <c r="QA93"/>
      <c r="QB93"/>
      <c r="QC93"/>
      <c r="QD93"/>
      <c r="QE93"/>
      <c r="QF93"/>
      <c r="QG93"/>
      <c r="QH93"/>
      <c r="QI93"/>
      <c r="QJ93"/>
      <c r="QK93"/>
      <c r="QL93"/>
      <c r="QM93"/>
      <c r="QN93"/>
      <c r="QO93"/>
      <c r="QP93"/>
      <c r="QQ93"/>
      <c r="QR93"/>
      <c r="QS93"/>
      <c r="QT93"/>
      <c r="QU93"/>
      <c r="QV93"/>
      <c r="QW93"/>
      <c r="QX93"/>
      <c r="QY93"/>
      <c r="QZ93"/>
      <c r="RA93"/>
      <c r="RB93"/>
      <c r="RC93"/>
      <c r="RD93"/>
      <c r="RE93"/>
      <c r="RF93"/>
      <c r="RG93"/>
      <c r="RH93"/>
      <c r="RI93"/>
      <c r="RJ93"/>
      <c r="RK93"/>
      <c r="RL93"/>
      <c r="RM93"/>
      <c r="RN93"/>
      <c r="RO93"/>
      <c r="RP93"/>
      <c r="RQ93"/>
      <c r="RR93"/>
      <c r="RS93"/>
      <c r="RT93"/>
      <c r="RU93"/>
      <c r="RV93"/>
      <c r="RW93"/>
      <c r="RX93"/>
      <c r="RY93"/>
      <c r="RZ93"/>
      <c r="SA93"/>
      <c r="SB93"/>
      <c r="SC93"/>
      <c r="SD93"/>
      <c r="SE93"/>
      <c r="SF93"/>
      <c r="SG93"/>
      <c r="SH93"/>
      <c r="SI93"/>
      <c r="SJ93"/>
      <c r="SK93"/>
      <c r="SL93"/>
      <c r="SM93"/>
      <c r="SN93"/>
      <c r="SO93"/>
      <c r="SP93"/>
      <c r="SQ93"/>
      <c r="SR93"/>
      <c r="SS93"/>
      <c r="ST93"/>
      <c r="SU93"/>
      <c r="SV93"/>
      <c r="SW93"/>
      <c r="SX93"/>
      <c r="SY93"/>
      <c r="SZ93"/>
      <c r="TA93"/>
      <c r="TB93"/>
      <c r="TC93"/>
      <c r="TD93"/>
      <c r="TE93"/>
      <c r="TF93"/>
      <c r="TG93"/>
      <c r="TH93"/>
    </row>
    <row r="94" spans="3:528" x14ac:dyDescent="0.25">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c r="KT94"/>
      <c r="KU94"/>
      <c r="KV94"/>
      <c r="KW94"/>
      <c r="KX94"/>
      <c r="KY94"/>
      <c r="KZ94"/>
      <c r="LA94"/>
      <c r="LB94"/>
      <c r="LC94"/>
      <c r="LD94"/>
      <c r="LE94"/>
      <c r="LF94"/>
      <c r="LG94"/>
      <c r="LH94"/>
      <c r="LI94"/>
      <c r="LJ94"/>
      <c r="LK94"/>
      <c r="LL94"/>
      <c r="LM94"/>
      <c r="LN94"/>
      <c r="LO94"/>
      <c r="LP94"/>
      <c r="LQ94"/>
      <c r="LR94"/>
      <c r="LS94"/>
      <c r="LT94"/>
      <c r="LU94"/>
      <c r="LV94"/>
      <c r="LW94"/>
      <c r="LX94"/>
      <c r="LY94"/>
      <c r="LZ94"/>
      <c r="MA94"/>
      <c r="MB94"/>
      <c r="MC94"/>
      <c r="MD94"/>
      <c r="ME94"/>
      <c r="MF94"/>
      <c r="MG94"/>
      <c r="MH94"/>
      <c r="MI94"/>
      <c r="MJ94"/>
      <c r="MK94"/>
      <c r="ML94"/>
      <c r="MM94"/>
      <c r="MN94"/>
      <c r="MO94"/>
      <c r="MP94"/>
      <c r="MQ94"/>
      <c r="MR94"/>
      <c r="MS94"/>
      <c r="MT94"/>
      <c r="MU94"/>
      <c r="MV94"/>
      <c r="MW94"/>
      <c r="MX94"/>
      <c r="MY94"/>
      <c r="MZ94"/>
      <c r="NA94"/>
      <c r="NB94"/>
      <c r="NC94"/>
      <c r="ND94"/>
      <c r="NE94"/>
      <c r="NF94"/>
      <c r="NG94"/>
      <c r="NH94"/>
      <c r="NI94"/>
      <c r="NJ94"/>
      <c r="NK94"/>
      <c r="NL94"/>
      <c r="NM94"/>
      <c r="NN94"/>
      <c r="NO94"/>
      <c r="NP94"/>
      <c r="NQ94"/>
      <c r="NR94"/>
      <c r="NS94"/>
      <c r="NT94"/>
      <c r="NU94"/>
      <c r="NV94"/>
      <c r="NW94"/>
      <c r="NX94"/>
      <c r="NY94"/>
      <c r="NZ94"/>
      <c r="OA94"/>
      <c r="OB94"/>
      <c r="OC94"/>
      <c r="OD94"/>
      <c r="OE94"/>
      <c r="OF94"/>
      <c r="OG94"/>
      <c r="OH94"/>
      <c r="OI94"/>
      <c r="OJ94"/>
      <c r="OK94"/>
      <c r="OL94"/>
      <c r="OM94"/>
      <c r="ON94"/>
      <c r="OO94"/>
      <c r="OP94"/>
      <c r="OQ94"/>
      <c r="OR94"/>
      <c r="OS94"/>
      <c r="OT94"/>
      <c r="OU94"/>
      <c r="OV94"/>
      <c r="OW94"/>
      <c r="OX94"/>
      <c r="OY94"/>
      <c r="OZ94"/>
      <c r="PA94"/>
      <c r="PB94"/>
      <c r="PC94"/>
      <c r="PD94"/>
      <c r="PE94"/>
      <c r="PF94"/>
      <c r="PG94"/>
      <c r="PH94"/>
      <c r="PI94"/>
      <c r="PJ94"/>
      <c r="PK94"/>
      <c r="PL94"/>
      <c r="PM94"/>
      <c r="PN94"/>
      <c r="PO94"/>
      <c r="PP94"/>
      <c r="PQ94"/>
      <c r="PR94"/>
      <c r="PS94"/>
      <c r="PT94"/>
      <c r="PU94"/>
      <c r="PV94"/>
      <c r="PW94"/>
      <c r="PX94"/>
      <c r="PY94"/>
      <c r="PZ94"/>
      <c r="QA94"/>
      <c r="QB94"/>
      <c r="QC94"/>
      <c r="QD94"/>
      <c r="QE94"/>
      <c r="QF94"/>
      <c r="QG94"/>
      <c r="QH94"/>
      <c r="QI94"/>
      <c r="QJ94"/>
      <c r="QK94"/>
      <c r="QL94"/>
      <c r="QM94"/>
      <c r="QN94"/>
      <c r="QO94"/>
      <c r="QP94"/>
      <c r="QQ94"/>
      <c r="QR94"/>
      <c r="QS94"/>
      <c r="QT94"/>
      <c r="QU94"/>
      <c r="QV94"/>
      <c r="QW94"/>
      <c r="QX94"/>
      <c r="QY94"/>
      <c r="QZ94"/>
      <c r="RA94"/>
      <c r="RB94"/>
      <c r="RC94"/>
      <c r="RD94"/>
      <c r="RE94"/>
      <c r="RF94"/>
      <c r="RG94"/>
      <c r="RH94"/>
      <c r="RI94"/>
      <c r="RJ94"/>
      <c r="RK94"/>
      <c r="RL94"/>
      <c r="RM94"/>
      <c r="RN94"/>
      <c r="RO94"/>
      <c r="RP94"/>
      <c r="RQ94"/>
      <c r="RR94"/>
      <c r="RS94"/>
      <c r="RT94"/>
      <c r="RU94"/>
      <c r="RV94"/>
      <c r="RW94"/>
      <c r="RX94"/>
      <c r="RY94"/>
      <c r="RZ94"/>
      <c r="SA94"/>
      <c r="SB94"/>
      <c r="SC94"/>
      <c r="SD94"/>
      <c r="SE94"/>
      <c r="SF94"/>
      <c r="SG94"/>
      <c r="SH94"/>
      <c r="SI94"/>
      <c r="SJ94"/>
      <c r="SK94"/>
      <c r="SL94"/>
      <c r="SM94"/>
      <c r="SN94"/>
      <c r="SO94"/>
      <c r="SP94"/>
      <c r="SQ94"/>
      <c r="SR94"/>
      <c r="SS94"/>
      <c r="ST94"/>
      <c r="SU94"/>
      <c r="SV94"/>
      <c r="SW94"/>
      <c r="SX94"/>
      <c r="SY94"/>
      <c r="SZ94"/>
      <c r="TA94"/>
      <c r="TB94"/>
      <c r="TC94"/>
      <c r="TD94"/>
      <c r="TE94"/>
      <c r="TF94"/>
      <c r="TG94"/>
      <c r="TH94"/>
    </row>
    <row r="95" spans="3:528" x14ac:dyDescent="0.2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c r="KT95"/>
      <c r="KU95"/>
      <c r="KV95"/>
      <c r="KW95"/>
      <c r="KX95"/>
      <c r="KY95"/>
      <c r="KZ95"/>
      <c r="LA95"/>
      <c r="LB95"/>
      <c r="LC95"/>
      <c r="LD95"/>
      <c r="LE95"/>
      <c r="LF95"/>
      <c r="LG95"/>
      <c r="LH95"/>
      <c r="LI95"/>
      <c r="LJ95"/>
      <c r="LK95"/>
      <c r="LL95"/>
      <c r="LM95"/>
      <c r="LN95"/>
      <c r="LO95"/>
      <c r="LP95"/>
      <c r="LQ95"/>
      <c r="LR95"/>
      <c r="LS95"/>
      <c r="LT95"/>
      <c r="LU95"/>
      <c r="LV95"/>
      <c r="LW95"/>
      <c r="LX95"/>
      <c r="LY95"/>
      <c r="LZ95"/>
      <c r="MA95"/>
      <c r="MB95"/>
      <c r="MC95"/>
      <c r="MD95"/>
      <c r="ME95"/>
      <c r="MF95"/>
      <c r="MG95"/>
      <c r="MH95"/>
      <c r="MI95"/>
      <c r="MJ95"/>
      <c r="MK95"/>
      <c r="ML95"/>
      <c r="MM95"/>
      <c r="MN95"/>
      <c r="MO95"/>
      <c r="MP95"/>
      <c r="MQ95"/>
      <c r="MR95"/>
      <c r="MS95"/>
      <c r="MT95"/>
      <c r="MU95"/>
      <c r="MV95"/>
      <c r="MW95"/>
      <c r="MX95"/>
      <c r="MY95"/>
      <c r="MZ95"/>
      <c r="NA95"/>
      <c r="NB95"/>
      <c r="NC95"/>
      <c r="ND95"/>
      <c r="NE95"/>
      <c r="NF95"/>
      <c r="NG95"/>
      <c r="NH95"/>
      <c r="NI95"/>
      <c r="NJ95"/>
      <c r="NK95"/>
      <c r="NL95"/>
      <c r="NM95"/>
      <c r="NN95"/>
      <c r="NO95"/>
      <c r="NP95"/>
      <c r="NQ95"/>
      <c r="NR95"/>
      <c r="NS95"/>
      <c r="NT95"/>
      <c r="NU95"/>
      <c r="NV95"/>
      <c r="NW95"/>
      <c r="NX95"/>
      <c r="NY95"/>
      <c r="NZ95"/>
      <c r="OA95"/>
      <c r="OB95"/>
      <c r="OC95"/>
      <c r="OD95"/>
      <c r="OE95"/>
      <c r="OF95"/>
      <c r="OG95"/>
      <c r="OH95"/>
      <c r="OI95"/>
      <c r="OJ95"/>
      <c r="OK95"/>
      <c r="OL95"/>
      <c r="OM95"/>
      <c r="ON95"/>
      <c r="OO95"/>
      <c r="OP95"/>
      <c r="OQ95"/>
      <c r="OR95"/>
      <c r="OS95"/>
      <c r="OT95"/>
      <c r="OU95"/>
      <c r="OV95"/>
      <c r="OW95"/>
      <c r="OX95"/>
      <c r="OY95"/>
      <c r="OZ95"/>
      <c r="PA95"/>
      <c r="PB95"/>
      <c r="PC95"/>
      <c r="PD95"/>
      <c r="PE95"/>
      <c r="PF95"/>
      <c r="PG95"/>
      <c r="PH95"/>
      <c r="PI95"/>
      <c r="PJ95"/>
      <c r="PK95"/>
      <c r="PL95"/>
      <c r="PM95"/>
      <c r="PN95"/>
      <c r="PO95"/>
      <c r="PP95"/>
      <c r="PQ95"/>
      <c r="PR95"/>
      <c r="PS95"/>
      <c r="PT95"/>
      <c r="PU95"/>
      <c r="PV95"/>
      <c r="PW95"/>
      <c r="PX95"/>
      <c r="PY95"/>
      <c r="PZ95"/>
      <c r="QA95"/>
      <c r="QB95"/>
      <c r="QC95"/>
      <c r="QD95"/>
      <c r="QE95"/>
      <c r="QF95"/>
      <c r="QG95"/>
      <c r="QH95"/>
      <c r="QI95"/>
      <c r="QJ95"/>
      <c r="QK95"/>
      <c r="QL95"/>
      <c r="QM95"/>
      <c r="QN95"/>
      <c r="QO95"/>
      <c r="QP95"/>
      <c r="QQ95"/>
      <c r="QR95"/>
      <c r="QS95"/>
      <c r="QT95"/>
      <c r="QU95"/>
      <c r="QV95"/>
      <c r="QW95"/>
      <c r="QX95"/>
      <c r="QY95"/>
      <c r="QZ95"/>
      <c r="RA95"/>
      <c r="RB95"/>
      <c r="RC95"/>
      <c r="RD95"/>
      <c r="RE95"/>
      <c r="RF95"/>
      <c r="RG95"/>
      <c r="RH95"/>
      <c r="RI95"/>
      <c r="RJ95"/>
      <c r="RK95"/>
      <c r="RL95"/>
      <c r="RM95"/>
      <c r="RN95"/>
      <c r="RO95"/>
      <c r="RP95"/>
      <c r="RQ95"/>
      <c r="RR95"/>
      <c r="RS95"/>
      <c r="RT95"/>
      <c r="RU95"/>
      <c r="RV95"/>
      <c r="RW95"/>
      <c r="RX95"/>
      <c r="RY95"/>
      <c r="RZ95"/>
      <c r="SA95"/>
      <c r="SB95"/>
      <c r="SC95"/>
      <c r="SD95"/>
      <c r="SE95"/>
      <c r="SF95"/>
      <c r="SG95"/>
      <c r="SH95"/>
      <c r="SI95"/>
      <c r="SJ95"/>
      <c r="SK95"/>
      <c r="SL95"/>
      <c r="SM95"/>
      <c r="SN95"/>
      <c r="SO95"/>
      <c r="SP95"/>
      <c r="SQ95"/>
      <c r="SR95"/>
      <c r="SS95"/>
      <c r="ST95"/>
      <c r="SU95"/>
      <c r="SV95"/>
      <c r="SW95"/>
      <c r="SX95"/>
      <c r="SY95"/>
      <c r="SZ95"/>
      <c r="TA95"/>
      <c r="TB95"/>
      <c r="TC95"/>
      <c r="TD95"/>
      <c r="TE95"/>
      <c r="TF95"/>
      <c r="TG95"/>
      <c r="TH95"/>
    </row>
    <row r="96" spans="3:528" x14ac:dyDescent="0.25">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c r="PC96"/>
      <c r="PD96"/>
      <c r="PE96"/>
      <c r="PF96"/>
      <c r="PG96"/>
      <c r="PH96"/>
      <c r="PI96"/>
      <c r="PJ96"/>
      <c r="PK96"/>
      <c r="PL96"/>
      <c r="PM96"/>
      <c r="PN96"/>
      <c r="PO96"/>
      <c r="PP96"/>
      <c r="PQ96"/>
      <c r="PR96"/>
      <c r="PS96"/>
      <c r="PT96"/>
      <c r="PU96"/>
      <c r="PV96"/>
      <c r="PW96"/>
      <c r="PX96"/>
      <c r="PY96"/>
      <c r="PZ96"/>
      <c r="QA96"/>
      <c r="QB96"/>
      <c r="QC96"/>
      <c r="QD96"/>
      <c r="QE96"/>
      <c r="QF96"/>
      <c r="QG96"/>
      <c r="QH96"/>
      <c r="QI96"/>
      <c r="QJ96"/>
      <c r="QK96"/>
      <c r="QL96"/>
      <c r="QM96"/>
      <c r="QN96"/>
      <c r="QO96"/>
      <c r="QP96"/>
      <c r="QQ96"/>
      <c r="QR96"/>
      <c r="QS96"/>
      <c r="QT96"/>
      <c r="QU96"/>
      <c r="QV96"/>
      <c r="QW96"/>
      <c r="QX96"/>
      <c r="QY96"/>
      <c r="QZ96"/>
      <c r="RA96"/>
      <c r="RB96"/>
      <c r="RC96"/>
      <c r="RD96"/>
      <c r="RE96"/>
      <c r="RF96"/>
      <c r="RG96"/>
      <c r="RH96"/>
      <c r="RI96"/>
      <c r="RJ96"/>
      <c r="RK96"/>
      <c r="RL96"/>
      <c r="RM96"/>
      <c r="RN96"/>
      <c r="RO96"/>
      <c r="RP96"/>
      <c r="RQ96"/>
      <c r="RR96"/>
      <c r="RS96"/>
      <c r="RT96"/>
      <c r="RU96"/>
      <c r="RV96"/>
      <c r="RW96"/>
      <c r="RX96"/>
      <c r="RY96"/>
      <c r="RZ96"/>
      <c r="SA96"/>
      <c r="SB96"/>
      <c r="SC96"/>
      <c r="SD96"/>
      <c r="SE96"/>
      <c r="SF96"/>
      <c r="SG96"/>
      <c r="SH96"/>
      <c r="SI96"/>
      <c r="SJ96"/>
      <c r="SK96"/>
      <c r="SL96"/>
      <c r="SM96"/>
      <c r="SN96"/>
      <c r="SO96"/>
      <c r="SP96"/>
      <c r="SQ96"/>
      <c r="SR96"/>
      <c r="SS96"/>
      <c r="ST96"/>
      <c r="SU96"/>
      <c r="SV96"/>
      <c r="SW96"/>
      <c r="SX96"/>
      <c r="SY96"/>
      <c r="SZ96"/>
      <c r="TA96"/>
      <c r="TB96"/>
      <c r="TC96"/>
      <c r="TD96"/>
      <c r="TE96"/>
      <c r="TF96"/>
      <c r="TG96"/>
      <c r="TH96"/>
    </row>
    <row r="97" spans="3:528" x14ac:dyDescent="0.25">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c r="PC97"/>
      <c r="PD97"/>
      <c r="PE97"/>
      <c r="PF97"/>
      <c r="PG97"/>
      <c r="PH97"/>
      <c r="PI97"/>
      <c r="PJ97"/>
      <c r="PK97"/>
      <c r="PL97"/>
      <c r="PM97"/>
      <c r="PN97"/>
      <c r="PO97"/>
      <c r="PP97"/>
      <c r="PQ97"/>
      <c r="PR97"/>
      <c r="PS97"/>
      <c r="PT97"/>
      <c r="PU97"/>
      <c r="PV97"/>
      <c r="PW97"/>
      <c r="PX97"/>
      <c r="PY97"/>
      <c r="PZ97"/>
      <c r="QA97"/>
      <c r="QB97"/>
      <c r="QC97"/>
      <c r="QD97"/>
      <c r="QE97"/>
      <c r="QF97"/>
      <c r="QG97"/>
      <c r="QH97"/>
      <c r="QI97"/>
      <c r="QJ97"/>
      <c r="QK97"/>
      <c r="QL97"/>
      <c r="QM97"/>
      <c r="QN97"/>
      <c r="QO97"/>
      <c r="QP97"/>
      <c r="QQ97"/>
      <c r="QR97"/>
      <c r="QS97"/>
      <c r="QT97"/>
      <c r="QU97"/>
      <c r="QV97"/>
      <c r="QW97"/>
      <c r="QX97"/>
      <c r="QY97"/>
      <c r="QZ97"/>
      <c r="RA97"/>
      <c r="RB97"/>
      <c r="RC97"/>
      <c r="RD97"/>
      <c r="RE97"/>
      <c r="RF97"/>
      <c r="RG97"/>
      <c r="RH97"/>
      <c r="RI97"/>
      <c r="RJ97"/>
      <c r="RK97"/>
      <c r="RL97"/>
      <c r="RM97"/>
      <c r="RN97"/>
      <c r="RO97"/>
      <c r="RP97"/>
      <c r="RQ97"/>
      <c r="RR97"/>
      <c r="RS97"/>
      <c r="RT97"/>
      <c r="RU97"/>
      <c r="RV97"/>
      <c r="RW97"/>
      <c r="RX97"/>
      <c r="RY97"/>
      <c r="RZ97"/>
      <c r="SA97"/>
      <c r="SB97"/>
      <c r="SC97"/>
      <c r="SD97"/>
      <c r="SE97"/>
      <c r="SF97"/>
      <c r="SG97"/>
      <c r="SH97"/>
      <c r="SI97"/>
      <c r="SJ97"/>
      <c r="SK97"/>
      <c r="SL97"/>
      <c r="SM97"/>
      <c r="SN97"/>
      <c r="SO97"/>
      <c r="SP97"/>
      <c r="SQ97"/>
      <c r="SR97"/>
      <c r="SS97"/>
      <c r="ST97"/>
      <c r="SU97"/>
      <c r="SV97"/>
      <c r="SW97"/>
      <c r="SX97"/>
      <c r="SY97"/>
      <c r="SZ97"/>
      <c r="TA97"/>
      <c r="TB97"/>
      <c r="TC97"/>
      <c r="TD97"/>
      <c r="TE97"/>
      <c r="TF97"/>
      <c r="TG97"/>
      <c r="TH97"/>
    </row>
    <row r="98" spans="3:528" x14ac:dyDescent="0.25">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c r="PC98"/>
      <c r="PD98"/>
      <c r="PE98"/>
      <c r="PF98"/>
      <c r="PG98"/>
      <c r="PH98"/>
      <c r="PI98"/>
      <c r="PJ98"/>
      <c r="PK98"/>
      <c r="PL98"/>
      <c r="PM98"/>
      <c r="PN98"/>
      <c r="PO98"/>
      <c r="PP98"/>
      <c r="PQ98"/>
      <c r="PR98"/>
      <c r="PS98"/>
      <c r="PT98"/>
      <c r="PU98"/>
      <c r="PV98"/>
      <c r="PW98"/>
      <c r="PX98"/>
      <c r="PY98"/>
      <c r="PZ98"/>
      <c r="QA98"/>
      <c r="QB98"/>
      <c r="QC98"/>
      <c r="QD98"/>
      <c r="QE98"/>
      <c r="QF98"/>
      <c r="QG98"/>
      <c r="QH98"/>
      <c r="QI98"/>
      <c r="QJ98"/>
      <c r="QK98"/>
      <c r="QL98"/>
      <c r="QM98"/>
      <c r="QN98"/>
      <c r="QO98"/>
      <c r="QP98"/>
      <c r="QQ98"/>
      <c r="QR98"/>
      <c r="QS98"/>
      <c r="QT98"/>
      <c r="QU98"/>
      <c r="QV98"/>
      <c r="QW98"/>
      <c r="QX98"/>
      <c r="QY98"/>
      <c r="QZ98"/>
      <c r="RA98"/>
      <c r="RB98"/>
      <c r="RC98"/>
      <c r="RD98"/>
      <c r="RE98"/>
      <c r="RF98"/>
      <c r="RG98"/>
      <c r="RH98"/>
      <c r="RI98"/>
      <c r="RJ98"/>
      <c r="RK98"/>
      <c r="RL98"/>
      <c r="RM98"/>
      <c r="RN98"/>
      <c r="RO98"/>
      <c r="RP98"/>
      <c r="RQ98"/>
      <c r="RR98"/>
      <c r="RS98"/>
      <c r="RT98"/>
      <c r="RU98"/>
      <c r="RV98"/>
      <c r="RW98"/>
      <c r="RX98"/>
      <c r="RY98"/>
      <c r="RZ98"/>
      <c r="SA98"/>
      <c r="SB98"/>
      <c r="SC98"/>
      <c r="SD98"/>
      <c r="SE98"/>
      <c r="SF98"/>
      <c r="SG98"/>
      <c r="SH98"/>
      <c r="SI98"/>
      <c r="SJ98"/>
      <c r="SK98"/>
      <c r="SL98"/>
      <c r="SM98"/>
      <c r="SN98"/>
      <c r="SO98"/>
      <c r="SP98"/>
      <c r="SQ98"/>
      <c r="SR98"/>
      <c r="SS98"/>
      <c r="ST98"/>
      <c r="SU98"/>
      <c r="SV98"/>
      <c r="SW98"/>
      <c r="SX98"/>
      <c r="SY98"/>
      <c r="SZ98"/>
      <c r="TA98"/>
      <c r="TB98"/>
      <c r="TC98"/>
      <c r="TD98"/>
      <c r="TE98"/>
      <c r="TF98"/>
      <c r="TG98"/>
      <c r="TH98"/>
    </row>
    <row r="99" spans="3:528" x14ac:dyDescent="0.25">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c r="PC99"/>
      <c r="PD99"/>
      <c r="PE99"/>
      <c r="PF99"/>
      <c r="PG99"/>
      <c r="PH99"/>
      <c r="PI99"/>
      <c r="PJ99"/>
      <c r="PK99"/>
      <c r="PL99"/>
      <c r="PM99"/>
      <c r="PN99"/>
      <c r="PO99"/>
      <c r="PP99"/>
      <c r="PQ99"/>
      <c r="PR99"/>
      <c r="PS99"/>
      <c r="PT99"/>
      <c r="PU99"/>
      <c r="PV99"/>
      <c r="PW99"/>
      <c r="PX99"/>
      <c r="PY99"/>
      <c r="PZ99"/>
      <c r="QA99"/>
      <c r="QB99"/>
      <c r="QC99"/>
      <c r="QD99"/>
      <c r="QE99"/>
      <c r="QF99"/>
      <c r="QG99"/>
      <c r="QH99"/>
      <c r="QI99"/>
      <c r="QJ99"/>
      <c r="QK99"/>
      <c r="QL99"/>
      <c r="QM99"/>
      <c r="QN99"/>
      <c r="QO99"/>
      <c r="QP99"/>
      <c r="QQ99"/>
      <c r="QR99"/>
      <c r="QS99"/>
      <c r="QT99"/>
      <c r="QU99"/>
      <c r="QV99"/>
      <c r="QW99"/>
      <c r="QX99"/>
      <c r="QY99"/>
      <c r="QZ99"/>
      <c r="RA99"/>
      <c r="RB99"/>
      <c r="RC99"/>
      <c r="RD99"/>
      <c r="RE99"/>
      <c r="RF99"/>
      <c r="RG99"/>
      <c r="RH99"/>
      <c r="RI99"/>
      <c r="RJ99"/>
      <c r="RK99"/>
      <c r="RL99"/>
      <c r="RM99"/>
      <c r="RN99"/>
      <c r="RO99"/>
      <c r="RP99"/>
      <c r="RQ99"/>
      <c r="RR99"/>
      <c r="RS99"/>
      <c r="RT99"/>
      <c r="RU99"/>
      <c r="RV99"/>
      <c r="RW99"/>
      <c r="RX99"/>
      <c r="RY99"/>
      <c r="RZ99"/>
      <c r="SA99"/>
      <c r="SB99"/>
      <c r="SC99"/>
      <c r="SD99"/>
      <c r="SE99"/>
      <c r="SF99"/>
      <c r="SG99"/>
      <c r="SH99"/>
      <c r="SI99"/>
      <c r="SJ99"/>
      <c r="SK99"/>
      <c r="SL99"/>
      <c r="SM99"/>
      <c r="SN99"/>
      <c r="SO99"/>
      <c r="SP99"/>
      <c r="SQ99"/>
      <c r="SR99"/>
      <c r="SS99"/>
      <c r="ST99"/>
      <c r="SU99"/>
      <c r="SV99"/>
      <c r="SW99"/>
      <c r="SX99"/>
      <c r="SY99"/>
      <c r="SZ99"/>
      <c r="TA99"/>
      <c r="TB99"/>
      <c r="TC99"/>
      <c r="TD99"/>
      <c r="TE99"/>
      <c r="TF99"/>
      <c r="TG99"/>
      <c r="TH99"/>
    </row>
    <row r="100" spans="3:528" x14ac:dyDescent="0.25">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c r="PC100"/>
      <c r="PD100"/>
      <c r="PE100"/>
      <c r="PF100"/>
      <c r="PG100"/>
      <c r="PH100"/>
      <c r="PI100"/>
      <c r="PJ100"/>
      <c r="PK100"/>
      <c r="PL100"/>
      <c r="PM100"/>
      <c r="PN100"/>
      <c r="PO100"/>
      <c r="PP100"/>
      <c r="PQ100"/>
      <c r="PR100"/>
      <c r="PS100"/>
      <c r="PT100"/>
      <c r="PU100"/>
      <c r="PV100"/>
      <c r="PW100"/>
      <c r="PX100"/>
      <c r="PY100"/>
      <c r="PZ100"/>
      <c r="QA100"/>
      <c r="QB100"/>
      <c r="QC100"/>
      <c r="QD100"/>
      <c r="QE100"/>
      <c r="QF100"/>
      <c r="QG100"/>
      <c r="QH100"/>
      <c r="QI100"/>
      <c r="QJ100"/>
      <c r="QK100"/>
      <c r="QL100"/>
      <c r="QM100"/>
      <c r="QN100"/>
      <c r="QO100"/>
      <c r="QP100"/>
      <c r="QQ100"/>
      <c r="QR100"/>
      <c r="QS100"/>
      <c r="QT100"/>
      <c r="QU100"/>
      <c r="QV100"/>
      <c r="QW100"/>
      <c r="QX100"/>
      <c r="QY100"/>
      <c r="QZ100"/>
      <c r="RA100"/>
      <c r="RB100"/>
      <c r="RC100"/>
      <c r="RD100"/>
      <c r="RE100"/>
      <c r="RF100"/>
      <c r="RG100"/>
      <c r="RH100"/>
      <c r="RI100"/>
      <c r="RJ100"/>
      <c r="RK100"/>
      <c r="RL100"/>
      <c r="RM100"/>
      <c r="RN100"/>
      <c r="RO100"/>
      <c r="RP100"/>
      <c r="RQ100"/>
      <c r="RR100"/>
      <c r="RS100"/>
      <c r="RT100"/>
      <c r="RU100"/>
      <c r="RV100"/>
      <c r="RW100"/>
      <c r="RX100"/>
      <c r="RY100"/>
      <c r="RZ100"/>
      <c r="SA100"/>
      <c r="SB100"/>
      <c r="SC100"/>
      <c r="SD100"/>
      <c r="SE100"/>
      <c r="SF100"/>
      <c r="SG100"/>
      <c r="SH100"/>
      <c r="SI100"/>
      <c r="SJ100"/>
      <c r="SK100"/>
      <c r="SL100"/>
      <c r="SM100"/>
      <c r="SN100"/>
      <c r="SO100"/>
      <c r="SP100"/>
      <c r="SQ100"/>
      <c r="SR100"/>
      <c r="SS100"/>
      <c r="ST100"/>
      <c r="SU100"/>
      <c r="SV100"/>
      <c r="SW100"/>
      <c r="SX100"/>
      <c r="SY100"/>
      <c r="SZ100"/>
      <c r="TA100"/>
      <c r="TB100"/>
      <c r="TC100"/>
      <c r="TD100"/>
      <c r="TE100"/>
      <c r="TF100"/>
      <c r="TG100"/>
      <c r="TH100"/>
    </row>
    <row r="101" spans="3:528" x14ac:dyDescent="0.25">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c r="PC101"/>
      <c r="PD101"/>
      <c r="PE101"/>
      <c r="PF101"/>
      <c r="PG101"/>
      <c r="PH101"/>
      <c r="PI101"/>
      <c r="PJ101"/>
      <c r="PK101"/>
      <c r="PL101"/>
      <c r="PM101"/>
      <c r="PN101"/>
      <c r="PO101"/>
      <c r="PP101"/>
      <c r="PQ101"/>
      <c r="PR101"/>
      <c r="PS101"/>
      <c r="PT101"/>
      <c r="PU101"/>
      <c r="PV101"/>
      <c r="PW101"/>
      <c r="PX101"/>
      <c r="PY101"/>
      <c r="PZ101"/>
      <c r="QA101"/>
      <c r="QB101"/>
      <c r="QC101"/>
      <c r="QD101"/>
      <c r="QE101"/>
      <c r="QF101"/>
      <c r="QG101"/>
      <c r="QH101"/>
      <c r="QI101"/>
      <c r="QJ101"/>
      <c r="QK101"/>
      <c r="QL101"/>
      <c r="QM101"/>
      <c r="QN101"/>
      <c r="QO101"/>
      <c r="QP101"/>
      <c r="QQ101"/>
      <c r="QR101"/>
      <c r="QS101"/>
      <c r="QT101"/>
      <c r="QU101"/>
      <c r="QV101"/>
      <c r="QW101"/>
      <c r="QX101"/>
      <c r="QY101"/>
      <c r="QZ101"/>
      <c r="RA101"/>
      <c r="RB101"/>
      <c r="RC101"/>
      <c r="RD101"/>
      <c r="RE101"/>
      <c r="RF101"/>
      <c r="RG101"/>
      <c r="RH101"/>
      <c r="RI101"/>
      <c r="RJ101"/>
      <c r="RK101"/>
      <c r="RL101"/>
      <c r="RM101"/>
      <c r="RN101"/>
      <c r="RO101"/>
      <c r="RP101"/>
      <c r="RQ101"/>
      <c r="RR101"/>
      <c r="RS101"/>
      <c r="RT101"/>
      <c r="RU101"/>
      <c r="RV101"/>
      <c r="RW101"/>
      <c r="RX101"/>
      <c r="RY101"/>
      <c r="RZ101"/>
      <c r="SA101"/>
      <c r="SB101"/>
      <c r="SC101"/>
      <c r="SD101"/>
      <c r="SE101"/>
      <c r="SF101"/>
      <c r="SG101"/>
      <c r="SH101"/>
      <c r="SI101"/>
      <c r="SJ101"/>
      <c r="SK101"/>
      <c r="SL101"/>
      <c r="SM101"/>
      <c r="SN101"/>
      <c r="SO101"/>
      <c r="SP101"/>
      <c r="SQ101"/>
      <c r="SR101"/>
      <c r="SS101"/>
      <c r="ST101"/>
      <c r="SU101"/>
      <c r="SV101"/>
      <c r="SW101"/>
      <c r="SX101"/>
      <c r="SY101"/>
      <c r="SZ101"/>
      <c r="TA101"/>
      <c r="TB101"/>
      <c r="TC101"/>
      <c r="TD101"/>
      <c r="TE101"/>
      <c r="TF101"/>
      <c r="TG101"/>
      <c r="TH101"/>
    </row>
    <row r="102" spans="3:528" x14ac:dyDescent="0.25">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c r="PC102"/>
      <c r="PD102"/>
      <c r="PE102"/>
      <c r="PF102"/>
      <c r="PG102"/>
      <c r="PH102"/>
      <c r="PI102"/>
      <c r="PJ102"/>
      <c r="PK102"/>
      <c r="PL102"/>
      <c r="PM102"/>
      <c r="PN102"/>
      <c r="PO102"/>
      <c r="PP102"/>
      <c r="PQ102"/>
      <c r="PR102"/>
      <c r="PS102"/>
      <c r="PT102"/>
      <c r="PU102"/>
      <c r="PV102"/>
      <c r="PW102"/>
      <c r="PX102"/>
      <c r="PY102"/>
      <c r="PZ102"/>
      <c r="QA102"/>
      <c r="QB102"/>
      <c r="QC102"/>
      <c r="QD102"/>
      <c r="QE102"/>
      <c r="QF102"/>
      <c r="QG102"/>
      <c r="QH102"/>
      <c r="QI102"/>
      <c r="QJ102"/>
      <c r="QK102"/>
      <c r="QL102"/>
      <c r="QM102"/>
      <c r="QN102"/>
      <c r="QO102"/>
      <c r="QP102"/>
      <c r="QQ102"/>
      <c r="QR102"/>
      <c r="QS102"/>
      <c r="QT102"/>
      <c r="QU102"/>
      <c r="QV102"/>
      <c r="QW102"/>
      <c r="QX102"/>
      <c r="QY102"/>
      <c r="QZ102"/>
      <c r="RA102"/>
      <c r="RB102"/>
      <c r="RC102"/>
      <c r="RD102"/>
      <c r="RE102"/>
      <c r="RF102"/>
      <c r="RG102"/>
      <c r="RH102"/>
      <c r="RI102"/>
      <c r="RJ102"/>
      <c r="RK102"/>
      <c r="RL102"/>
      <c r="RM102"/>
      <c r="RN102"/>
      <c r="RO102"/>
      <c r="RP102"/>
      <c r="RQ102"/>
      <c r="RR102"/>
      <c r="RS102"/>
      <c r="RT102"/>
      <c r="RU102"/>
      <c r="RV102"/>
      <c r="RW102"/>
      <c r="RX102"/>
      <c r="RY102"/>
      <c r="RZ102"/>
      <c r="SA102"/>
      <c r="SB102"/>
      <c r="SC102"/>
      <c r="SD102"/>
      <c r="SE102"/>
      <c r="SF102"/>
      <c r="SG102"/>
      <c r="SH102"/>
      <c r="SI102"/>
      <c r="SJ102"/>
      <c r="SK102"/>
      <c r="SL102"/>
      <c r="SM102"/>
      <c r="SN102"/>
      <c r="SO102"/>
      <c r="SP102"/>
      <c r="SQ102"/>
      <c r="SR102"/>
      <c r="SS102"/>
      <c r="ST102"/>
      <c r="SU102"/>
      <c r="SV102"/>
      <c r="SW102"/>
      <c r="SX102"/>
      <c r="SY102"/>
      <c r="SZ102"/>
      <c r="TA102"/>
      <c r="TB102"/>
      <c r="TC102"/>
      <c r="TD102"/>
      <c r="TE102"/>
      <c r="TF102"/>
      <c r="TG102"/>
      <c r="TH102"/>
    </row>
    <row r="103" spans="3:528" x14ac:dyDescent="0.25">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c r="PC103"/>
      <c r="PD103"/>
      <c r="PE103"/>
      <c r="PF103"/>
      <c r="PG103"/>
      <c r="PH103"/>
      <c r="PI103"/>
      <c r="PJ103"/>
      <c r="PK103"/>
      <c r="PL103"/>
      <c r="PM103"/>
      <c r="PN103"/>
      <c r="PO103"/>
      <c r="PP103"/>
      <c r="PQ103"/>
      <c r="PR103"/>
      <c r="PS103"/>
      <c r="PT103"/>
      <c r="PU103"/>
      <c r="PV103"/>
      <c r="PW103"/>
      <c r="PX103"/>
      <c r="PY103"/>
      <c r="PZ103"/>
      <c r="QA103"/>
      <c r="QB103"/>
      <c r="QC103"/>
      <c r="QD103"/>
      <c r="QE103"/>
      <c r="QF103"/>
      <c r="QG103"/>
      <c r="QH103"/>
      <c r="QI103"/>
      <c r="QJ103"/>
      <c r="QK103"/>
      <c r="QL103"/>
      <c r="QM103"/>
      <c r="QN103"/>
      <c r="QO103"/>
      <c r="QP103"/>
      <c r="QQ103"/>
      <c r="QR103"/>
      <c r="QS103"/>
      <c r="QT103"/>
      <c r="QU103"/>
      <c r="QV103"/>
      <c r="QW103"/>
      <c r="QX103"/>
      <c r="QY103"/>
      <c r="QZ103"/>
      <c r="RA103"/>
      <c r="RB103"/>
      <c r="RC103"/>
      <c r="RD103"/>
      <c r="RE103"/>
      <c r="RF103"/>
      <c r="RG103"/>
      <c r="RH103"/>
      <c r="RI103"/>
      <c r="RJ103"/>
      <c r="RK103"/>
      <c r="RL103"/>
      <c r="RM103"/>
      <c r="RN103"/>
      <c r="RO103"/>
      <c r="RP103"/>
      <c r="RQ103"/>
      <c r="RR103"/>
      <c r="RS103"/>
      <c r="RT103"/>
      <c r="RU103"/>
      <c r="RV103"/>
      <c r="RW103"/>
      <c r="RX103"/>
      <c r="RY103"/>
      <c r="RZ103"/>
      <c r="SA103"/>
      <c r="SB103"/>
      <c r="SC103"/>
      <c r="SD103"/>
      <c r="SE103"/>
      <c r="SF103"/>
      <c r="SG103"/>
      <c r="SH103"/>
      <c r="SI103"/>
      <c r="SJ103"/>
      <c r="SK103"/>
      <c r="SL103"/>
      <c r="SM103"/>
      <c r="SN103"/>
      <c r="SO103"/>
      <c r="SP103"/>
      <c r="SQ103"/>
      <c r="SR103"/>
      <c r="SS103"/>
      <c r="ST103"/>
      <c r="SU103"/>
      <c r="SV103"/>
      <c r="SW103"/>
      <c r="SX103"/>
      <c r="SY103"/>
      <c r="SZ103"/>
      <c r="TA103"/>
      <c r="TB103"/>
      <c r="TC103"/>
      <c r="TD103"/>
      <c r="TE103"/>
      <c r="TF103"/>
      <c r="TG103"/>
      <c r="TH103"/>
    </row>
    <row r="104" spans="3:528" x14ac:dyDescent="0.25">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c r="PC104"/>
      <c r="PD104"/>
      <c r="PE104"/>
      <c r="PF104"/>
      <c r="PG104"/>
      <c r="PH104"/>
      <c r="PI104"/>
      <c r="PJ104"/>
      <c r="PK104"/>
      <c r="PL104"/>
      <c r="PM104"/>
      <c r="PN104"/>
      <c r="PO104"/>
      <c r="PP104"/>
      <c r="PQ104"/>
      <c r="PR104"/>
      <c r="PS104"/>
      <c r="PT104"/>
      <c r="PU104"/>
      <c r="PV104"/>
      <c r="PW104"/>
      <c r="PX104"/>
      <c r="PY104"/>
      <c r="PZ104"/>
      <c r="QA104"/>
      <c r="QB104"/>
      <c r="QC104"/>
      <c r="QD104"/>
      <c r="QE104"/>
      <c r="QF104"/>
      <c r="QG104"/>
      <c r="QH104"/>
      <c r="QI104"/>
      <c r="QJ104"/>
      <c r="QK104"/>
      <c r="QL104"/>
      <c r="QM104"/>
      <c r="QN104"/>
      <c r="QO104"/>
      <c r="QP104"/>
      <c r="QQ104"/>
      <c r="QR104"/>
      <c r="QS104"/>
      <c r="QT104"/>
      <c r="QU104"/>
      <c r="QV104"/>
      <c r="QW104"/>
      <c r="QX104"/>
      <c r="QY104"/>
      <c r="QZ104"/>
      <c r="RA104"/>
      <c r="RB104"/>
      <c r="RC104"/>
      <c r="RD104"/>
      <c r="RE104"/>
      <c r="RF104"/>
      <c r="RG104"/>
      <c r="RH104"/>
      <c r="RI104"/>
      <c r="RJ104"/>
      <c r="RK104"/>
      <c r="RL104"/>
      <c r="RM104"/>
      <c r="RN104"/>
      <c r="RO104"/>
      <c r="RP104"/>
      <c r="RQ104"/>
      <c r="RR104"/>
      <c r="RS104"/>
      <c r="RT104"/>
      <c r="RU104"/>
      <c r="RV104"/>
      <c r="RW104"/>
      <c r="RX104"/>
      <c r="RY104"/>
      <c r="RZ104"/>
      <c r="SA104"/>
      <c r="SB104"/>
      <c r="SC104"/>
      <c r="SD104"/>
      <c r="SE104"/>
      <c r="SF104"/>
      <c r="SG104"/>
      <c r="SH104"/>
      <c r="SI104"/>
      <c r="SJ104"/>
      <c r="SK104"/>
      <c r="SL104"/>
      <c r="SM104"/>
      <c r="SN104"/>
      <c r="SO104"/>
      <c r="SP104"/>
      <c r="SQ104"/>
      <c r="SR104"/>
      <c r="SS104"/>
      <c r="ST104"/>
      <c r="SU104"/>
      <c r="SV104"/>
      <c r="SW104"/>
      <c r="SX104"/>
      <c r="SY104"/>
      <c r="SZ104"/>
      <c r="TA104"/>
      <c r="TB104"/>
      <c r="TC104"/>
      <c r="TD104"/>
      <c r="TE104"/>
      <c r="TF104"/>
      <c r="TG104"/>
      <c r="TH104"/>
    </row>
    <row r="105" spans="3:528" x14ac:dyDescent="0.2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c r="PU105"/>
      <c r="PV105"/>
      <c r="PW105"/>
      <c r="PX105"/>
      <c r="PY105"/>
      <c r="PZ105"/>
      <c r="QA105"/>
      <c r="QB105"/>
      <c r="QC105"/>
      <c r="QD105"/>
      <c r="QE105"/>
      <c r="QF105"/>
      <c r="QG105"/>
      <c r="QH105"/>
      <c r="QI105"/>
      <c r="QJ105"/>
      <c r="QK105"/>
      <c r="QL105"/>
      <c r="QM105"/>
      <c r="QN105"/>
      <c r="QO105"/>
      <c r="QP105"/>
      <c r="QQ105"/>
      <c r="QR105"/>
      <c r="QS105"/>
      <c r="QT105"/>
      <c r="QU105"/>
      <c r="QV105"/>
      <c r="QW105"/>
      <c r="QX105"/>
      <c r="QY105"/>
      <c r="QZ105"/>
      <c r="RA105"/>
      <c r="RB105"/>
      <c r="RC105"/>
      <c r="RD105"/>
      <c r="RE105"/>
      <c r="RF105"/>
      <c r="RG105"/>
      <c r="RH105"/>
      <c r="RI105"/>
      <c r="RJ105"/>
      <c r="RK105"/>
      <c r="RL105"/>
      <c r="RM105"/>
      <c r="RN105"/>
      <c r="RO105"/>
      <c r="RP105"/>
      <c r="RQ105"/>
      <c r="RR105"/>
      <c r="RS105"/>
      <c r="RT105"/>
      <c r="RU105"/>
      <c r="RV105"/>
      <c r="RW105"/>
      <c r="RX105"/>
      <c r="RY105"/>
      <c r="RZ105"/>
      <c r="SA105"/>
      <c r="SB105"/>
      <c r="SC105"/>
      <c r="SD105"/>
      <c r="SE105"/>
      <c r="SF105"/>
      <c r="SG105"/>
      <c r="SH105"/>
      <c r="SI105"/>
      <c r="SJ105"/>
      <c r="SK105"/>
      <c r="SL105"/>
      <c r="SM105"/>
      <c r="SN105"/>
      <c r="SO105"/>
      <c r="SP105"/>
      <c r="SQ105"/>
      <c r="SR105"/>
      <c r="SS105"/>
      <c r="ST105"/>
      <c r="SU105"/>
      <c r="SV105"/>
      <c r="SW105"/>
      <c r="SX105"/>
      <c r="SY105"/>
      <c r="SZ105"/>
      <c r="TA105"/>
      <c r="TB105"/>
      <c r="TC105"/>
      <c r="TD105"/>
      <c r="TE105"/>
      <c r="TF105"/>
      <c r="TG105"/>
      <c r="TH105"/>
    </row>
    <row r="106" spans="3:528" x14ac:dyDescent="0.25">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c r="PC106"/>
      <c r="PD106"/>
      <c r="PE106"/>
      <c r="PF106"/>
      <c r="PG106"/>
      <c r="PH106"/>
      <c r="PI106"/>
      <c r="PJ106"/>
      <c r="PK106"/>
      <c r="PL106"/>
      <c r="PM106"/>
      <c r="PN106"/>
      <c r="PO106"/>
      <c r="PP106"/>
      <c r="PQ106"/>
      <c r="PR106"/>
      <c r="PS106"/>
      <c r="PT106"/>
      <c r="PU106"/>
      <c r="PV106"/>
      <c r="PW106"/>
      <c r="PX106"/>
      <c r="PY106"/>
      <c r="PZ106"/>
      <c r="QA106"/>
      <c r="QB106"/>
      <c r="QC106"/>
      <c r="QD106"/>
      <c r="QE106"/>
      <c r="QF106"/>
      <c r="QG106"/>
      <c r="QH106"/>
      <c r="QI106"/>
      <c r="QJ106"/>
      <c r="QK106"/>
      <c r="QL106"/>
      <c r="QM106"/>
      <c r="QN106"/>
      <c r="QO106"/>
      <c r="QP106"/>
      <c r="QQ106"/>
      <c r="QR106"/>
      <c r="QS106"/>
      <c r="QT106"/>
      <c r="QU106"/>
      <c r="QV106"/>
      <c r="QW106"/>
      <c r="QX106"/>
      <c r="QY106"/>
      <c r="QZ106"/>
      <c r="RA106"/>
      <c r="RB106"/>
      <c r="RC106"/>
      <c r="RD106"/>
      <c r="RE106"/>
      <c r="RF106"/>
      <c r="RG106"/>
      <c r="RH106"/>
      <c r="RI106"/>
      <c r="RJ106"/>
      <c r="RK106"/>
      <c r="RL106"/>
      <c r="RM106"/>
      <c r="RN106"/>
      <c r="RO106"/>
      <c r="RP106"/>
      <c r="RQ106"/>
      <c r="RR106"/>
      <c r="RS106"/>
      <c r="RT106"/>
      <c r="RU106"/>
      <c r="RV106"/>
      <c r="RW106"/>
      <c r="RX106"/>
      <c r="RY106"/>
      <c r="RZ106"/>
      <c r="SA106"/>
      <c r="SB106"/>
      <c r="SC106"/>
      <c r="SD106"/>
      <c r="SE106"/>
      <c r="SF106"/>
      <c r="SG106"/>
      <c r="SH106"/>
      <c r="SI106"/>
      <c r="SJ106"/>
      <c r="SK106"/>
      <c r="SL106"/>
      <c r="SM106"/>
      <c r="SN106"/>
      <c r="SO106"/>
      <c r="SP106"/>
      <c r="SQ106"/>
      <c r="SR106"/>
      <c r="SS106"/>
      <c r="ST106"/>
      <c r="SU106"/>
      <c r="SV106"/>
      <c r="SW106"/>
      <c r="SX106"/>
      <c r="SY106"/>
      <c r="SZ106"/>
      <c r="TA106"/>
      <c r="TB106"/>
      <c r="TC106"/>
      <c r="TD106"/>
      <c r="TE106"/>
      <c r="TF106"/>
      <c r="TG106"/>
      <c r="TH106"/>
    </row>
    <row r="107" spans="3:528" x14ac:dyDescent="0.25">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c r="PC107"/>
      <c r="PD107"/>
      <c r="PE107"/>
      <c r="PF107"/>
      <c r="PG107"/>
      <c r="PH107"/>
      <c r="PI107"/>
      <c r="PJ107"/>
      <c r="PK107"/>
      <c r="PL107"/>
      <c r="PM107"/>
      <c r="PN107"/>
      <c r="PO107"/>
      <c r="PP107"/>
      <c r="PQ107"/>
      <c r="PR107"/>
      <c r="PS107"/>
      <c r="PT107"/>
      <c r="PU107"/>
      <c r="PV107"/>
      <c r="PW107"/>
      <c r="PX107"/>
      <c r="PY107"/>
      <c r="PZ107"/>
      <c r="QA107"/>
      <c r="QB107"/>
      <c r="QC107"/>
      <c r="QD107"/>
      <c r="QE107"/>
      <c r="QF107"/>
      <c r="QG107"/>
      <c r="QH107"/>
      <c r="QI107"/>
      <c r="QJ107"/>
      <c r="QK107"/>
      <c r="QL107"/>
      <c r="QM107"/>
      <c r="QN107"/>
      <c r="QO107"/>
      <c r="QP107"/>
      <c r="QQ107"/>
      <c r="QR107"/>
      <c r="QS107"/>
      <c r="QT107"/>
      <c r="QU107"/>
      <c r="QV107"/>
      <c r="QW107"/>
      <c r="QX107"/>
      <c r="QY107"/>
      <c r="QZ107"/>
      <c r="RA107"/>
      <c r="RB107"/>
      <c r="RC107"/>
      <c r="RD107"/>
      <c r="RE107"/>
      <c r="RF107"/>
      <c r="RG107"/>
      <c r="RH107"/>
      <c r="RI107"/>
      <c r="RJ107"/>
      <c r="RK107"/>
      <c r="RL107"/>
      <c r="RM107"/>
      <c r="RN107"/>
      <c r="RO107"/>
      <c r="RP107"/>
      <c r="RQ107"/>
      <c r="RR107"/>
      <c r="RS107"/>
      <c r="RT107"/>
      <c r="RU107"/>
      <c r="RV107"/>
      <c r="RW107"/>
      <c r="RX107"/>
      <c r="RY107"/>
      <c r="RZ107"/>
      <c r="SA107"/>
      <c r="SB107"/>
      <c r="SC107"/>
      <c r="SD107"/>
      <c r="SE107"/>
      <c r="SF107"/>
      <c r="SG107"/>
      <c r="SH107"/>
      <c r="SI107"/>
      <c r="SJ107"/>
      <c r="SK107"/>
      <c r="SL107"/>
      <c r="SM107"/>
      <c r="SN107"/>
      <c r="SO107"/>
      <c r="SP107"/>
      <c r="SQ107"/>
      <c r="SR107"/>
      <c r="SS107"/>
      <c r="ST107"/>
      <c r="SU107"/>
      <c r="SV107"/>
      <c r="SW107"/>
      <c r="SX107"/>
      <c r="SY107"/>
      <c r="SZ107"/>
      <c r="TA107"/>
      <c r="TB107"/>
      <c r="TC107"/>
      <c r="TD107"/>
      <c r="TE107"/>
      <c r="TF107"/>
      <c r="TG107"/>
      <c r="TH107"/>
    </row>
    <row r="108" spans="3:528" x14ac:dyDescent="0.25">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c r="PC108"/>
      <c r="PD108"/>
      <c r="PE108"/>
      <c r="PF108"/>
      <c r="PG108"/>
      <c r="PH108"/>
      <c r="PI108"/>
      <c r="PJ108"/>
      <c r="PK108"/>
      <c r="PL108"/>
      <c r="PM108"/>
      <c r="PN108"/>
      <c r="PO108"/>
      <c r="PP108"/>
      <c r="PQ108"/>
      <c r="PR108"/>
      <c r="PS108"/>
      <c r="PT108"/>
      <c r="PU108"/>
      <c r="PV108"/>
      <c r="PW108"/>
      <c r="PX108"/>
      <c r="PY108"/>
      <c r="PZ108"/>
      <c r="QA108"/>
      <c r="QB108"/>
      <c r="QC108"/>
      <c r="QD108"/>
      <c r="QE108"/>
      <c r="QF108"/>
      <c r="QG108"/>
      <c r="QH108"/>
      <c r="QI108"/>
      <c r="QJ108"/>
      <c r="QK108"/>
      <c r="QL108"/>
      <c r="QM108"/>
      <c r="QN108"/>
      <c r="QO108"/>
      <c r="QP108"/>
      <c r="QQ108"/>
      <c r="QR108"/>
      <c r="QS108"/>
      <c r="QT108"/>
      <c r="QU108"/>
      <c r="QV108"/>
      <c r="QW108"/>
      <c r="QX108"/>
      <c r="QY108"/>
      <c r="QZ108"/>
      <c r="RA108"/>
      <c r="RB108"/>
      <c r="RC108"/>
      <c r="RD108"/>
      <c r="RE108"/>
      <c r="RF108"/>
      <c r="RG108"/>
      <c r="RH108"/>
      <c r="RI108"/>
      <c r="RJ108"/>
      <c r="RK108"/>
      <c r="RL108"/>
      <c r="RM108"/>
      <c r="RN108"/>
      <c r="RO108"/>
      <c r="RP108"/>
      <c r="RQ108"/>
      <c r="RR108"/>
      <c r="RS108"/>
      <c r="RT108"/>
      <c r="RU108"/>
      <c r="RV108"/>
      <c r="RW108"/>
      <c r="RX108"/>
      <c r="RY108"/>
      <c r="RZ108"/>
      <c r="SA108"/>
      <c r="SB108"/>
      <c r="SC108"/>
      <c r="SD108"/>
      <c r="SE108"/>
      <c r="SF108"/>
      <c r="SG108"/>
      <c r="SH108"/>
      <c r="SI108"/>
      <c r="SJ108"/>
      <c r="SK108"/>
      <c r="SL108"/>
      <c r="SM108"/>
      <c r="SN108"/>
      <c r="SO108"/>
      <c r="SP108"/>
      <c r="SQ108"/>
      <c r="SR108"/>
      <c r="SS108"/>
      <c r="ST108"/>
      <c r="SU108"/>
      <c r="SV108"/>
      <c r="SW108"/>
      <c r="SX108"/>
      <c r="SY108"/>
      <c r="SZ108"/>
      <c r="TA108"/>
      <c r="TB108"/>
      <c r="TC108"/>
      <c r="TD108"/>
      <c r="TE108"/>
      <c r="TF108"/>
      <c r="TG108"/>
      <c r="TH108"/>
    </row>
    <row r="109" spans="3:528" x14ac:dyDescent="0.25">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c r="PC109"/>
      <c r="PD109"/>
      <c r="PE109"/>
      <c r="PF109"/>
      <c r="PG109"/>
      <c r="PH109"/>
      <c r="PI109"/>
      <c r="PJ109"/>
      <c r="PK109"/>
      <c r="PL109"/>
      <c r="PM109"/>
      <c r="PN109"/>
      <c r="PO109"/>
      <c r="PP109"/>
      <c r="PQ109"/>
      <c r="PR109"/>
      <c r="PS109"/>
      <c r="PT109"/>
      <c r="PU109"/>
      <c r="PV109"/>
      <c r="PW109"/>
      <c r="PX109"/>
      <c r="PY109"/>
      <c r="PZ109"/>
      <c r="QA109"/>
      <c r="QB109"/>
      <c r="QC109"/>
      <c r="QD109"/>
      <c r="QE109"/>
      <c r="QF109"/>
      <c r="QG109"/>
      <c r="QH109"/>
      <c r="QI109"/>
      <c r="QJ109"/>
      <c r="QK109"/>
      <c r="QL109"/>
      <c r="QM109"/>
      <c r="QN109"/>
      <c r="QO109"/>
      <c r="QP109"/>
      <c r="QQ109"/>
      <c r="QR109"/>
      <c r="QS109"/>
      <c r="QT109"/>
      <c r="QU109"/>
      <c r="QV109"/>
      <c r="QW109"/>
      <c r="QX109"/>
      <c r="QY109"/>
      <c r="QZ109"/>
      <c r="RA109"/>
      <c r="RB109"/>
      <c r="RC109"/>
      <c r="RD109"/>
      <c r="RE109"/>
      <c r="RF109"/>
      <c r="RG109"/>
      <c r="RH109"/>
      <c r="RI109"/>
      <c r="RJ109"/>
      <c r="RK109"/>
      <c r="RL109"/>
      <c r="RM109"/>
      <c r="RN109"/>
      <c r="RO109"/>
      <c r="RP109"/>
      <c r="RQ109"/>
      <c r="RR109"/>
      <c r="RS109"/>
      <c r="RT109"/>
      <c r="RU109"/>
      <c r="RV109"/>
      <c r="RW109"/>
      <c r="RX109"/>
      <c r="RY109"/>
      <c r="RZ109"/>
      <c r="SA109"/>
      <c r="SB109"/>
      <c r="SC109"/>
      <c r="SD109"/>
      <c r="SE109"/>
      <c r="SF109"/>
      <c r="SG109"/>
      <c r="SH109"/>
      <c r="SI109"/>
      <c r="SJ109"/>
      <c r="SK109"/>
      <c r="SL109"/>
      <c r="SM109"/>
      <c r="SN109"/>
      <c r="SO109"/>
      <c r="SP109"/>
      <c r="SQ109"/>
      <c r="SR109"/>
      <c r="SS109"/>
      <c r="ST109"/>
      <c r="SU109"/>
      <c r="SV109"/>
      <c r="SW109"/>
      <c r="SX109"/>
      <c r="SY109"/>
      <c r="SZ109"/>
      <c r="TA109"/>
      <c r="TB109"/>
      <c r="TC109"/>
      <c r="TD109"/>
      <c r="TE109"/>
      <c r="TF109"/>
      <c r="TG109"/>
      <c r="TH109"/>
    </row>
    <row r="110" spans="3:528" x14ac:dyDescent="0.25">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c r="PC110"/>
      <c r="PD110"/>
      <c r="PE110"/>
      <c r="PF110"/>
      <c r="PG110"/>
      <c r="PH110"/>
      <c r="PI110"/>
      <c r="PJ110"/>
      <c r="PK110"/>
      <c r="PL110"/>
      <c r="PM110"/>
      <c r="PN110"/>
      <c r="PO110"/>
      <c r="PP110"/>
      <c r="PQ110"/>
      <c r="PR110"/>
      <c r="PS110"/>
      <c r="PT110"/>
      <c r="PU110"/>
      <c r="PV110"/>
      <c r="PW110"/>
      <c r="PX110"/>
      <c r="PY110"/>
      <c r="PZ110"/>
      <c r="QA110"/>
      <c r="QB110"/>
      <c r="QC110"/>
      <c r="QD110"/>
      <c r="QE110"/>
      <c r="QF110"/>
      <c r="QG110"/>
      <c r="QH110"/>
      <c r="QI110"/>
      <c r="QJ110"/>
      <c r="QK110"/>
      <c r="QL110"/>
      <c r="QM110"/>
      <c r="QN110"/>
      <c r="QO110"/>
      <c r="QP110"/>
      <c r="QQ110"/>
      <c r="QR110"/>
      <c r="QS110"/>
      <c r="QT110"/>
      <c r="QU110"/>
      <c r="QV110"/>
      <c r="QW110"/>
      <c r="QX110"/>
      <c r="QY110"/>
      <c r="QZ110"/>
      <c r="RA110"/>
      <c r="RB110"/>
      <c r="RC110"/>
      <c r="RD110"/>
      <c r="RE110"/>
      <c r="RF110"/>
      <c r="RG110"/>
      <c r="RH110"/>
      <c r="RI110"/>
      <c r="RJ110"/>
      <c r="RK110"/>
      <c r="RL110"/>
      <c r="RM110"/>
      <c r="RN110"/>
      <c r="RO110"/>
      <c r="RP110"/>
      <c r="RQ110"/>
      <c r="RR110"/>
      <c r="RS110"/>
      <c r="RT110"/>
      <c r="RU110"/>
      <c r="RV110"/>
      <c r="RW110"/>
      <c r="RX110"/>
      <c r="RY110"/>
      <c r="RZ110"/>
      <c r="SA110"/>
      <c r="SB110"/>
      <c r="SC110"/>
      <c r="SD110"/>
      <c r="SE110"/>
      <c r="SF110"/>
      <c r="SG110"/>
      <c r="SH110"/>
      <c r="SI110"/>
      <c r="SJ110"/>
      <c r="SK110"/>
      <c r="SL110"/>
      <c r="SM110"/>
      <c r="SN110"/>
      <c r="SO110"/>
      <c r="SP110"/>
      <c r="SQ110"/>
      <c r="SR110"/>
      <c r="SS110"/>
      <c r="ST110"/>
      <c r="SU110"/>
      <c r="SV110"/>
      <c r="SW110"/>
      <c r="SX110"/>
      <c r="SY110"/>
      <c r="SZ110"/>
      <c r="TA110"/>
      <c r="TB110"/>
      <c r="TC110"/>
      <c r="TD110"/>
      <c r="TE110"/>
      <c r="TF110"/>
      <c r="TG110"/>
      <c r="TH110"/>
    </row>
    <row r="111" spans="3:528" x14ac:dyDescent="0.25">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c r="PC111"/>
      <c r="PD111"/>
      <c r="PE111"/>
      <c r="PF111"/>
      <c r="PG111"/>
      <c r="PH111"/>
      <c r="PI111"/>
      <c r="PJ111"/>
      <c r="PK111"/>
      <c r="PL111"/>
      <c r="PM111"/>
      <c r="PN111"/>
      <c r="PO111"/>
      <c r="PP111"/>
      <c r="PQ111"/>
      <c r="PR111"/>
      <c r="PS111"/>
      <c r="PT111"/>
      <c r="PU111"/>
      <c r="PV111"/>
      <c r="PW111"/>
      <c r="PX111"/>
      <c r="PY111"/>
      <c r="PZ111"/>
      <c r="QA111"/>
      <c r="QB111"/>
      <c r="QC111"/>
      <c r="QD111"/>
      <c r="QE111"/>
      <c r="QF111"/>
      <c r="QG111"/>
      <c r="QH111"/>
      <c r="QI111"/>
      <c r="QJ111"/>
      <c r="QK111"/>
      <c r="QL111"/>
      <c r="QM111"/>
      <c r="QN111"/>
      <c r="QO111"/>
      <c r="QP111"/>
      <c r="QQ111"/>
      <c r="QR111"/>
      <c r="QS111"/>
      <c r="QT111"/>
      <c r="QU111"/>
      <c r="QV111"/>
      <c r="QW111"/>
      <c r="QX111"/>
      <c r="QY111"/>
      <c r="QZ111"/>
      <c r="RA111"/>
      <c r="RB111"/>
      <c r="RC111"/>
      <c r="RD111"/>
      <c r="RE111"/>
      <c r="RF111"/>
      <c r="RG111"/>
      <c r="RH111"/>
      <c r="RI111"/>
      <c r="RJ111"/>
      <c r="RK111"/>
      <c r="RL111"/>
      <c r="RM111"/>
      <c r="RN111"/>
      <c r="RO111"/>
      <c r="RP111"/>
      <c r="RQ111"/>
      <c r="RR111"/>
      <c r="RS111"/>
      <c r="RT111"/>
      <c r="RU111"/>
      <c r="RV111"/>
      <c r="RW111"/>
      <c r="RX111"/>
      <c r="RY111"/>
      <c r="RZ111"/>
      <c r="SA111"/>
      <c r="SB111"/>
      <c r="SC111"/>
      <c r="SD111"/>
      <c r="SE111"/>
      <c r="SF111"/>
      <c r="SG111"/>
      <c r="SH111"/>
      <c r="SI111"/>
      <c r="SJ111"/>
      <c r="SK111"/>
      <c r="SL111"/>
      <c r="SM111"/>
      <c r="SN111"/>
      <c r="SO111"/>
      <c r="SP111"/>
      <c r="SQ111"/>
      <c r="SR111"/>
      <c r="SS111"/>
      <c r="ST111"/>
      <c r="SU111"/>
      <c r="SV111"/>
      <c r="SW111"/>
      <c r="SX111"/>
      <c r="SY111"/>
      <c r="SZ111"/>
      <c r="TA111"/>
      <c r="TB111"/>
      <c r="TC111"/>
      <c r="TD111"/>
      <c r="TE111"/>
      <c r="TF111"/>
      <c r="TG111"/>
      <c r="TH111"/>
    </row>
    <row r="112" spans="3:528" x14ac:dyDescent="0.25">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c r="PC112"/>
      <c r="PD112"/>
      <c r="PE112"/>
      <c r="PF112"/>
      <c r="PG112"/>
      <c r="PH112"/>
      <c r="PI112"/>
      <c r="PJ112"/>
      <c r="PK112"/>
      <c r="PL112"/>
      <c r="PM112"/>
      <c r="PN112"/>
      <c r="PO112"/>
      <c r="PP112"/>
      <c r="PQ112"/>
      <c r="PR112"/>
      <c r="PS112"/>
      <c r="PT112"/>
      <c r="PU112"/>
      <c r="PV112"/>
      <c r="PW112"/>
      <c r="PX112"/>
      <c r="PY112"/>
      <c r="PZ112"/>
      <c r="QA112"/>
      <c r="QB112"/>
      <c r="QC112"/>
      <c r="QD112"/>
      <c r="QE112"/>
      <c r="QF112"/>
      <c r="QG112"/>
      <c r="QH112"/>
      <c r="QI112"/>
      <c r="QJ112"/>
      <c r="QK112"/>
      <c r="QL112"/>
      <c r="QM112"/>
      <c r="QN112"/>
      <c r="QO112"/>
      <c r="QP112"/>
      <c r="QQ112"/>
      <c r="QR112"/>
      <c r="QS112"/>
      <c r="QT112"/>
      <c r="QU112"/>
      <c r="QV112"/>
      <c r="QW112"/>
      <c r="QX112"/>
      <c r="QY112"/>
      <c r="QZ112"/>
      <c r="RA112"/>
      <c r="RB112"/>
      <c r="RC112"/>
      <c r="RD112"/>
      <c r="RE112"/>
      <c r="RF112"/>
      <c r="RG112"/>
      <c r="RH112"/>
      <c r="RI112"/>
      <c r="RJ112"/>
      <c r="RK112"/>
      <c r="RL112"/>
      <c r="RM112"/>
      <c r="RN112"/>
      <c r="RO112"/>
      <c r="RP112"/>
      <c r="RQ112"/>
      <c r="RR112"/>
      <c r="RS112"/>
      <c r="RT112"/>
      <c r="RU112"/>
      <c r="RV112"/>
      <c r="RW112"/>
      <c r="RX112"/>
      <c r="RY112"/>
      <c r="RZ112"/>
      <c r="SA112"/>
      <c r="SB112"/>
      <c r="SC112"/>
      <c r="SD112"/>
      <c r="SE112"/>
      <c r="SF112"/>
      <c r="SG112"/>
      <c r="SH112"/>
      <c r="SI112"/>
      <c r="SJ112"/>
      <c r="SK112"/>
      <c r="SL112"/>
      <c r="SM112"/>
      <c r="SN112"/>
      <c r="SO112"/>
      <c r="SP112"/>
      <c r="SQ112"/>
      <c r="SR112"/>
      <c r="SS112"/>
      <c r="ST112"/>
      <c r="SU112"/>
      <c r="SV112"/>
      <c r="SW112"/>
      <c r="SX112"/>
      <c r="SY112"/>
      <c r="SZ112"/>
      <c r="TA112"/>
      <c r="TB112"/>
      <c r="TC112"/>
      <c r="TD112"/>
      <c r="TE112"/>
      <c r="TF112"/>
      <c r="TG112"/>
      <c r="TH112"/>
    </row>
    <row r="113" spans="3:528" x14ac:dyDescent="0.25">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c r="PC113"/>
      <c r="PD113"/>
      <c r="PE113"/>
      <c r="PF113"/>
      <c r="PG113"/>
      <c r="PH113"/>
      <c r="PI113"/>
      <c r="PJ113"/>
      <c r="PK113"/>
      <c r="PL113"/>
      <c r="PM113"/>
      <c r="PN113"/>
      <c r="PO113"/>
      <c r="PP113"/>
      <c r="PQ113"/>
      <c r="PR113"/>
      <c r="PS113"/>
      <c r="PT113"/>
      <c r="PU113"/>
      <c r="PV113"/>
      <c r="PW113"/>
      <c r="PX113"/>
      <c r="PY113"/>
      <c r="PZ113"/>
      <c r="QA113"/>
      <c r="QB113"/>
      <c r="QC113"/>
      <c r="QD113"/>
      <c r="QE113"/>
      <c r="QF113"/>
      <c r="QG113"/>
      <c r="QH113"/>
      <c r="QI113"/>
      <c r="QJ113"/>
      <c r="QK113"/>
      <c r="QL113"/>
      <c r="QM113"/>
      <c r="QN113"/>
      <c r="QO113"/>
      <c r="QP113"/>
      <c r="QQ113"/>
      <c r="QR113"/>
      <c r="QS113"/>
      <c r="QT113"/>
      <c r="QU113"/>
      <c r="QV113"/>
      <c r="QW113"/>
      <c r="QX113"/>
      <c r="QY113"/>
      <c r="QZ113"/>
      <c r="RA113"/>
      <c r="RB113"/>
      <c r="RC113"/>
      <c r="RD113"/>
      <c r="RE113"/>
      <c r="RF113"/>
      <c r="RG113"/>
      <c r="RH113"/>
      <c r="RI113"/>
      <c r="RJ113"/>
      <c r="RK113"/>
      <c r="RL113"/>
      <c r="RM113"/>
      <c r="RN113"/>
      <c r="RO113"/>
      <c r="RP113"/>
      <c r="RQ113"/>
      <c r="RR113"/>
      <c r="RS113"/>
      <c r="RT113"/>
      <c r="RU113"/>
      <c r="RV113"/>
      <c r="RW113"/>
      <c r="RX113"/>
      <c r="RY113"/>
      <c r="RZ113"/>
      <c r="SA113"/>
      <c r="SB113"/>
      <c r="SC113"/>
      <c r="SD113"/>
      <c r="SE113"/>
      <c r="SF113"/>
      <c r="SG113"/>
      <c r="SH113"/>
      <c r="SI113"/>
      <c r="SJ113"/>
      <c r="SK113"/>
      <c r="SL113"/>
      <c r="SM113"/>
      <c r="SN113"/>
      <c r="SO113"/>
      <c r="SP113"/>
      <c r="SQ113"/>
      <c r="SR113"/>
      <c r="SS113"/>
      <c r="ST113"/>
      <c r="SU113"/>
      <c r="SV113"/>
      <c r="SW113"/>
      <c r="SX113"/>
      <c r="SY113"/>
      <c r="SZ113"/>
      <c r="TA113"/>
      <c r="TB113"/>
      <c r="TC113"/>
      <c r="TD113"/>
      <c r="TE113"/>
      <c r="TF113"/>
      <c r="TG113"/>
      <c r="TH113"/>
    </row>
    <row r="114" spans="3:528" x14ac:dyDescent="0.25">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c r="PC114"/>
      <c r="PD114"/>
      <c r="PE114"/>
      <c r="PF114"/>
      <c r="PG114"/>
      <c r="PH114"/>
      <c r="PI114"/>
      <c r="PJ114"/>
      <c r="PK114"/>
      <c r="PL114"/>
      <c r="PM114"/>
      <c r="PN114"/>
      <c r="PO114"/>
      <c r="PP114"/>
      <c r="PQ114"/>
      <c r="PR114"/>
      <c r="PS114"/>
      <c r="PT114"/>
      <c r="PU114"/>
      <c r="PV114"/>
      <c r="PW114"/>
      <c r="PX114"/>
      <c r="PY114"/>
      <c r="PZ114"/>
      <c r="QA114"/>
      <c r="QB114"/>
      <c r="QC114"/>
      <c r="QD114"/>
      <c r="QE114"/>
      <c r="QF114"/>
      <c r="QG114"/>
      <c r="QH114"/>
      <c r="QI114"/>
      <c r="QJ114"/>
      <c r="QK114"/>
      <c r="QL114"/>
      <c r="QM114"/>
      <c r="QN114"/>
      <c r="QO114"/>
      <c r="QP114"/>
      <c r="QQ114"/>
      <c r="QR114"/>
      <c r="QS114"/>
      <c r="QT114"/>
      <c r="QU114"/>
      <c r="QV114"/>
      <c r="QW114"/>
      <c r="QX114"/>
      <c r="QY114"/>
      <c r="QZ114"/>
      <c r="RA114"/>
      <c r="RB114"/>
      <c r="RC114"/>
      <c r="RD114"/>
      <c r="RE114"/>
      <c r="RF114"/>
      <c r="RG114"/>
      <c r="RH114"/>
      <c r="RI114"/>
      <c r="RJ114"/>
      <c r="RK114"/>
      <c r="RL114"/>
      <c r="RM114"/>
      <c r="RN114"/>
      <c r="RO114"/>
      <c r="RP114"/>
      <c r="RQ114"/>
      <c r="RR114"/>
      <c r="RS114"/>
      <c r="RT114"/>
      <c r="RU114"/>
      <c r="RV114"/>
      <c r="RW114"/>
      <c r="RX114"/>
      <c r="RY114"/>
      <c r="RZ114"/>
      <c r="SA114"/>
      <c r="SB114"/>
      <c r="SC114"/>
      <c r="SD114"/>
      <c r="SE114"/>
      <c r="SF114"/>
      <c r="SG114"/>
      <c r="SH114"/>
      <c r="SI114"/>
      <c r="SJ114"/>
      <c r="SK114"/>
      <c r="SL114"/>
      <c r="SM114"/>
      <c r="SN114"/>
      <c r="SO114"/>
      <c r="SP114"/>
      <c r="SQ114"/>
      <c r="SR114"/>
      <c r="SS114"/>
      <c r="ST114"/>
      <c r="SU114"/>
      <c r="SV114"/>
      <c r="SW114"/>
      <c r="SX114"/>
      <c r="SY114"/>
      <c r="SZ114"/>
      <c r="TA114"/>
      <c r="TB114"/>
      <c r="TC114"/>
      <c r="TD114"/>
      <c r="TE114"/>
      <c r="TF114"/>
      <c r="TG114"/>
      <c r="TH114"/>
    </row>
    <row r="115" spans="3:528" x14ac:dyDescent="0.2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c r="PC115"/>
      <c r="PD115"/>
      <c r="PE115"/>
      <c r="PF115"/>
      <c r="PG115"/>
      <c r="PH115"/>
      <c r="PI115"/>
      <c r="PJ115"/>
      <c r="PK115"/>
      <c r="PL115"/>
      <c r="PM115"/>
      <c r="PN115"/>
      <c r="PO115"/>
      <c r="PP115"/>
      <c r="PQ115"/>
      <c r="PR115"/>
      <c r="PS115"/>
      <c r="PT115"/>
      <c r="PU115"/>
      <c r="PV115"/>
      <c r="PW115"/>
      <c r="PX115"/>
      <c r="PY115"/>
      <c r="PZ115"/>
      <c r="QA115"/>
      <c r="QB115"/>
      <c r="QC115"/>
      <c r="QD115"/>
      <c r="QE115"/>
      <c r="QF115"/>
      <c r="QG115"/>
      <c r="QH115"/>
      <c r="QI115"/>
      <c r="QJ115"/>
      <c r="QK115"/>
      <c r="QL115"/>
      <c r="QM115"/>
      <c r="QN115"/>
      <c r="QO115"/>
      <c r="QP115"/>
      <c r="QQ115"/>
      <c r="QR115"/>
      <c r="QS115"/>
      <c r="QT115"/>
      <c r="QU115"/>
      <c r="QV115"/>
      <c r="QW115"/>
      <c r="QX115"/>
      <c r="QY115"/>
      <c r="QZ115"/>
      <c r="RA115"/>
      <c r="RB115"/>
      <c r="RC115"/>
      <c r="RD115"/>
      <c r="RE115"/>
      <c r="RF115"/>
      <c r="RG115"/>
      <c r="RH115"/>
      <c r="RI115"/>
      <c r="RJ115"/>
      <c r="RK115"/>
      <c r="RL115"/>
      <c r="RM115"/>
      <c r="RN115"/>
      <c r="RO115"/>
      <c r="RP115"/>
      <c r="RQ115"/>
      <c r="RR115"/>
      <c r="RS115"/>
      <c r="RT115"/>
      <c r="RU115"/>
      <c r="RV115"/>
      <c r="RW115"/>
      <c r="RX115"/>
      <c r="RY115"/>
      <c r="RZ115"/>
      <c r="SA115"/>
      <c r="SB115"/>
      <c r="SC115"/>
      <c r="SD115"/>
      <c r="SE115"/>
      <c r="SF115"/>
      <c r="SG115"/>
      <c r="SH115"/>
      <c r="SI115"/>
      <c r="SJ115"/>
      <c r="SK115"/>
      <c r="SL115"/>
      <c r="SM115"/>
      <c r="SN115"/>
      <c r="SO115"/>
      <c r="SP115"/>
      <c r="SQ115"/>
      <c r="SR115"/>
      <c r="SS115"/>
      <c r="ST115"/>
      <c r="SU115"/>
      <c r="SV115"/>
      <c r="SW115"/>
      <c r="SX115"/>
      <c r="SY115"/>
      <c r="SZ115"/>
      <c r="TA115"/>
      <c r="TB115"/>
      <c r="TC115"/>
      <c r="TD115"/>
      <c r="TE115"/>
      <c r="TF115"/>
      <c r="TG115"/>
      <c r="TH115"/>
    </row>
    <row r="116" spans="3:528" x14ac:dyDescent="0.25">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c r="PC116"/>
      <c r="PD116"/>
      <c r="PE116"/>
      <c r="PF116"/>
      <c r="PG116"/>
      <c r="PH116"/>
      <c r="PI116"/>
      <c r="PJ116"/>
      <c r="PK116"/>
      <c r="PL116"/>
      <c r="PM116"/>
      <c r="PN116"/>
      <c r="PO116"/>
      <c r="PP116"/>
      <c r="PQ116"/>
      <c r="PR116"/>
      <c r="PS116"/>
      <c r="PT116"/>
      <c r="PU116"/>
      <c r="PV116"/>
      <c r="PW116"/>
      <c r="PX116"/>
      <c r="PY116"/>
      <c r="PZ116"/>
      <c r="QA116"/>
      <c r="QB116"/>
      <c r="QC116"/>
      <c r="QD116"/>
      <c r="QE116"/>
      <c r="QF116"/>
      <c r="QG116"/>
      <c r="QH116"/>
      <c r="QI116"/>
      <c r="QJ116"/>
      <c r="QK116"/>
      <c r="QL116"/>
      <c r="QM116"/>
      <c r="QN116"/>
      <c r="QO116"/>
      <c r="QP116"/>
      <c r="QQ116"/>
      <c r="QR116"/>
      <c r="QS116"/>
      <c r="QT116"/>
      <c r="QU116"/>
      <c r="QV116"/>
      <c r="QW116"/>
      <c r="QX116"/>
      <c r="QY116"/>
      <c r="QZ116"/>
      <c r="RA116"/>
      <c r="RB116"/>
      <c r="RC116"/>
      <c r="RD116"/>
      <c r="RE116"/>
      <c r="RF116"/>
      <c r="RG116"/>
      <c r="RH116"/>
      <c r="RI116"/>
      <c r="RJ116"/>
      <c r="RK116"/>
      <c r="RL116"/>
      <c r="RM116"/>
      <c r="RN116"/>
      <c r="RO116"/>
      <c r="RP116"/>
      <c r="RQ116"/>
      <c r="RR116"/>
      <c r="RS116"/>
      <c r="RT116"/>
      <c r="RU116"/>
      <c r="RV116"/>
      <c r="RW116"/>
      <c r="RX116"/>
      <c r="RY116"/>
      <c r="RZ116"/>
      <c r="SA116"/>
      <c r="SB116"/>
      <c r="SC116"/>
      <c r="SD116"/>
      <c r="SE116"/>
      <c r="SF116"/>
      <c r="SG116"/>
      <c r="SH116"/>
      <c r="SI116"/>
      <c r="SJ116"/>
      <c r="SK116"/>
      <c r="SL116"/>
      <c r="SM116"/>
      <c r="SN116"/>
      <c r="SO116"/>
      <c r="SP116"/>
      <c r="SQ116"/>
      <c r="SR116"/>
      <c r="SS116"/>
      <c r="ST116"/>
      <c r="SU116"/>
      <c r="SV116"/>
      <c r="SW116"/>
      <c r="SX116"/>
      <c r="SY116"/>
      <c r="SZ116"/>
      <c r="TA116"/>
      <c r="TB116"/>
      <c r="TC116"/>
      <c r="TD116"/>
      <c r="TE116"/>
      <c r="TF116"/>
      <c r="TG116"/>
      <c r="TH116"/>
    </row>
    <row r="117" spans="3:528" x14ac:dyDescent="0.25">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row>
    <row r="118" spans="3:528" x14ac:dyDescent="0.25">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c r="PC118"/>
      <c r="PD118"/>
      <c r="PE118"/>
      <c r="PF118"/>
      <c r="PG118"/>
      <c r="PH118"/>
      <c r="PI118"/>
      <c r="PJ118"/>
      <c r="PK118"/>
      <c r="PL118"/>
      <c r="PM118"/>
      <c r="PN118"/>
      <c r="PO118"/>
      <c r="PP118"/>
      <c r="PQ118"/>
      <c r="PR118"/>
      <c r="PS118"/>
      <c r="PT118"/>
      <c r="PU118"/>
      <c r="PV118"/>
      <c r="PW118"/>
      <c r="PX118"/>
      <c r="PY118"/>
      <c r="PZ118"/>
      <c r="QA118"/>
      <c r="QB118"/>
      <c r="QC118"/>
      <c r="QD118"/>
      <c r="QE118"/>
      <c r="QF118"/>
      <c r="QG118"/>
      <c r="QH118"/>
      <c r="QI118"/>
      <c r="QJ118"/>
      <c r="QK118"/>
      <c r="QL118"/>
      <c r="QM118"/>
      <c r="QN118"/>
      <c r="QO118"/>
      <c r="QP118"/>
      <c r="QQ118"/>
      <c r="QR118"/>
      <c r="QS118"/>
      <c r="QT118"/>
      <c r="QU118"/>
      <c r="QV118"/>
      <c r="QW118"/>
      <c r="QX118"/>
      <c r="QY118"/>
      <c r="QZ118"/>
      <c r="RA118"/>
      <c r="RB118"/>
      <c r="RC118"/>
      <c r="RD118"/>
      <c r="RE118"/>
      <c r="RF118"/>
      <c r="RG118"/>
      <c r="RH118"/>
      <c r="RI118"/>
      <c r="RJ118"/>
      <c r="RK118"/>
      <c r="RL118"/>
      <c r="RM118"/>
      <c r="RN118"/>
      <c r="RO118"/>
      <c r="RP118"/>
      <c r="RQ118"/>
      <c r="RR118"/>
      <c r="RS118"/>
      <c r="RT118"/>
      <c r="RU118"/>
      <c r="RV118"/>
      <c r="RW118"/>
      <c r="RX118"/>
      <c r="RY118"/>
      <c r="RZ118"/>
      <c r="SA118"/>
      <c r="SB118"/>
      <c r="SC118"/>
      <c r="SD118"/>
      <c r="SE118"/>
      <c r="SF118"/>
      <c r="SG118"/>
      <c r="SH118"/>
      <c r="SI118"/>
      <c r="SJ118"/>
      <c r="SK118"/>
      <c r="SL118"/>
      <c r="SM118"/>
      <c r="SN118"/>
      <c r="SO118"/>
      <c r="SP118"/>
      <c r="SQ118"/>
      <c r="SR118"/>
      <c r="SS118"/>
      <c r="ST118"/>
      <c r="SU118"/>
      <c r="SV118"/>
      <c r="SW118"/>
      <c r="SX118"/>
      <c r="SY118"/>
      <c r="SZ118"/>
      <c r="TA118"/>
      <c r="TB118"/>
      <c r="TC118"/>
      <c r="TD118"/>
      <c r="TE118"/>
      <c r="TF118"/>
      <c r="TG118"/>
      <c r="TH118"/>
    </row>
    <row r="119" spans="3:528" x14ac:dyDescent="0.25">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c r="PC119"/>
      <c r="PD119"/>
      <c r="PE119"/>
      <c r="PF119"/>
      <c r="PG119"/>
      <c r="PH119"/>
      <c r="PI119"/>
      <c r="PJ119"/>
      <c r="PK119"/>
      <c r="PL119"/>
      <c r="PM119"/>
      <c r="PN119"/>
      <c r="PO119"/>
      <c r="PP119"/>
      <c r="PQ119"/>
      <c r="PR119"/>
      <c r="PS119"/>
      <c r="PT119"/>
      <c r="PU119"/>
      <c r="PV119"/>
      <c r="PW119"/>
      <c r="PX119"/>
      <c r="PY119"/>
      <c r="PZ119"/>
      <c r="QA119"/>
      <c r="QB119"/>
      <c r="QC119"/>
      <c r="QD119"/>
      <c r="QE119"/>
      <c r="QF119"/>
      <c r="QG119"/>
      <c r="QH119"/>
      <c r="QI119"/>
      <c r="QJ119"/>
      <c r="QK119"/>
      <c r="QL119"/>
      <c r="QM119"/>
      <c r="QN119"/>
      <c r="QO119"/>
      <c r="QP119"/>
      <c r="QQ119"/>
      <c r="QR119"/>
      <c r="QS119"/>
      <c r="QT119"/>
      <c r="QU119"/>
      <c r="QV119"/>
      <c r="QW119"/>
      <c r="QX119"/>
      <c r="QY119"/>
      <c r="QZ119"/>
      <c r="RA119"/>
      <c r="RB119"/>
      <c r="RC119"/>
      <c r="RD119"/>
      <c r="RE119"/>
      <c r="RF119"/>
      <c r="RG119"/>
      <c r="RH119"/>
      <c r="RI119"/>
      <c r="RJ119"/>
      <c r="RK119"/>
      <c r="RL119"/>
      <c r="RM119"/>
      <c r="RN119"/>
      <c r="RO119"/>
      <c r="RP119"/>
      <c r="RQ119"/>
      <c r="RR119"/>
      <c r="RS119"/>
      <c r="RT119"/>
      <c r="RU119"/>
      <c r="RV119"/>
      <c r="RW119"/>
      <c r="RX119"/>
      <c r="RY119"/>
      <c r="RZ119"/>
      <c r="SA119"/>
      <c r="SB119"/>
      <c r="SC119"/>
      <c r="SD119"/>
      <c r="SE119"/>
      <c r="SF119"/>
      <c r="SG119"/>
      <c r="SH119"/>
      <c r="SI119"/>
      <c r="SJ119"/>
      <c r="SK119"/>
      <c r="SL119"/>
      <c r="SM119"/>
      <c r="SN119"/>
      <c r="SO119"/>
      <c r="SP119"/>
      <c r="SQ119"/>
      <c r="SR119"/>
      <c r="SS119"/>
      <c r="ST119"/>
      <c r="SU119"/>
      <c r="SV119"/>
      <c r="SW119"/>
      <c r="SX119"/>
      <c r="SY119"/>
      <c r="SZ119"/>
      <c r="TA119"/>
      <c r="TB119"/>
      <c r="TC119"/>
      <c r="TD119"/>
      <c r="TE119"/>
      <c r="TF119"/>
      <c r="TG119"/>
      <c r="TH119"/>
    </row>
    <row r="120" spans="3:528" x14ac:dyDescent="0.25">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c r="PC120"/>
      <c r="PD120"/>
      <c r="PE120"/>
      <c r="PF120"/>
      <c r="PG120"/>
      <c r="PH120"/>
      <c r="PI120"/>
      <c r="PJ120"/>
      <c r="PK120"/>
      <c r="PL120"/>
      <c r="PM120"/>
      <c r="PN120"/>
      <c r="PO120"/>
      <c r="PP120"/>
      <c r="PQ120"/>
      <c r="PR120"/>
      <c r="PS120"/>
      <c r="PT120"/>
      <c r="PU120"/>
      <c r="PV120"/>
      <c r="PW120"/>
      <c r="PX120"/>
      <c r="PY120"/>
      <c r="PZ120"/>
      <c r="QA120"/>
      <c r="QB120"/>
      <c r="QC120"/>
      <c r="QD120"/>
      <c r="QE120"/>
      <c r="QF120"/>
      <c r="QG120"/>
      <c r="QH120"/>
      <c r="QI120"/>
      <c r="QJ120"/>
      <c r="QK120"/>
      <c r="QL120"/>
      <c r="QM120"/>
      <c r="QN120"/>
      <c r="QO120"/>
      <c r="QP120"/>
      <c r="QQ120"/>
      <c r="QR120"/>
      <c r="QS120"/>
      <c r="QT120"/>
      <c r="QU120"/>
      <c r="QV120"/>
      <c r="QW120"/>
      <c r="QX120"/>
      <c r="QY120"/>
      <c r="QZ120"/>
      <c r="RA120"/>
      <c r="RB120"/>
      <c r="RC120"/>
      <c r="RD120"/>
      <c r="RE120"/>
      <c r="RF120"/>
      <c r="RG120"/>
      <c r="RH120"/>
      <c r="RI120"/>
      <c r="RJ120"/>
      <c r="RK120"/>
      <c r="RL120"/>
      <c r="RM120"/>
      <c r="RN120"/>
      <c r="RO120"/>
      <c r="RP120"/>
      <c r="RQ120"/>
      <c r="RR120"/>
      <c r="RS120"/>
      <c r="RT120"/>
      <c r="RU120"/>
      <c r="RV120"/>
      <c r="RW120"/>
      <c r="RX120"/>
      <c r="RY120"/>
      <c r="RZ120"/>
      <c r="SA120"/>
      <c r="SB120"/>
      <c r="SC120"/>
      <c r="SD120"/>
      <c r="SE120"/>
      <c r="SF120"/>
      <c r="SG120"/>
      <c r="SH120"/>
      <c r="SI120"/>
      <c r="SJ120"/>
      <c r="SK120"/>
      <c r="SL120"/>
      <c r="SM120"/>
      <c r="SN120"/>
      <c r="SO120"/>
      <c r="SP120"/>
      <c r="SQ120"/>
      <c r="SR120"/>
      <c r="SS120"/>
      <c r="ST120"/>
      <c r="SU120"/>
      <c r="SV120"/>
      <c r="SW120"/>
      <c r="SX120"/>
      <c r="SY120"/>
      <c r="SZ120"/>
      <c r="TA120"/>
      <c r="TB120"/>
      <c r="TC120"/>
      <c r="TD120"/>
      <c r="TE120"/>
      <c r="TF120"/>
      <c r="TG120"/>
      <c r="TH120"/>
    </row>
    <row r="121" spans="3:528" x14ac:dyDescent="0.25">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c r="KT121"/>
      <c r="KU121"/>
      <c r="KV121"/>
      <c r="KW121"/>
      <c r="KX121"/>
      <c r="KY121"/>
      <c r="KZ121"/>
      <c r="LA121"/>
      <c r="LB121"/>
      <c r="LC121"/>
      <c r="LD121"/>
      <c r="LE121"/>
      <c r="LF121"/>
      <c r="LG121"/>
      <c r="LH121"/>
      <c r="LI121"/>
      <c r="LJ121"/>
      <c r="LK121"/>
      <c r="LL121"/>
      <c r="LM121"/>
      <c r="LN121"/>
      <c r="LO121"/>
      <c r="LP121"/>
      <c r="LQ121"/>
      <c r="LR121"/>
      <c r="LS121"/>
      <c r="LT121"/>
      <c r="LU121"/>
      <c r="LV121"/>
      <c r="LW121"/>
      <c r="LX121"/>
      <c r="LY121"/>
      <c r="LZ121"/>
      <c r="MA121"/>
      <c r="MB121"/>
      <c r="MC121"/>
      <c r="MD121"/>
      <c r="ME121"/>
      <c r="MF121"/>
      <c r="MG121"/>
      <c r="MH121"/>
      <c r="MI121"/>
      <c r="MJ121"/>
      <c r="MK121"/>
      <c r="ML121"/>
      <c r="MM121"/>
      <c r="MN121"/>
      <c r="MO121"/>
      <c r="MP121"/>
      <c r="MQ121"/>
      <c r="MR121"/>
      <c r="MS121"/>
      <c r="MT121"/>
      <c r="MU121"/>
      <c r="MV121"/>
      <c r="MW121"/>
      <c r="MX121"/>
      <c r="MY121"/>
      <c r="MZ121"/>
      <c r="NA121"/>
      <c r="NB121"/>
      <c r="NC121"/>
      <c r="ND121"/>
      <c r="NE121"/>
      <c r="NF121"/>
      <c r="NG121"/>
      <c r="NH121"/>
      <c r="NI121"/>
      <c r="NJ121"/>
      <c r="NK121"/>
      <c r="NL121"/>
      <c r="NM121"/>
      <c r="NN121"/>
      <c r="NO121"/>
      <c r="NP121"/>
      <c r="NQ121"/>
      <c r="NR121"/>
      <c r="NS121"/>
      <c r="NT121"/>
      <c r="NU121"/>
      <c r="NV121"/>
      <c r="NW121"/>
      <c r="NX121"/>
      <c r="NY121"/>
      <c r="NZ121"/>
      <c r="OA121"/>
      <c r="OB121"/>
      <c r="OC121"/>
      <c r="OD121"/>
      <c r="OE121"/>
      <c r="OF121"/>
      <c r="OG121"/>
      <c r="OH121"/>
      <c r="OI121"/>
      <c r="OJ121"/>
      <c r="OK121"/>
      <c r="OL121"/>
      <c r="OM121"/>
      <c r="ON121"/>
      <c r="OO121"/>
      <c r="OP121"/>
      <c r="OQ121"/>
      <c r="OR121"/>
      <c r="OS121"/>
      <c r="OT121"/>
      <c r="OU121"/>
      <c r="OV121"/>
      <c r="OW121"/>
      <c r="OX121"/>
      <c r="OY121"/>
      <c r="OZ121"/>
      <c r="PA121"/>
      <c r="PB121"/>
      <c r="PC121"/>
      <c r="PD121"/>
      <c r="PE121"/>
      <c r="PF121"/>
      <c r="PG121"/>
      <c r="PH121"/>
      <c r="PI121"/>
      <c r="PJ121"/>
      <c r="PK121"/>
      <c r="PL121"/>
      <c r="PM121"/>
      <c r="PN121"/>
      <c r="PO121"/>
      <c r="PP121"/>
      <c r="PQ121"/>
      <c r="PR121"/>
      <c r="PS121"/>
      <c r="PT121"/>
      <c r="PU121"/>
      <c r="PV121"/>
      <c r="PW121"/>
      <c r="PX121"/>
      <c r="PY121"/>
      <c r="PZ121"/>
      <c r="QA121"/>
      <c r="QB121"/>
      <c r="QC121"/>
      <c r="QD121"/>
      <c r="QE121"/>
      <c r="QF121"/>
      <c r="QG121"/>
      <c r="QH121"/>
      <c r="QI121"/>
      <c r="QJ121"/>
      <c r="QK121"/>
      <c r="QL121"/>
      <c r="QM121"/>
      <c r="QN121"/>
      <c r="QO121"/>
      <c r="QP121"/>
      <c r="QQ121"/>
      <c r="QR121"/>
      <c r="QS121"/>
      <c r="QT121"/>
      <c r="QU121"/>
      <c r="QV121"/>
      <c r="QW121"/>
      <c r="QX121"/>
      <c r="QY121"/>
      <c r="QZ121"/>
      <c r="RA121"/>
      <c r="RB121"/>
      <c r="RC121"/>
      <c r="RD121"/>
      <c r="RE121"/>
      <c r="RF121"/>
      <c r="RG121"/>
      <c r="RH121"/>
      <c r="RI121"/>
      <c r="RJ121"/>
      <c r="RK121"/>
      <c r="RL121"/>
      <c r="RM121"/>
      <c r="RN121"/>
      <c r="RO121"/>
      <c r="RP121"/>
      <c r="RQ121"/>
      <c r="RR121"/>
      <c r="RS121"/>
      <c r="RT121"/>
      <c r="RU121"/>
      <c r="RV121"/>
      <c r="RW121"/>
      <c r="RX121"/>
      <c r="RY121"/>
      <c r="RZ121"/>
      <c r="SA121"/>
      <c r="SB121"/>
      <c r="SC121"/>
      <c r="SD121"/>
      <c r="SE121"/>
      <c r="SF121"/>
      <c r="SG121"/>
      <c r="SH121"/>
      <c r="SI121"/>
      <c r="SJ121"/>
      <c r="SK121"/>
      <c r="SL121"/>
      <c r="SM121"/>
      <c r="SN121"/>
      <c r="SO121"/>
      <c r="SP121"/>
      <c r="SQ121"/>
      <c r="SR121"/>
      <c r="SS121"/>
      <c r="ST121"/>
      <c r="SU121"/>
      <c r="SV121"/>
      <c r="SW121"/>
      <c r="SX121"/>
      <c r="SY121"/>
      <c r="SZ121"/>
      <c r="TA121"/>
      <c r="TB121"/>
      <c r="TC121"/>
      <c r="TD121"/>
      <c r="TE121"/>
      <c r="TF121"/>
      <c r="TG121"/>
      <c r="TH121"/>
    </row>
    <row r="122" spans="3:528" x14ac:dyDescent="0.25">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c r="LL122"/>
      <c r="LM122"/>
      <c r="LN122"/>
      <c r="LO122"/>
      <c r="LP122"/>
      <c r="LQ122"/>
      <c r="LR122"/>
      <c r="LS122"/>
      <c r="LT122"/>
      <c r="LU122"/>
      <c r="LV122"/>
      <c r="LW122"/>
      <c r="LX122"/>
      <c r="LY122"/>
      <c r="LZ122"/>
      <c r="MA122"/>
      <c r="MB122"/>
      <c r="MC122"/>
      <c r="MD122"/>
      <c r="ME122"/>
      <c r="MF122"/>
      <c r="MG122"/>
      <c r="MH122"/>
      <c r="MI122"/>
      <c r="MJ122"/>
      <c r="MK122"/>
      <c r="ML122"/>
      <c r="MM122"/>
      <c r="MN122"/>
      <c r="MO122"/>
      <c r="MP122"/>
      <c r="MQ122"/>
      <c r="MR122"/>
      <c r="MS122"/>
      <c r="MT122"/>
      <c r="MU122"/>
      <c r="MV122"/>
      <c r="MW122"/>
      <c r="MX122"/>
      <c r="MY122"/>
      <c r="MZ122"/>
      <c r="NA122"/>
      <c r="NB122"/>
      <c r="NC122"/>
      <c r="ND122"/>
      <c r="NE122"/>
      <c r="NF122"/>
      <c r="NG122"/>
      <c r="NH122"/>
      <c r="NI122"/>
      <c r="NJ122"/>
      <c r="NK122"/>
      <c r="NL122"/>
      <c r="NM122"/>
      <c r="NN122"/>
      <c r="NO122"/>
      <c r="NP122"/>
      <c r="NQ122"/>
      <c r="NR122"/>
      <c r="NS122"/>
      <c r="NT122"/>
      <c r="NU122"/>
      <c r="NV122"/>
      <c r="NW122"/>
      <c r="NX122"/>
      <c r="NY122"/>
      <c r="NZ122"/>
      <c r="OA122"/>
      <c r="OB122"/>
      <c r="OC122"/>
      <c r="OD122"/>
      <c r="OE122"/>
      <c r="OF122"/>
      <c r="OG122"/>
      <c r="OH122"/>
      <c r="OI122"/>
      <c r="OJ122"/>
      <c r="OK122"/>
      <c r="OL122"/>
      <c r="OM122"/>
      <c r="ON122"/>
      <c r="OO122"/>
      <c r="OP122"/>
      <c r="OQ122"/>
      <c r="OR122"/>
      <c r="OS122"/>
      <c r="OT122"/>
      <c r="OU122"/>
      <c r="OV122"/>
      <c r="OW122"/>
      <c r="OX122"/>
      <c r="OY122"/>
      <c r="OZ122"/>
      <c r="PA122"/>
      <c r="PB122"/>
      <c r="PC122"/>
      <c r="PD122"/>
      <c r="PE122"/>
      <c r="PF122"/>
      <c r="PG122"/>
      <c r="PH122"/>
      <c r="PI122"/>
      <c r="PJ122"/>
      <c r="PK122"/>
      <c r="PL122"/>
      <c r="PM122"/>
      <c r="PN122"/>
      <c r="PO122"/>
      <c r="PP122"/>
      <c r="PQ122"/>
      <c r="PR122"/>
      <c r="PS122"/>
      <c r="PT122"/>
      <c r="PU122"/>
      <c r="PV122"/>
      <c r="PW122"/>
      <c r="PX122"/>
      <c r="PY122"/>
      <c r="PZ122"/>
      <c r="QA122"/>
      <c r="QB122"/>
      <c r="QC122"/>
      <c r="QD122"/>
      <c r="QE122"/>
      <c r="QF122"/>
      <c r="QG122"/>
      <c r="QH122"/>
      <c r="QI122"/>
      <c r="QJ122"/>
      <c r="QK122"/>
      <c r="QL122"/>
      <c r="QM122"/>
      <c r="QN122"/>
      <c r="QO122"/>
      <c r="QP122"/>
      <c r="QQ122"/>
      <c r="QR122"/>
      <c r="QS122"/>
      <c r="QT122"/>
      <c r="QU122"/>
      <c r="QV122"/>
      <c r="QW122"/>
      <c r="QX122"/>
      <c r="QY122"/>
      <c r="QZ122"/>
      <c r="RA122"/>
      <c r="RB122"/>
      <c r="RC122"/>
      <c r="RD122"/>
      <c r="RE122"/>
      <c r="RF122"/>
      <c r="RG122"/>
      <c r="RH122"/>
      <c r="RI122"/>
      <c r="RJ122"/>
      <c r="RK122"/>
      <c r="RL122"/>
      <c r="RM122"/>
      <c r="RN122"/>
      <c r="RO122"/>
      <c r="RP122"/>
      <c r="RQ122"/>
      <c r="RR122"/>
      <c r="RS122"/>
      <c r="RT122"/>
      <c r="RU122"/>
      <c r="RV122"/>
      <c r="RW122"/>
      <c r="RX122"/>
      <c r="RY122"/>
      <c r="RZ122"/>
      <c r="SA122"/>
      <c r="SB122"/>
      <c r="SC122"/>
      <c r="SD122"/>
      <c r="SE122"/>
      <c r="SF122"/>
      <c r="SG122"/>
      <c r="SH122"/>
      <c r="SI122"/>
      <c r="SJ122"/>
      <c r="SK122"/>
      <c r="SL122"/>
      <c r="SM122"/>
      <c r="SN122"/>
      <c r="SO122"/>
      <c r="SP122"/>
      <c r="SQ122"/>
      <c r="SR122"/>
      <c r="SS122"/>
      <c r="ST122"/>
      <c r="SU122"/>
      <c r="SV122"/>
      <c r="SW122"/>
      <c r="SX122"/>
      <c r="SY122"/>
      <c r="SZ122"/>
      <c r="TA122"/>
      <c r="TB122"/>
      <c r="TC122"/>
      <c r="TD122"/>
      <c r="TE122"/>
      <c r="TF122"/>
      <c r="TG122"/>
      <c r="TH122"/>
    </row>
    <row r="123" spans="3:528" x14ac:dyDescent="0.25">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c r="KT123"/>
      <c r="KU123"/>
      <c r="KV123"/>
      <c r="KW123"/>
      <c r="KX123"/>
      <c r="KY123"/>
      <c r="KZ123"/>
      <c r="LA123"/>
      <c r="LB123"/>
      <c r="LC123"/>
      <c r="LD123"/>
      <c r="LE123"/>
      <c r="LF123"/>
      <c r="LG123"/>
      <c r="LH123"/>
      <c r="LI123"/>
      <c r="LJ123"/>
      <c r="LK123"/>
      <c r="LL123"/>
      <c r="LM123"/>
      <c r="LN123"/>
      <c r="LO123"/>
      <c r="LP123"/>
      <c r="LQ123"/>
      <c r="LR123"/>
      <c r="LS123"/>
      <c r="LT123"/>
      <c r="LU123"/>
      <c r="LV123"/>
      <c r="LW123"/>
      <c r="LX123"/>
      <c r="LY123"/>
      <c r="LZ123"/>
      <c r="MA123"/>
      <c r="MB123"/>
      <c r="MC123"/>
      <c r="MD123"/>
      <c r="ME123"/>
      <c r="MF123"/>
      <c r="MG123"/>
      <c r="MH123"/>
      <c r="MI123"/>
      <c r="MJ123"/>
      <c r="MK123"/>
      <c r="ML123"/>
      <c r="MM123"/>
      <c r="MN123"/>
      <c r="MO123"/>
      <c r="MP123"/>
      <c r="MQ123"/>
      <c r="MR123"/>
      <c r="MS123"/>
      <c r="MT123"/>
      <c r="MU123"/>
      <c r="MV123"/>
      <c r="MW123"/>
      <c r="MX123"/>
      <c r="MY123"/>
      <c r="MZ123"/>
      <c r="NA123"/>
      <c r="NB123"/>
      <c r="NC123"/>
      <c r="ND123"/>
      <c r="NE123"/>
      <c r="NF123"/>
      <c r="NG123"/>
      <c r="NH123"/>
      <c r="NI123"/>
      <c r="NJ123"/>
      <c r="NK123"/>
      <c r="NL123"/>
      <c r="NM123"/>
      <c r="NN123"/>
      <c r="NO123"/>
      <c r="NP123"/>
      <c r="NQ123"/>
      <c r="NR123"/>
      <c r="NS123"/>
      <c r="NT123"/>
      <c r="NU123"/>
      <c r="NV123"/>
      <c r="NW123"/>
      <c r="NX123"/>
      <c r="NY123"/>
      <c r="NZ123"/>
      <c r="OA123"/>
      <c r="OB123"/>
      <c r="OC123"/>
      <c r="OD123"/>
      <c r="OE123"/>
      <c r="OF123"/>
      <c r="OG123"/>
      <c r="OH123"/>
      <c r="OI123"/>
      <c r="OJ123"/>
      <c r="OK123"/>
      <c r="OL123"/>
      <c r="OM123"/>
      <c r="ON123"/>
      <c r="OO123"/>
      <c r="OP123"/>
      <c r="OQ123"/>
      <c r="OR123"/>
      <c r="OS123"/>
      <c r="OT123"/>
      <c r="OU123"/>
      <c r="OV123"/>
      <c r="OW123"/>
      <c r="OX123"/>
      <c r="OY123"/>
      <c r="OZ123"/>
      <c r="PA123"/>
      <c r="PB123"/>
      <c r="PC123"/>
      <c r="PD123"/>
      <c r="PE123"/>
      <c r="PF123"/>
      <c r="PG123"/>
      <c r="PH123"/>
      <c r="PI123"/>
      <c r="PJ123"/>
      <c r="PK123"/>
      <c r="PL123"/>
      <c r="PM123"/>
      <c r="PN123"/>
      <c r="PO123"/>
      <c r="PP123"/>
      <c r="PQ123"/>
      <c r="PR123"/>
      <c r="PS123"/>
      <c r="PT123"/>
      <c r="PU123"/>
      <c r="PV123"/>
      <c r="PW123"/>
      <c r="PX123"/>
      <c r="PY123"/>
      <c r="PZ123"/>
      <c r="QA123"/>
      <c r="QB123"/>
      <c r="QC123"/>
      <c r="QD123"/>
      <c r="QE123"/>
      <c r="QF123"/>
      <c r="QG123"/>
      <c r="QH123"/>
      <c r="QI123"/>
      <c r="QJ123"/>
      <c r="QK123"/>
      <c r="QL123"/>
      <c r="QM123"/>
      <c r="QN123"/>
      <c r="QO123"/>
      <c r="QP123"/>
      <c r="QQ123"/>
      <c r="QR123"/>
      <c r="QS123"/>
      <c r="QT123"/>
      <c r="QU123"/>
      <c r="QV123"/>
      <c r="QW123"/>
      <c r="QX123"/>
      <c r="QY123"/>
      <c r="QZ123"/>
      <c r="RA123"/>
      <c r="RB123"/>
      <c r="RC123"/>
      <c r="RD123"/>
      <c r="RE123"/>
      <c r="RF123"/>
      <c r="RG123"/>
      <c r="RH123"/>
      <c r="RI123"/>
      <c r="RJ123"/>
      <c r="RK123"/>
      <c r="RL123"/>
      <c r="RM123"/>
      <c r="RN123"/>
      <c r="RO123"/>
      <c r="RP123"/>
      <c r="RQ123"/>
      <c r="RR123"/>
      <c r="RS123"/>
      <c r="RT123"/>
      <c r="RU123"/>
      <c r="RV123"/>
      <c r="RW123"/>
      <c r="RX123"/>
      <c r="RY123"/>
      <c r="RZ123"/>
      <c r="SA123"/>
      <c r="SB123"/>
      <c r="SC123"/>
      <c r="SD123"/>
      <c r="SE123"/>
      <c r="SF123"/>
      <c r="SG123"/>
      <c r="SH123"/>
      <c r="SI123"/>
      <c r="SJ123"/>
      <c r="SK123"/>
      <c r="SL123"/>
      <c r="SM123"/>
      <c r="SN123"/>
      <c r="SO123"/>
      <c r="SP123"/>
      <c r="SQ123"/>
      <c r="SR123"/>
      <c r="SS123"/>
      <c r="ST123"/>
      <c r="SU123"/>
      <c r="SV123"/>
      <c r="SW123"/>
      <c r="SX123"/>
      <c r="SY123"/>
      <c r="SZ123"/>
      <c r="TA123"/>
      <c r="TB123"/>
      <c r="TC123"/>
      <c r="TD123"/>
      <c r="TE123"/>
      <c r="TF123"/>
      <c r="TG123"/>
      <c r="TH123"/>
    </row>
    <row r="124" spans="3:528" x14ac:dyDescent="0.25">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c r="LL124"/>
      <c r="LM124"/>
      <c r="LN124"/>
      <c r="LO124"/>
      <c r="LP124"/>
      <c r="LQ124"/>
      <c r="LR124"/>
      <c r="LS124"/>
      <c r="LT124"/>
      <c r="LU124"/>
      <c r="LV124"/>
      <c r="LW124"/>
      <c r="LX124"/>
      <c r="LY124"/>
      <c r="LZ124"/>
      <c r="MA124"/>
      <c r="MB124"/>
      <c r="MC124"/>
      <c r="MD124"/>
      <c r="ME124"/>
      <c r="MF124"/>
      <c r="MG124"/>
      <c r="MH124"/>
      <c r="MI124"/>
      <c r="MJ124"/>
      <c r="MK124"/>
      <c r="ML124"/>
      <c r="MM124"/>
      <c r="MN124"/>
      <c r="MO124"/>
      <c r="MP124"/>
      <c r="MQ124"/>
      <c r="MR124"/>
      <c r="MS124"/>
      <c r="MT124"/>
      <c r="MU124"/>
      <c r="MV124"/>
      <c r="MW124"/>
      <c r="MX124"/>
      <c r="MY124"/>
      <c r="MZ124"/>
      <c r="NA124"/>
      <c r="NB124"/>
      <c r="NC124"/>
      <c r="ND124"/>
      <c r="NE124"/>
      <c r="NF124"/>
      <c r="NG124"/>
      <c r="NH124"/>
      <c r="NI124"/>
      <c r="NJ124"/>
      <c r="NK124"/>
      <c r="NL124"/>
      <c r="NM124"/>
      <c r="NN124"/>
      <c r="NO124"/>
      <c r="NP124"/>
      <c r="NQ124"/>
      <c r="NR124"/>
      <c r="NS124"/>
      <c r="NT124"/>
      <c r="NU124"/>
      <c r="NV124"/>
      <c r="NW124"/>
      <c r="NX124"/>
      <c r="NY124"/>
      <c r="NZ124"/>
      <c r="OA124"/>
      <c r="OB124"/>
      <c r="OC124"/>
      <c r="OD124"/>
      <c r="OE124"/>
      <c r="OF124"/>
      <c r="OG124"/>
      <c r="OH124"/>
      <c r="OI124"/>
      <c r="OJ124"/>
      <c r="OK124"/>
      <c r="OL124"/>
      <c r="OM124"/>
      <c r="ON124"/>
      <c r="OO124"/>
      <c r="OP124"/>
      <c r="OQ124"/>
      <c r="OR124"/>
      <c r="OS124"/>
      <c r="OT124"/>
      <c r="OU124"/>
      <c r="OV124"/>
      <c r="OW124"/>
      <c r="OX124"/>
      <c r="OY124"/>
      <c r="OZ124"/>
      <c r="PA124"/>
      <c r="PB124"/>
      <c r="PC124"/>
      <c r="PD124"/>
      <c r="PE124"/>
      <c r="PF124"/>
      <c r="PG124"/>
      <c r="PH124"/>
      <c r="PI124"/>
      <c r="PJ124"/>
      <c r="PK124"/>
      <c r="PL124"/>
      <c r="PM124"/>
      <c r="PN124"/>
      <c r="PO124"/>
      <c r="PP124"/>
      <c r="PQ124"/>
      <c r="PR124"/>
      <c r="PS124"/>
      <c r="PT124"/>
      <c r="PU124"/>
      <c r="PV124"/>
      <c r="PW124"/>
      <c r="PX124"/>
      <c r="PY124"/>
      <c r="PZ124"/>
      <c r="QA124"/>
      <c r="QB124"/>
      <c r="QC124"/>
      <c r="QD124"/>
      <c r="QE124"/>
      <c r="QF124"/>
      <c r="QG124"/>
      <c r="QH124"/>
      <c r="QI124"/>
      <c r="QJ124"/>
      <c r="QK124"/>
      <c r="QL124"/>
      <c r="QM124"/>
      <c r="QN124"/>
      <c r="QO124"/>
      <c r="QP124"/>
      <c r="QQ124"/>
      <c r="QR124"/>
      <c r="QS124"/>
      <c r="QT124"/>
      <c r="QU124"/>
      <c r="QV124"/>
      <c r="QW124"/>
      <c r="QX124"/>
      <c r="QY124"/>
      <c r="QZ124"/>
      <c r="RA124"/>
      <c r="RB124"/>
      <c r="RC124"/>
      <c r="RD124"/>
      <c r="RE124"/>
      <c r="RF124"/>
      <c r="RG124"/>
      <c r="RH124"/>
      <c r="RI124"/>
      <c r="RJ124"/>
      <c r="RK124"/>
      <c r="RL124"/>
      <c r="RM124"/>
      <c r="RN124"/>
      <c r="RO124"/>
      <c r="RP124"/>
      <c r="RQ124"/>
      <c r="RR124"/>
      <c r="RS124"/>
      <c r="RT124"/>
      <c r="RU124"/>
      <c r="RV124"/>
      <c r="RW124"/>
      <c r="RX124"/>
      <c r="RY124"/>
      <c r="RZ124"/>
      <c r="SA124"/>
      <c r="SB124"/>
      <c r="SC124"/>
      <c r="SD124"/>
      <c r="SE124"/>
      <c r="SF124"/>
      <c r="SG124"/>
      <c r="SH124"/>
      <c r="SI124"/>
      <c r="SJ124"/>
      <c r="SK124"/>
      <c r="SL124"/>
      <c r="SM124"/>
      <c r="SN124"/>
      <c r="SO124"/>
      <c r="SP124"/>
      <c r="SQ124"/>
      <c r="SR124"/>
      <c r="SS124"/>
      <c r="ST124"/>
      <c r="SU124"/>
      <c r="SV124"/>
      <c r="SW124"/>
      <c r="SX124"/>
      <c r="SY124"/>
      <c r="SZ124"/>
      <c r="TA124"/>
      <c r="TB124"/>
      <c r="TC124"/>
      <c r="TD124"/>
      <c r="TE124"/>
      <c r="TF124"/>
      <c r="TG124"/>
      <c r="TH124"/>
    </row>
    <row r="125" spans="3:528" x14ac:dyDescent="0.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c r="KT125"/>
      <c r="KU125"/>
      <c r="KV125"/>
      <c r="KW125"/>
      <c r="KX125"/>
      <c r="KY125"/>
      <c r="KZ125"/>
      <c r="LA125"/>
      <c r="LB125"/>
      <c r="LC125"/>
      <c r="LD125"/>
      <c r="LE125"/>
      <c r="LF125"/>
      <c r="LG125"/>
      <c r="LH125"/>
      <c r="LI125"/>
      <c r="LJ125"/>
      <c r="LK125"/>
      <c r="LL125"/>
      <c r="LM125"/>
      <c r="LN125"/>
      <c r="LO125"/>
      <c r="LP125"/>
      <c r="LQ125"/>
      <c r="LR125"/>
      <c r="LS125"/>
      <c r="LT125"/>
      <c r="LU125"/>
      <c r="LV125"/>
      <c r="LW125"/>
      <c r="LX125"/>
      <c r="LY125"/>
      <c r="LZ125"/>
      <c r="MA125"/>
      <c r="MB125"/>
      <c r="MC125"/>
      <c r="MD125"/>
      <c r="ME125"/>
      <c r="MF125"/>
      <c r="MG125"/>
      <c r="MH125"/>
      <c r="MI125"/>
      <c r="MJ125"/>
      <c r="MK125"/>
      <c r="ML125"/>
      <c r="MM125"/>
      <c r="MN125"/>
      <c r="MO125"/>
      <c r="MP125"/>
      <c r="MQ125"/>
      <c r="MR125"/>
      <c r="MS125"/>
      <c r="MT125"/>
      <c r="MU125"/>
      <c r="MV125"/>
      <c r="MW125"/>
      <c r="MX125"/>
      <c r="MY125"/>
      <c r="MZ125"/>
      <c r="NA125"/>
      <c r="NB125"/>
      <c r="NC125"/>
      <c r="ND125"/>
      <c r="NE125"/>
      <c r="NF125"/>
      <c r="NG125"/>
      <c r="NH125"/>
      <c r="NI125"/>
      <c r="NJ125"/>
      <c r="NK125"/>
      <c r="NL125"/>
      <c r="NM125"/>
      <c r="NN125"/>
      <c r="NO125"/>
      <c r="NP125"/>
      <c r="NQ125"/>
      <c r="NR125"/>
      <c r="NS125"/>
      <c r="NT125"/>
      <c r="NU125"/>
      <c r="NV125"/>
      <c r="NW125"/>
      <c r="NX125"/>
      <c r="NY125"/>
      <c r="NZ125"/>
      <c r="OA125"/>
      <c r="OB125"/>
      <c r="OC125"/>
      <c r="OD125"/>
      <c r="OE125"/>
      <c r="OF125"/>
      <c r="OG125"/>
      <c r="OH125"/>
      <c r="OI125"/>
      <c r="OJ125"/>
      <c r="OK125"/>
      <c r="OL125"/>
      <c r="OM125"/>
      <c r="ON125"/>
      <c r="OO125"/>
      <c r="OP125"/>
      <c r="OQ125"/>
      <c r="OR125"/>
      <c r="OS125"/>
      <c r="OT125"/>
      <c r="OU125"/>
      <c r="OV125"/>
      <c r="OW125"/>
      <c r="OX125"/>
      <c r="OY125"/>
      <c r="OZ125"/>
      <c r="PA125"/>
      <c r="PB125"/>
      <c r="PC125"/>
      <c r="PD125"/>
      <c r="PE125"/>
      <c r="PF125"/>
      <c r="PG125"/>
      <c r="PH125"/>
      <c r="PI125"/>
      <c r="PJ125"/>
      <c r="PK125"/>
      <c r="PL125"/>
      <c r="PM125"/>
      <c r="PN125"/>
      <c r="PO125"/>
      <c r="PP125"/>
      <c r="PQ125"/>
      <c r="PR125"/>
      <c r="PS125"/>
      <c r="PT125"/>
      <c r="PU125"/>
      <c r="PV125"/>
      <c r="PW125"/>
      <c r="PX125"/>
      <c r="PY125"/>
      <c r="PZ125"/>
      <c r="QA125"/>
      <c r="QB125"/>
      <c r="QC125"/>
      <c r="QD125"/>
      <c r="QE125"/>
      <c r="QF125"/>
      <c r="QG125"/>
      <c r="QH125"/>
      <c r="QI125"/>
      <c r="QJ125"/>
      <c r="QK125"/>
      <c r="QL125"/>
      <c r="QM125"/>
      <c r="QN125"/>
      <c r="QO125"/>
      <c r="QP125"/>
      <c r="QQ125"/>
      <c r="QR125"/>
      <c r="QS125"/>
      <c r="QT125"/>
      <c r="QU125"/>
      <c r="QV125"/>
      <c r="QW125"/>
      <c r="QX125"/>
      <c r="QY125"/>
      <c r="QZ125"/>
      <c r="RA125"/>
      <c r="RB125"/>
      <c r="RC125"/>
      <c r="RD125"/>
      <c r="RE125"/>
      <c r="RF125"/>
      <c r="RG125"/>
      <c r="RH125"/>
      <c r="RI125"/>
      <c r="RJ125"/>
      <c r="RK125"/>
      <c r="RL125"/>
      <c r="RM125"/>
      <c r="RN125"/>
      <c r="RO125"/>
      <c r="RP125"/>
      <c r="RQ125"/>
      <c r="RR125"/>
      <c r="RS125"/>
      <c r="RT125"/>
      <c r="RU125"/>
      <c r="RV125"/>
      <c r="RW125"/>
      <c r="RX125"/>
      <c r="RY125"/>
      <c r="RZ125"/>
      <c r="SA125"/>
      <c r="SB125"/>
      <c r="SC125"/>
      <c r="SD125"/>
      <c r="SE125"/>
      <c r="SF125"/>
      <c r="SG125"/>
      <c r="SH125"/>
      <c r="SI125"/>
      <c r="SJ125"/>
      <c r="SK125"/>
      <c r="SL125"/>
      <c r="SM125"/>
      <c r="SN125"/>
      <c r="SO125"/>
      <c r="SP125"/>
      <c r="SQ125"/>
      <c r="SR125"/>
      <c r="SS125"/>
      <c r="ST125"/>
      <c r="SU125"/>
      <c r="SV125"/>
      <c r="SW125"/>
      <c r="SX125"/>
      <c r="SY125"/>
      <c r="SZ125"/>
      <c r="TA125"/>
      <c r="TB125"/>
      <c r="TC125"/>
      <c r="TD125"/>
      <c r="TE125"/>
      <c r="TF125"/>
      <c r="TG125"/>
      <c r="TH125"/>
    </row>
    <row r="126" spans="3:528" x14ac:dyDescent="0.25">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c r="KT126"/>
      <c r="KU126"/>
      <c r="KV126"/>
      <c r="KW126"/>
      <c r="KX126"/>
      <c r="KY126"/>
      <c r="KZ126"/>
      <c r="LA126"/>
      <c r="LB126"/>
      <c r="LC126"/>
      <c r="LD126"/>
      <c r="LE126"/>
      <c r="LF126"/>
      <c r="LG126"/>
      <c r="LH126"/>
      <c r="LI126"/>
      <c r="LJ126"/>
      <c r="LK126"/>
      <c r="LL126"/>
      <c r="LM126"/>
      <c r="LN126"/>
      <c r="LO126"/>
      <c r="LP126"/>
      <c r="LQ126"/>
      <c r="LR126"/>
      <c r="LS126"/>
      <c r="LT126"/>
      <c r="LU126"/>
      <c r="LV126"/>
      <c r="LW126"/>
      <c r="LX126"/>
      <c r="LY126"/>
      <c r="LZ126"/>
      <c r="MA126"/>
      <c r="MB126"/>
      <c r="MC126"/>
      <c r="MD126"/>
      <c r="ME126"/>
      <c r="MF126"/>
      <c r="MG126"/>
      <c r="MH126"/>
      <c r="MI126"/>
      <c r="MJ126"/>
      <c r="MK126"/>
      <c r="ML126"/>
      <c r="MM126"/>
      <c r="MN126"/>
      <c r="MO126"/>
      <c r="MP126"/>
      <c r="MQ126"/>
      <c r="MR126"/>
      <c r="MS126"/>
      <c r="MT126"/>
      <c r="MU126"/>
      <c r="MV126"/>
      <c r="MW126"/>
      <c r="MX126"/>
      <c r="MY126"/>
      <c r="MZ126"/>
      <c r="NA126"/>
      <c r="NB126"/>
      <c r="NC126"/>
      <c r="ND126"/>
      <c r="NE126"/>
      <c r="NF126"/>
      <c r="NG126"/>
      <c r="NH126"/>
      <c r="NI126"/>
      <c r="NJ126"/>
      <c r="NK126"/>
      <c r="NL126"/>
      <c r="NM126"/>
      <c r="NN126"/>
      <c r="NO126"/>
      <c r="NP126"/>
      <c r="NQ126"/>
      <c r="NR126"/>
      <c r="NS126"/>
      <c r="NT126"/>
      <c r="NU126"/>
      <c r="NV126"/>
      <c r="NW126"/>
      <c r="NX126"/>
      <c r="NY126"/>
      <c r="NZ126"/>
      <c r="OA126"/>
      <c r="OB126"/>
      <c r="OC126"/>
      <c r="OD126"/>
      <c r="OE126"/>
      <c r="OF126"/>
      <c r="OG126"/>
      <c r="OH126"/>
      <c r="OI126"/>
      <c r="OJ126"/>
      <c r="OK126"/>
      <c r="OL126"/>
      <c r="OM126"/>
      <c r="ON126"/>
      <c r="OO126"/>
      <c r="OP126"/>
      <c r="OQ126"/>
      <c r="OR126"/>
      <c r="OS126"/>
      <c r="OT126"/>
      <c r="OU126"/>
      <c r="OV126"/>
      <c r="OW126"/>
      <c r="OX126"/>
      <c r="OY126"/>
      <c r="OZ126"/>
      <c r="PA126"/>
      <c r="PB126"/>
      <c r="PC126"/>
      <c r="PD126"/>
      <c r="PE126"/>
      <c r="PF126"/>
      <c r="PG126"/>
      <c r="PH126"/>
      <c r="PI126"/>
      <c r="PJ126"/>
      <c r="PK126"/>
      <c r="PL126"/>
      <c r="PM126"/>
      <c r="PN126"/>
      <c r="PO126"/>
      <c r="PP126"/>
      <c r="PQ126"/>
      <c r="PR126"/>
      <c r="PS126"/>
      <c r="PT126"/>
      <c r="PU126"/>
      <c r="PV126"/>
      <c r="PW126"/>
      <c r="PX126"/>
      <c r="PY126"/>
      <c r="PZ126"/>
      <c r="QA126"/>
      <c r="QB126"/>
      <c r="QC126"/>
      <c r="QD126"/>
      <c r="QE126"/>
      <c r="QF126"/>
      <c r="QG126"/>
      <c r="QH126"/>
      <c r="QI126"/>
      <c r="QJ126"/>
      <c r="QK126"/>
      <c r="QL126"/>
      <c r="QM126"/>
      <c r="QN126"/>
      <c r="QO126"/>
      <c r="QP126"/>
      <c r="QQ126"/>
      <c r="QR126"/>
      <c r="QS126"/>
      <c r="QT126"/>
      <c r="QU126"/>
      <c r="QV126"/>
      <c r="QW126"/>
      <c r="QX126"/>
      <c r="QY126"/>
      <c r="QZ126"/>
      <c r="RA126"/>
      <c r="RB126"/>
      <c r="RC126"/>
      <c r="RD126"/>
      <c r="RE126"/>
      <c r="RF126"/>
      <c r="RG126"/>
      <c r="RH126"/>
      <c r="RI126"/>
      <c r="RJ126"/>
      <c r="RK126"/>
      <c r="RL126"/>
      <c r="RM126"/>
      <c r="RN126"/>
      <c r="RO126"/>
      <c r="RP126"/>
      <c r="RQ126"/>
      <c r="RR126"/>
      <c r="RS126"/>
      <c r="RT126"/>
      <c r="RU126"/>
      <c r="RV126"/>
      <c r="RW126"/>
      <c r="RX126"/>
      <c r="RY126"/>
      <c r="RZ126"/>
      <c r="SA126"/>
      <c r="SB126"/>
      <c r="SC126"/>
      <c r="SD126"/>
      <c r="SE126"/>
      <c r="SF126"/>
      <c r="SG126"/>
      <c r="SH126"/>
      <c r="SI126"/>
      <c r="SJ126"/>
      <c r="SK126"/>
      <c r="SL126"/>
      <c r="SM126"/>
      <c r="SN126"/>
      <c r="SO126"/>
      <c r="SP126"/>
      <c r="SQ126"/>
      <c r="SR126"/>
      <c r="SS126"/>
      <c r="ST126"/>
      <c r="SU126"/>
      <c r="SV126"/>
      <c r="SW126"/>
      <c r="SX126"/>
      <c r="SY126"/>
      <c r="SZ126"/>
      <c r="TA126"/>
      <c r="TB126"/>
      <c r="TC126"/>
      <c r="TD126"/>
      <c r="TE126"/>
      <c r="TF126"/>
      <c r="TG126"/>
      <c r="TH126"/>
    </row>
    <row r="127" spans="3:528" x14ac:dyDescent="0.25">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c r="KT127"/>
      <c r="KU127"/>
      <c r="KV127"/>
      <c r="KW127"/>
      <c r="KX127"/>
      <c r="KY127"/>
      <c r="KZ127"/>
      <c r="LA127"/>
      <c r="LB127"/>
      <c r="LC127"/>
      <c r="LD127"/>
      <c r="LE127"/>
      <c r="LF127"/>
      <c r="LG127"/>
      <c r="LH127"/>
      <c r="LI127"/>
      <c r="LJ127"/>
      <c r="LK127"/>
      <c r="LL127"/>
      <c r="LM127"/>
      <c r="LN127"/>
      <c r="LO127"/>
      <c r="LP127"/>
      <c r="LQ127"/>
      <c r="LR127"/>
      <c r="LS127"/>
      <c r="LT127"/>
      <c r="LU127"/>
      <c r="LV127"/>
      <c r="LW127"/>
      <c r="LX127"/>
      <c r="LY127"/>
      <c r="LZ127"/>
      <c r="MA127"/>
      <c r="MB127"/>
      <c r="MC127"/>
      <c r="MD127"/>
      <c r="ME127"/>
      <c r="MF127"/>
      <c r="MG127"/>
      <c r="MH127"/>
      <c r="MI127"/>
      <c r="MJ127"/>
      <c r="MK127"/>
      <c r="ML127"/>
      <c r="MM127"/>
      <c r="MN127"/>
      <c r="MO127"/>
      <c r="MP127"/>
      <c r="MQ127"/>
      <c r="MR127"/>
      <c r="MS127"/>
      <c r="MT127"/>
      <c r="MU127"/>
      <c r="MV127"/>
      <c r="MW127"/>
      <c r="MX127"/>
      <c r="MY127"/>
      <c r="MZ127"/>
      <c r="NA127"/>
      <c r="NB127"/>
      <c r="NC127"/>
      <c r="ND127"/>
      <c r="NE127"/>
      <c r="NF127"/>
      <c r="NG127"/>
      <c r="NH127"/>
      <c r="NI127"/>
      <c r="NJ127"/>
      <c r="NK127"/>
      <c r="NL127"/>
      <c r="NM127"/>
      <c r="NN127"/>
      <c r="NO127"/>
      <c r="NP127"/>
      <c r="NQ127"/>
      <c r="NR127"/>
      <c r="NS127"/>
      <c r="NT127"/>
      <c r="NU127"/>
      <c r="NV127"/>
      <c r="NW127"/>
      <c r="NX127"/>
      <c r="NY127"/>
      <c r="NZ127"/>
      <c r="OA127"/>
      <c r="OB127"/>
      <c r="OC127"/>
      <c r="OD127"/>
      <c r="OE127"/>
      <c r="OF127"/>
      <c r="OG127"/>
      <c r="OH127"/>
      <c r="OI127"/>
      <c r="OJ127"/>
      <c r="OK127"/>
      <c r="OL127"/>
      <c r="OM127"/>
      <c r="ON127"/>
      <c r="OO127"/>
      <c r="OP127"/>
      <c r="OQ127"/>
      <c r="OR127"/>
      <c r="OS127"/>
      <c r="OT127"/>
      <c r="OU127"/>
      <c r="OV127"/>
      <c r="OW127"/>
      <c r="OX127"/>
      <c r="OY127"/>
      <c r="OZ127"/>
      <c r="PA127"/>
      <c r="PB127"/>
      <c r="PC127"/>
      <c r="PD127"/>
      <c r="PE127"/>
      <c r="PF127"/>
      <c r="PG127"/>
      <c r="PH127"/>
      <c r="PI127"/>
      <c r="PJ127"/>
      <c r="PK127"/>
      <c r="PL127"/>
      <c r="PM127"/>
      <c r="PN127"/>
      <c r="PO127"/>
      <c r="PP127"/>
      <c r="PQ127"/>
      <c r="PR127"/>
      <c r="PS127"/>
      <c r="PT127"/>
      <c r="PU127"/>
      <c r="PV127"/>
      <c r="PW127"/>
      <c r="PX127"/>
      <c r="PY127"/>
      <c r="PZ127"/>
      <c r="QA127"/>
      <c r="QB127"/>
      <c r="QC127"/>
      <c r="QD127"/>
      <c r="QE127"/>
      <c r="QF127"/>
      <c r="QG127"/>
      <c r="QH127"/>
      <c r="QI127"/>
      <c r="QJ127"/>
      <c r="QK127"/>
      <c r="QL127"/>
      <c r="QM127"/>
      <c r="QN127"/>
      <c r="QO127"/>
      <c r="QP127"/>
      <c r="QQ127"/>
      <c r="QR127"/>
      <c r="QS127"/>
      <c r="QT127"/>
      <c r="QU127"/>
      <c r="QV127"/>
      <c r="QW127"/>
      <c r="QX127"/>
      <c r="QY127"/>
      <c r="QZ127"/>
      <c r="RA127"/>
      <c r="RB127"/>
      <c r="RC127"/>
      <c r="RD127"/>
      <c r="RE127"/>
      <c r="RF127"/>
      <c r="RG127"/>
      <c r="RH127"/>
      <c r="RI127"/>
      <c r="RJ127"/>
      <c r="RK127"/>
      <c r="RL127"/>
      <c r="RM127"/>
      <c r="RN127"/>
      <c r="RO127"/>
      <c r="RP127"/>
      <c r="RQ127"/>
      <c r="RR127"/>
      <c r="RS127"/>
      <c r="RT127"/>
      <c r="RU127"/>
      <c r="RV127"/>
      <c r="RW127"/>
      <c r="RX127"/>
      <c r="RY127"/>
      <c r="RZ127"/>
      <c r="SA127"/>
      <c r="SB127"/>
      <c r="SC127"/>
      <c r="SD127"/>
      <c r="SE127"/>
      <c r="SF127"/>
      <c r="SG127"/>
      <c r="SH127"/>
      <c r="SI127"/>
      <c r="SJ127"/>
      <c r="SK127"/>
      <c r="SL127"/>
      <c r="SM127"/>
      <c r="SN127"/>
      <c r="SO127"/>
      <c r="SP127"/>
      <c r="SQ127"/>
      <c r="SR127"/>
      <c r="SS127"/>
      <c r="ST127"/>
      <c r="SU127"/>
      <c r="SV127"/>
      <c r="SW127"/>
      <c r="SX127"/>
      <c r="SY127"/>
      <c r="SZ127"/>
      <c r="TA127"/>
      <c r="TB127"/>
      <c r="TC127"/>
      <c r="TD127"/>
      <c r="TE127"/>
      <c r="TF127"/>
      <c r="TG127"/>
      <c r="TH127"/>
    </row>
    <row r="128" spans="3:528" x14ac:dyDescent="0.25">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c r="KT128"/>
      <c r="KU128"/>
      <c r="KV128"/>
      <c r="KW128"/>
      <c r="KX128"/>
      <c r="KY128"/>
      <c r="KZ128"/>
      <c r="LA128"/>
      <c r="LB128"/>
      <c r="LC128"/>
      <c r="LD128"/>
      <c r="LE128"/>
      <c r="LF128"/>
      <c r="LG128"/>
      <c r="LH128"/>
      <c r="LI128"/>
      <c r="LJ128"/>
      <c r="LK128"/>
      <c r="LL128"/>
      <c r="LM128"/>
      <c r="LN128"/>
      <c r="LO128"/>
      <c r="LP128"/>
      <c r="LQ128"/>
      <c r="LR128"/>
      <c r="LS128"/>
      <c r="LT128"/>
      <c r="LU128"/>
      <c r="LV128"/>
      <c r="LW128"/>
      <c r="LX128"/>
      <c r="LY128"/>
      <c r="LZ128"/>
      <c r="MA128"/>
      <c r="MB128"/>
      <c r="MC128"/>
      <c r="MD128"/>
      <c r="ME128"/>
      <c r="MF128"/>
      <c r="MG128"/>
      <c r="MH128"/>
      <c r="MI128"/>
      <c r="MJ128"/>
      <c r="MK128"/>
      <c r="ML128"/>
      <c r="MM128"/>
      <c r="MN128"/>
      <c r="MO128"/>
      <c r="MP128"/>
      <c r="MQ128"/>
      <c r="MR128"/>
      <c r="MS128"/>
      <c r="MT128"/>
      <c r="MU128"/>
      <c r="MV128"/>
      <c r="MW128"/>
      <c r="MX128"/>
      <c r="MY128"/>
      <c r="MZ128"/>
      <c r="NA128"/>
      <c r="NB128"/>
      <c r="NC128"/>
      <c r="ND128"/>
      <c r="NE128"/>
      <c r="NF128"/>
      <c r="NG128"/>
      <c r="NH128"/>
      <c r="NI128"/>
      <c r="NJ128"/>
      <c r="NK128"/>
      <c r="NL128"/>
      <c r="NM128"/>
      <c r="NN128"/>
      <c r="NO128"/>
      <c r="NP128"/>
      <c r="NQ128"/>
      <c r="NR128"/>
      <c r="NS128"/>
      <c r="NT128"/>
      <c r="NU128"/>
      <c r="NV128"/>
      <c r="NW128"/>
      <c r="NX128"/>
      <c r="NY128"/>
      <c r="NZ128"/>
      <c r="OA128"/>
      <c r="OB128"/>
      <c r="OC128"/>
      <c r="OD128"/>
      <c r="OE128"/>
      <c r="OF128"/>
      <c r="OG128"/>
      <c r="OH128"/>
      <c r="OI128"/>
      <c r="OJ128"/>
      <c r="OK128"/>
      <c r="OL128"/>
      <c r="OM128"/>
      <c r="ON128"/>
      <c r="OO128"/>
      <c r="OP128"/>
      <c r="OQ128"/>
      <c r="OR128"/>
      <c r="OS128"/>
      <c r="OT128"/>
      <c r="OU128"/>
      <c r="OV128"/>
      <c r="OW128"/>
      <c r="OX128"/>
      <c r="OY128"/>
      <c r="OZ128"/>
      <c r="PA128"/>
      <c r="PB128"/>
      <c r="PC128"/>
      <c r="PD128"/>
      <c r="PE128"/>
      <c r="PF128"/>
      <c r="PG128"/>
      <c r="PH128"/>
      <c r="PI128"/>
      <c r="PJ128"/>
      <c r="PK128"/>
      <c r="PL128"/>
      <c r="PM128"/>
      <c r="PN128"/>
      <c r="PO128"/>
      <c r="PP128"/>
      <c r="PQ128"/>
      <c r="PR128"/>
      <c r="PS128"/>
      <c r="PT128"/>
      <c r="PU128"/>
      <c r="PV128"/>
      <c r="PW128"/>
      <c r="PX128"/>
      <c r="PY128"/>
      <c r="PZ128"/>
      <c r="QA128"/>
      <c r="QB128"/>
      <c r="QC128"/>
      <c r="QD128"/>
      <c r="QE128"/>
      <c r="QF128"/>
      <c r="QG128"/>
      <c r="QH128"/>
      <c r="QI128"/>
      <c r="QJ128"/>
      <c r="QK128"/>
      <c r="QL128"/>
      <c r="QM128"/>
      <c r="QN128"/>
      <c r="QO128"/>
      <c r="QP128"/>
      <c r="QQ128"/>
      <c r="QR128"/>
      <c r="QS128"/>
      <c r="QT128"/>
      <c r="QU128"/>
      <c r="QV128"/>
      <c r="QW128"/>
      <c r="QX128"/>
      <c r="QY128"/>
      <c r="QZ128"/>
      <c r="RA128"/>
      <c r="RB128"/>
      <c r="RC128"/>
      <c r="RD128"/>
      <c r="RE128"/>
      <c r="RF128"/>
      <c r="RG128"/>
      <c r="RH128"/>
      <c r="RI128"/>
      <c r="RJ128"/>
      <c r="RK128"/>
      <c r="RL128"/>
      <c r="RM128"/>
      <c r="RN128"/>
      <c r="RO128"/>
      <c r="RP128"/>
      <c r="RQ128"/>
      <c r="RR128"/>
      <c r="RS128"/>
      <c r="RT128"/>
      <c r="RU128"/>
      <c r="RV128"/>
      <c r="RW128"/>
      <c r="RX128"/>
      <c r="RY128"/>
      <c r="RZ128"/>
      <c r="SA128"/>
      <c r="SB128"/>
      <c r="SC128"/>
      <c r="SD128"/>
      <c r="SE128"/>
      <c r="SF128"/>
      <c r="SG128"/>
      <c r="SH128"/>
      <c r="SI128"/>
      <c r="SJ128"/>
      <c r="SK128"/>
      <c r="SL128"/>
      <c r="SM128"/>
      <c r="SN128"/>
      <c r="SO128"/>
      <c r="SP128"/>
      <c r="SQ128"/>
      <c r="SR128"/>
      <c r="SS128"/>
      <c r="ST128"/>
      <c r="SU128"/>
      <c r="SV128"/>
      <c r="SW128"/>
      <c r="SX128"/>
      <c r="SY128"/>
      <c r="SZ128"/>
      <c r="TA128"/>
      <c r="TB128"/>
      <c r="TC128"/>
      <c r="TD128"/>
      <c r="TE128"/>
      <c r="TF128"/>
      <c r="TG128"/>
      <c r="TH128"/>
    </row>
    <row r="129" spans="3:528" x14ac:dyDescent="0.25">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c r="KT129"/>
      <c r="KU129"/>
      <c r="KV129"/>
      <c r="KW129"/>
      <c r="KX129"/>
      <c r="KY129"/>
      <c r="KZ129"/>
      <c r="LA129"/>
      <c r="LB129"/>
      <c r="LC129"/>
      <c r="LD129"/>
      <c r="LE129"/>
      <c r="LF129"/>
      <c r="LG129"/>
      <c r="LH129"/>
      <c r="LI129"/>
      <c r="LJ129"/>
      <c r="LK129"/>
      <c r="LL129"/>
      <c r="LM129"/>
      <c r="LN129"/>
      <c r="LO129"/>
      <c r="LP129"/>
      <c r="LQ129"/>
      <c r="LR129"/>
      <c r="LS129"/>
      <c r="LT129"/>
      <c r="LU129"/>
      <c r="LV129"/>
      <c r="LW129"/>
      <c r="LX129"/>
      <c r="LY129"/>
      <c r="LZ129"/>
      <c r="MA129"/>
      <c r="MB129"/>
      <c r="MC129"/>
      <c r="MD129"/>
      <c r="ME129"/>
      <c r="MF129"/>
      <c r="MG129"/>
      <c r="MH129"/>
      <c r="MI129"/>
      <c r="MJ129"/>
      <c r="MK129"/>
      <c r="ML129"/>
      <c r="MM129"/>
      <c r="MN129"/>
      <c r="MO129"/>
      <c r="MP129"/>
      <c r="MQ129"/>
      <c r="MR129"/>
      <c r="MS129"/>
      <c r="MT129"/>
      <c r="MU129"/>
      <c r="MV129"/>
      <c r="MW129"/>
      <c r="MX129"/>
      <c r="MY129"/>
      <c r="MZ129"/>
      <c r="NA129"/>
      <c r="NB129"/>
      <c r="NC129"/>
      <c r="ND129"/>
      <c r="NE129"/>
      <c r="NF129"/>
      <c r="NG129"/>
      <c r="NH129"/>
      <c r="NI129"/>
      <c r="NJ129"/>
      <c r="NK129"/>
      <c r="NL129"/>
      <c r="NM129"/>
      <c r="NN129"/>
      <c r="NO129"/>
      <c r="NP129"/>
      <c r="NQ129"/>
      <c r="NR129"/>
      <c r="NS129"/>
      <c r="NT129"/>
      <c r="NU129"/>
      <c r="NV129"/>
      <c r="NW129"/>
      <c r="NX129"/>
      <c r="NY129"/>
      <c r="NZ129"/>
      <c r="OA129"/>
      <c r="OB129"/>
      <c r="OC129"/>
      <c r="OD129"/>
      <c r="OE129"/>
      <c r="OF129"/>
      <c r="OG129"/>
      <c r="OH129"/>
      <c r="OI129"/>
      <c r="OJ129"/>
      <c r="OK129"/>
      <c r="OL129"/>
      <c r="OM129"/>
      <c r="ON129"/>
      <c r="OO129"/>
      <c r="OP129"/>
      <c r="OQ129"/>
      <c r="OR129"/>
      <c r="OS129"/>
      <c r="OT129"/>
      <c r="OU129"/>
      <c r="OV129"/>
      <c r="OW129"/>
      <c r="OX129"/>
      <c r="OY129"/>
      <c r="OZ129"/>
      <c r="PA129"/>
      <c r="PB129"/>
      <c r="PC129"/>
      <c r="PD129"/>
      <c r="PE129"/>
      <c r="PF129"/>
      <c r="PG129"/>
      <c r="PH129"/>
      <c r="PI129"/>
      <c r="PJ129"/>
      <c r="PK129"/>
      <c r="PL129"/>
      <c r="PM129"/>
      <c r="PN129"/>
      <c r="PO129"/>
      <c r="PP129"/>
      <c r="PQ129"/>
      <c r="PR129"/>
      <c r="PS129"/>
      <c r="PT129"/>
      <c r="PU129"/>
      <c r="PV129"/>
      <c r="PW129"/>
      <c r="PX129"/>
      <c r="PY129"/>
      <c r="PZ129"/>
      <c r="QA129"/>
      <c r="QB129"/>
      <c r="QC129"/>
      <c r="QD129"/>
      <c r="QE129"/>
      <c r="QF129"/>
      <c r="QG129"/>
      <c r="QH129"/>
      <c r="QI129"/>
      <c r="QJ129"/>
      <c r="QK129"/>
      <c r="QL129"/>
      <c r="QM129"/>
      <c r="QN129"/>
      <c r="QO129"/>
      <c r="QP129"/>
      <c r="QQ129"/>
      <c r="QR129"/>
      <c r="QS129"/>
      <c r="QT129"/>
      <c r="QU129"/>
      <c r="QV129"/>
      <c r="QW129"/>
      <c r="QX129"/>
      <c r="QY129"/>
      <c r="QZ129"/>
      <c r="RA129"/>
      <c r="RB129"/>
      <c r="RC129"/>
      <c r="RD129"/>
      <c r="RE129"/>
      <c r="RF129"/>
      <c r="RG129"/>
      <c r="RH129"/>
      <c r="RI129"/>
      <c r="RJ129"/>
      <c r="RK129"/>
      <c r="RL129"/>
      <c r="RM129"/>
      <c r="RN129"/>
      <c r="RO129"/>
      <c r="RP129"/>
      <c r="RQ129"/>
      <c r="RR129"/>
      <c r="RS129"/>
      <c r="RT129"/>
      <c r="RU129"/>
      <c r="RV129"/>
      <c r="RW129"/>
      <c r="RX129"/>
      <c r="RY129"/>
      <c r="RZ129"/>
      <c r="SA129"/>
      <c r="SB129"/>
      <c r="SC129"/>
      <c r="SD129"/>
      <c r="SE129"/>
      <c r="SF129"/>
      <c r="SG129"/>
      <c r="SH129"/>
      <c r="SI129"/>
      <c r="SJ129"/>
      <c r="SK129"/>
      <c r="SL129"/>
      <c r="SM129"/>
      <c r="SN129"/>
      <c r="SO129"/>
      <c r="SP129"/>
      <c r="SQ129"/>
      <c r="SR129"/>
      <c r="SS129"/>
      <c r="ST129"/>
      <c r="SU129"/>
      <c r="SV129"/>
      <c r="SW129"/>
      <c r="SX129"/>
      <c r="SY129"/>
      <c r="SZ129"/>
      <c r="TA129"/>
      <c r="TB129"/>
      <c r="TC129"/>
      <c r="TD129"/>
      <c r="TE129"/>
      <c r="TF129"/>
      <c r="TG129"/>
      <c r="TH129"/>
    </row>
    <row r="130" spans="3:528" x14ac:dyDescent="0.25">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c r="KT130"/>
      <c r="KU130"/>
      <c r="KV130"/>
      <c r="KW130"/>
      <c r="KX130"/>
      <c r="KY130"/>
      <c r="KZ130"/>
      <c r="LA130"/>
      <c r="LB130"/>
      <c r="LC130"/>
      <c r="LD130"/>
      <c r="LE130"/>
      <c r="LF130"/>
      <c r="LG130"/>
      <c r="LH130"/>
      <c r="LI130"/>
      <c r="LJ130"/>
      <c r="LK130"/>
      <c r="LL130"/>
      <c r="LM130"/>
      <c r="LN130"/>
      <c r="LO130"/>
      <c r="LP130"/>
      <c r="LQ130"/>
      <c r="LR130"/>
      <c r="LS130"/>
      <c r="LT130"/>
      <c r="LU130"/>
      <c r="LV130"/>
      <c r="LW130"/>
      <c r="LX130"/>
      <c r="LY130"/>
      <c r="LZ130"/>
      <c r="MA130"/>
      <c r="MB130"/>
      <c r="MC130"/>
      <c r="MD130"/>
      <c r="ME130"/>
      <c r="MF130"/>
      <c r="MG130"/>
      <c r="MH130"/>
      <c r="MI130"/>
      <c r="MJ130"/>
      <c r="MK130"/>
      <c r="ML130"/>
      <c r="MM130"/>
      <c r="MN130"/>
      <c r="MO130"/>
      <c r="MP130"/>
      <c r="MQ130"/>
      <c r="MR130"/>
      <c r="MS130"/>
      <c r="MT130"/>
      <c r="MU130"/>
      <c r="MV130"/>
      <c r="MW130"/>
      <c r="MX130"/>
      <c r="MY130"/>
      <c r="MZ130"/>
      <c r="NA130"/>
      <c r="NB130"/>
      <c r="NC130"/>
      <c r="ND130"/>
      <c r="NE130"/>
      <c r="NF130"/>
      <c r="NG130"/>
      <c r="NH130"/>
      <c r="NI130"/>
      <c r="NJ130"/>
      <c r="NK130"/>
      <c r="NL130"/>
      <c r="NM130"/>
      <c r="NN130"/>
      <c r="NO130"/>
      <c r="NP130"/>
      <c r="NQ130"/>
      <c r="NR130"/>
      <c r="NS130"/>
      <c r="NT130"/>
      <c r="NU130"/>
      <c r="NV130"/>
      <c r="NW130"/>
      <c r="NX130"/>
      <c r="NY130"/>
      <c r="NZ130"/>
      <c r="OA130"/>
      <c r="OB130"/>
      <c r="OC130"/>
      <c r="OD130"/>
      <c r="OE130"/>
      <c r="OF130"/>
      <c r="OG130"/>
      <c r="OH130"/>
      <c r="OI130"/>
      <c r="OJ130"/>
      <c r="OK130"/>
      <c r="OL130"/>
      <c r="OM130"/>
      <c r="ON130"/>
      <c r="OO130"/>
      <c r="OP130"/>
      <c r="OQ130"/>
      <c r="OR130"/>
      <c r="OS130"/>
      <c r="OT130"/>
      <c r="OU130"/>
      <c r="OV130"/>
      <c r="OW130"/>
      <c r="OX130"/>
      <c r="OY130"/>
      <c r="OZ130"/>
      <c r="PA130"/>
      <c r="PB130"/>
      <c r="PC130"/>
      <c r="PD130"/>
      <c r="PE130"/>
      <c r="PF130"/>
      <c r="PG130"/>
      <c r="PH130"/>
      <c r="PI130"/>
      <c r="PJ130"/>
      <c r="PK130"/>
      <c r="PL130"/>
      <c r="PM130"/>
      <c r="PN130"/>
      <c r="PO130"/>
      <c r="PP130"/>
      <c r="PQ130"/>
      <c r="PR130"/>
      <c r="PS130"/>
      <c r="PT130"/>
      <c r="PU130"/>
      <c r="PV130"/>
      <c r="PW130"/>
      <c r="PX130"/>
      <c r="PY130"/>
      <c r="PZ130"/>
      <c r="QA130"/>
      <c r="QB130"/>
      <c r="QC130"/>
      <c r="QD130"/>
      <c r="QE130"/>
      <c r="QF130"/>
      <c r="QG130"/>
      <c r="QH130"/>
      <c r="QI130"/>
      <c r="QJ130"/>
      <c r="QK130"/>
      <c r="QL130"/>
      <c r="QM130"/>
      <c r="QN130"/>
      <c r="QO130"/>
      <c r="QP130"/>
      <c r="QQ130"/>
      <c r="QR130"/>
      <c r="QS130"/>
      <c r="QT130"/>
      <c r="QU130"/>
      <c r="QV130"/>
      <c r="QW130"/>
      <c r="QX130"/>
      <c r="QY130"/>
      <c r="QZ130"/>
      <c r="RA130"/>
      <c r="RB130"/>
      <c r="RC130"/>
      <c r="RD130"/>
      <c r="RE130"/>
      <c r="RF130"/>
      <c r="RG130"/>
      <c r="RH130"/>
      <c r="RI130"/>
      <c r="RJ130"/>
      <c r="RK130"/>
      <c r="RL130"/>
      <c r="RM130"/>
      <c r="RN130"/>
      <c r="RO130"/>
      <c r="RP130"/>
      <c r="RQ130"/>
      <c r="RR130"/>
      <c r="RS130"/>
      <c r="RT130"/>
      <c r="RU130"/>
      <c r="RV130"/>
      <c r="RW130"/>
      <c r="RX130"/>
      <c r="RY130"/>
      <c r="RZ130"/>
      <c r="SA130"/>
      <c r="SB130"/>
      <c r="SC130"/>
      <c r="SD130"/>
      <c r="SE130"/>
      <c r="SF130"/>
      <c r="SG130"/>
      <c r="SH130"/>
      <c r="SI130"/>
      <c r="SJ130"/>
      <c r="SK130"/>
      <c r="SL130"/>
      <c r="SM130"/>
      <c r="SN130"/>
      <c r="SO130"/>
      <c r="SP130"/>
      <c r="SQ130"/>
      <c r="SR130"/>
      <c r="SS130"/>
      <c r="ST130"/>
      <c r="SU130"/>
      <c r="SV130"/>
      <c r="SW130"/>
      <c r="SX130"/>
      <c r="SY130"/>
      <c r="SZ130"/>
      <c r="TA130"/>
      <c r="TB130"/>
      <c r="TC130"/>
      <c r="TD130"/>
      <c r="TE130"/>
      <c r="TF130"/>
      <c r="TG130"/>
      <c r="TH130"/>
    </row>
    <row r="131" spans="3:528" x14ac:dyDescent="0.25">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c r="PC131"/>
      <c r="PD131"/>
      <c r="PE131"/>
      <c r="PF131"/>
      <c r="PG131"/>
      <c r="PH131"/>
      <c r="PI131"/>
      <c r="PJ131"/>
      <c r="PK131"/>
      <c r="PL131"/>
      <c r="PM131"/>
      <c r="PN131"/>
      <c r="PO131"/>
      <c r="PP131"/>
      <c r="PQ131"/>
      <c r="PR131"/>
      <c r="PS131"/>
      <c r="PT131"/>
      <c r="PU131"/>
      <c r="PV131"/>
      <c r="PW131"/>
      <c r="PX131"/>
      <c r="PY131"/>
      <c r="PZ131"/>
      <c r="QA131"/>
      <c r="QB131"/>
      <c r="QC131"/>
      <c r="QD131"/>
      <c r="QE131"/>
      <c r="QF131"/>
      <c r="QG131"/>
      <c r="QH131"/>
      <c r="QI131"/>
      <c r="QJ131"/>
      <c r="QK131"/>
      <c r="QL131"/>
      <c r="QM131"/>
      <c r="QN131"/>
      <c r="QO131"/>
      <c r="QP131"/>
      <c r="QQ131"/>
      <c r="QR131"/>
      <c r="QS131"/>
      <c r="QT131"/>
      <c r="QU131"/>
      <c r="QV131"/>
      <c r="QW131"/>
      <c r="QX131"/>
      <c r="QY131"/>
      <c r="QZ131"/>
      <c r="RA131"/>
      <c r="RB131"/>
      <c r="RC131"/>
      <c r="RD131"/>
      <c r="RE131"/>
      <c r="RF131"/>
      <c r="RG131"/>
      <c r="RH131"/>
      <c r="RI131"/>
      <c r="RJ131"/>
      <c r="RK131"/>
      <c r="RL131"/>
      <c r="RM131"/>
      <c r="RN131"/>
      <c r="RO131"/>
      <c r="RP131"/>
      <c r="RQ131"/>
      <c r="RR131"/>
      <c r="RS131"/>
      <c r="RT131"/>
      <c r="RU131"/>
      <c r="RV131"/>
      <c r="RW131"/>
      <c r="RX131"/>
      <c r="RY131"/>
      <c r="RZ131"/>
      <c r="SA131"/>
      <c r="SB131"/>
      <c r="SC131"/>
      <c r="SD131"/>
      <c r="SE131"/>
      <c r="SF131"/>
      <c r="SG131"/>
      <c r="SH131"/>
      <c r="SI131"/>
      <c r="SJ131"/>
      <c r="SK131"/>
      <c r="SL131"/>
      <c r="SM131"/>
      <c r="SN131"/>
      <c r="SO131"/>
      <c r="SP131"/>
      <c r="SQ131"/>
      <c r="SR131"/>
      <c r="SS131"/>
      <c r="ST131"/>
      <c r="SU131"/>
      <c r="SV131"/>
      <c r="SW131"/>
      <c r="SX131"/>
      <c r="SY131"/>
      <c r="SZ131"/>
      <c r="TA131"/>
      <c r="TB131"/>
      <c r="TC131"/>
      <c r="TD131"/>
      <c r="TE131"/>
      <c r="TF131"/>
      <c r="TG131"/>
      <c r="TH131"/>
    </row>
    <row r="132" spans="3:528" x14ac:dyDescent="0.25">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c r="PC132"/>
      <c r="PD132"/>
      <c r="PE132"/>
      <c r="PF132"/>
      <c r="PG132"/>
      <c r="PH132"/>
      <c r="PI132"/>
      <c r="PJ132"/>
      <c r="PK132"/>
      <c r="PL132"/>
      <c r="PM132"/>
      <c r="PN132"/>
      <c r="PO132"/>
      <c r="PP132"/>
      <c r="PQ132"/>
      <c r="PR132"/>
      <c r="PS132"/>
      <c r="PT132"/>
      <c r="PU132"/>
      <c r="PV132"/>
      <c r="PW132"/>
      <c r="PX132"/>
      <c r="PY132"/>
      <c r="PZ132"/>
      <c r="QA132"/>
      <c r="QB132"/>
      <c r="QC132"/>
      <c r="QD132"/>
      <c r="QE132"/>
      <c r="QF132"/>
      <c r="QG132"/>
      <c r="QH132"/>
      <c r="QI132"/>
      <c r="QJ132"/>
      <c r="QK132"/>
      <c r="QL132"/>
      <c r="QM132"/>
      <c r="QN132"/>
      <c r="QO132"/>
      <c r="QP132"/>
      <c r="QQ132"/>
      <c r="QR132"/>
      <c r="QS132"/>
      <c r="QT132"/>
      <c r="QU132"/>
      <c r="QV132"/>
      <c r="QW132"/>
      <c r="QX132"/>
      <c r="QY132"/>
      <c r="QZ132"/>
      <c r="RA132"/>
      <c r="RB132"/>
      <c r="RC132"/>
      <c r="RD132"/>
      <c r="RE132"/>
      <c r="RF132"/>
      <c r="RG132"/>
      <c r="RH132"/>
      <c r="RI132"/>
      <c r="RJ132"/>
      <c r="RK132"/>
      <c r="RL132"/>
      <c r="RM132"/>
      <c r="RN132"/>
      <c r="RO132"/>
      <c r="RP132"/>
      <c r="RQ132"/>
      <c r="RR132"/>
      <c r="RS132"/>
      <c r="RT132"/>
      <c r="RU132"/>
      <c r="RV132"/>
      <c r="RW132"/>
      <c r="RX132"/>
      <c r="RY132"/>
      <c r="RZ132"/>
      <c r="SA132"/>
      <c r="SB132"/>
      <c r="SC132"/>
      <c r="SD132"/>
      <c r="SE132"/>
      <c r="SF132"/>
      <c r="SG132"/>
      <c r="SH132"/>
      <c r="SI132"/>
      <c r="SJ132"/>
      <c r="SK132"/>
      <c r="SL132"/>
      <c r="SM132"/>
      <c r="SN132"/>
      <c r="SO132"/>
      <c r="SP132"/>
      <c r="SQ132"/>
      <c r="SR132"/>
      <c r="SS132"/>
      <c r="ST132"/>
      <c r="SU132"/>
      <c r="SV132"/>
      <c r="SW132"/>
      <c r="SX132"/>
      <c r="SY132"/>
      <c r="SZ132"/>
      <c r="TA132"/>
      <c r="TB132"/>
      <c r="TC132"/>
      <c r="TD132"/>
      <c r="TE132"/>
      <c r="TF132"/>
      <c r="TG132"/>
      <c r="TH132"/>
    </row>
    <row r="133" spans="3:528" x14ac:dyDescent="0.25">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c r="PC133"/>
      <c r="PD133"/>
      <c r="PE133"/>
      <c r="PF133"/>
      <c r="PG133"/>
      <c r="PH133"/>
      <c r="PI133"/>
      <c r="PJ133"/>
      <c r="PK133"/>
      <c r="PL133"/>
      <c r="PM133"/>
      <c r="PN133"/>
      <c r="PO133"/>
      <c r="PP133"/>
      <c r="PQ133"/>
      <c r="PR133"/>
      <c r="PS133"/>
      <c r="PT133"/>
      <c r="PU133"/>
      <c r="PV133"/>
      <c r="PW133"/>
      <c r="PX133"/>
      <c r="PY133"/>
      <c r="PZ133"/>
      <c r="QA133"/>
      <c r="QB133"/>
      <c r="QC133"/>
      <c r="QD133"/>
      <c r="QE133"/>
      <c r="QF133"/>
      <c r="QG133"/>
      <c r="QH133"/>
      <c r="QI133"/>
      <c r="QJ133"/>
      <c r="QK133"/>
      <c r="QL133"/>
      <c r="QM133"/>
      <c r="QN133"/>
      <c r="QO133"/>
      <c r="QP133"/>
      <c r="QQ133"/>
      <c r="QR133"/>
      <c r="QS133"/>
      <c r="QT133"/>
      <c r="QU133"/>
      <c r="QV133"/>
      <c r="QW133"/>
      <c r="QX133"/>
      <c r="QY133"/>
      <c r="QZ133"/>
      <c r="RA133"/>
      <c r="RB133"/>
      <c r="RC133"/>
      <c r="RD133"/>
      <c r="RE133"/>
      <c r="RF133"/>
      <c r="RG133"/>
      <c r="RH133"/>
      <c r="RI133"/>
      <c r="RJ133"/>
      <c r="RK133"/>
      <c r="RL133"/>
      <c r="RM133"/>
      <c r="RN133"/>
      <c r="RO133"/>
      <c r="RP133"/>
      <c r="RQ133"/>
      <c r="RR133"/>
      <c r="RS133"/>
      <c r="RT133"/>
      <c r="RU133"/>
      <c r="RV133"/>
      <c r="RW133"/>
      <c r="RX133"/>
      <c r="RY133"/>
      <c r="RZ133"/>
      <c r="SA133"/>
      <c r="SB133"/>
      <c r="SC133"/>
      <c r="SD133"/>
      <c r="SE133"/>
      <c r="SF133"/>
      <c r="SG133"/>
      <c r="SH133"/>
      <c r="SI133"/>
      <c r="SJ133"/>
      <c r="SK133"/>
      <c r="SL133"/>
      <c r="SM133"/>
      <c r="SN133"/>
      <c r="SO133"/>
      <c r="SP133"/>
      <c r="SQ133"/>
      <c r="SR133"/>
      <c r="SS133"/>
      <c r="ST133"/>
      <c r="SU133"/>
      <c r="SV133"/>
      <c r="SW133"/>
      <c r="SX133"/>
      <c r="SY133"/>
      <c r="SZ133"/>
      <c r="TA133"/>
      <c r="TB133"/>
      <c r="TC133"/>
      <c r="TD133"/>
      <c r="TE133"/>
      <c r="TF133"/>
      <c r="TG133"/>
      <c r="TH133"/>
    </row>
    <row r="134" spans="3:528" x14ac:dyDescent="0.25">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c r="PC134"/>
      <c r="PD134"/>
      <c r="PE134"/>
      <c r="PF134"/>
      <c r="PG134"/>
      <c r="PH134"/>
      <c r="PI134"/>
      <c r="PJ134"/>
      <c r="PK134"/>
      <c r="PL134"/>
      <c r="PM134"/>
      <c r="PN134"/>
      <c r="PO134"/>
      <c r="PP134"/>
      <c r="PQ134"/>
      <c r="PR134"/>
      <c r="PS134"/>
      <c r="PT134"/>
      <c r="PU134"/>
      <c r="PV134"/>
      <c r="PW134"/>
      <c r="PX134"/>
      <c r="PY134"/>
      <c r="PZ134"/>
      <c r="QA134"/>
      <c r="QB134"/>
      <c r="QC134"/>
      <c r="QD134"/>
      <c r="QE134"/>
      <c r="QF134"/>
      <c r="QG134"/>
      <c r="QH134"/>
      <c r="QI134"/>
      <c r="QJ134"/>
      <c r="QK134"/>
      <c r="QL134"/>
      <c r="QM134"/>
      <c r="QN134"/>
      <c r="QO134"/>
      <c r="QP134"/>
      <c r="QQ134"/>
      <c r="QR134"/>
      <c r="QS134"/>
      <c r="QT134"/>
      <c r="QU134"/>
      <c r="QV134"/>
      <c r="QW134"/>
      <c r="QX134"/>
      <c r="QY134"/>
      <c r="QZ134"/>
      <c r="RA134"/>
      <c r="RB134"/>
      <c r="RC134"/>
      <c r="RD134"/>
      <c r="RE134"/>
      <c r="RF134"/>
      <c r="RG134"/>
      <c r="RH134"/>
      <c r="RI134"/>
      <c r="RJ134"/>
      <c r="RK134"/>
      <c r="RL134"/>
      <c r="RM134"/>
      <c r="RN134"/>
      <c r="RO134"/>
      <c r="RP134"/>
      <c r="RQ134"/>
      <c r="RR134"/>
      <c r="RS134"/>
      <c r="RT134"/>
      <c r="RU134"/>
      <c r="RV134"/>
      <c r="RW134"/>
      <c r="RX134"/>
      <c r="RY134"/>
      <c r="RZ134"/>
      <c r="SA134"/>
      <c r="SB134"/>
      <c r="SC134"/>
      <c r="SD134"/>
      <c r="SE134"/>
      <c r="SF134"/>
      <c r="SG134"/>
      <c r="SH134"/>
      <c r="SI134"/>
      <c r="SJ134"/>
      <c r="SK134"/>
      <c r="SL134"/>
      <c r="SM134"/>
      <c r="SN134"/>
      <c r="SO134"/>
      <c r="SP134"/>
      <c r="SQ134"/>
      <c r="SR134"/>
      <c r="SS134"/>
      <c r="ST134"/>
      <c r="SU134"/>
      <c r="SV134"/>
      <c r="SW134"/>
      <c r="SX134"/>
      <c r="SY134"/>
      <c r="SZ134"/>
      <c r="TA134"/>
      <c r="TB134"/>
      <c r="TC134"/>
      <c r="TD134"/>
      <c r="TE134"/>
      <c r="TF134"/>
      <c r="TG134"/>
      <c r="TH134"/>
    </row>
    <row r="135" spans="3:528" x14ac:dyDescent="0.2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c r="PC135"/>
      <c r="PD135"/>
      <c r="PE135"/>
      <c r="PF135"/>
      <c r="PG135"/>
      <c r="PH135"/>
      <c r="PI135"/>
      <c r="PJ135"/>
      <c r="PK135"/>
      <c r="PL135"/>
      <c r="PM135"/>
      <c r="PN135"/>
      <c r="PO135"/>
      <c r="PP135"/>
      <c r="PQ135"/>
      <c r="PR135"/>
      <c r="PS135"/>
      <c r="PT135"/>
      <c r="PU135"/>
      <c r="PV135"/>
      <c r="PW135"/>
      <c r="PX135"/>
      <c r="PY135"/>
      <c r="PZ135"/>
      <c r="QA135"/>
      <c r="QB135"/>
      <c r="QC135"/>
      <c r="QD135"/>
      <c r="QE135"/>
      <c r="QF135"/>
      <c r="QG135"/>
      <c r="QH135"/>
      <c r="QI135"/>
      <c r="QJ135"/>
      <c r="QK135"/>
      <c r="QL135"/>
      <c r="QM135"/>
      <c r="QN135"/>
      <c r="QO135"/>
      <c r="QP135"/>
      <c r="QQ135"/>
      <c r="QR135"/>
      <c r="QS135"/>
      <c r="QT135"/>
      <c r="QU135"/>
      <c r="QV135"/>
      <c r="QW135"/>
      <c r="QX135"/>
      <c r="QY135"/>
      <c r="QZ135"/>
      <c r="RA135"/>
      <c r="RB135"/>
      <c r="RC135"/>
      <c r="RD135"/>
      <c r="RE135"/>
      <c r="RF135"/>
      <c r="RG135"/>
      <c r="RH135"/>
      <c r="RI135"/>
      <c r="RJ135"/>
      <c r="RK135"/>
      <c r="RL135"/>
      <c r="RM135"/>
      <c r="RN135"/>
      <c r="RO135"/>
      <c r="RP135"/>
      <c r="RQ135"/>
      <c r="RR135"/>
      <c r="RS135"/>
      <c r="RT135"/>
      <c r="RU135"/>
      <c r="RV135"/>
      <c r="RW135"/>
      <c r="RX135"/>
      <c r="RY135"/>
      <c r="RZ135"/>
      <c r="SA135"/>
      <c r="SB135"/>
      <c r="SC135"/>
      <c r="SD135"/>
      <c r="SE135"/>
      <c r="SF135"/>
      <c r="SG135"/>
      <c r="SH135"/>
      <c r="SI135"/>
      <c r="SJ135"/>
      <c r="SK135"/>
      <c r="SL135"/>
      <c r="SM135"/>
      <c r="SN135"/>
      <c r="SO135"/>
      <c r="SP135"/>
      <c r="SQ135"/>
      <c r="SR135"/>
      <c r="SS135"/>
      <c r="ST135"/>
      <c r="SU135"/>
      <c r="SV135"/>
      <c r="SW135"/>
      <c r="SX135"/>
      <c r="SY135"/>
      <c r="SZ135"/>
      <c r="TA135"/>
      <c r="TB135"/>
      <c r="TC135"/>
      <c r="TD135"/>
      <c r="TE135"/>
      <c r="TF135"/>
      <c r="TG135"/>
      <c r="TH135"/>
    </row>
    <row r="136" spans="3:528" x14ac:dyDescent="0.25">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c r="PC136"/>
      <c r="PD136"/>
      <c r="PE136"/>
      <c r="PF136"/>
      <c r="PG136"/>
      <c r="PH136"/>
      <c r="PI136"/>
      <c r="PJ136"/>
      <c r="PK136"/>
      <c r="PL136"/>
      <c r="PM136"/>
      <c r="PN136"/>
      <c r="PO136"/>
      <c r="PP136"/>
      <c r="PQ136"/>
      <c r="PR136"/>
      <c r="PS136"/>
      <c r="PT136"/>
      <c r="PU136"/>
      <c r="PV136"/>
      <c r="PW136"/>
      <c r="PX136"/>
      <c r="PY136"/>
      <c r="PZ136"/>
      <c r="QA136"/>
      <c r="QB136"/>
      <c r="QC136"/>
      <c r="QD136"/>
      <c r="QE136"/>
      <c r="QF136"/>
      <c r="QG136"/>
      <c r="QH136"/>
      <c r="QI136"/>
      <c r="QJ136"/>
      <c r="QK136"/>
      <c r="QL136"/>
      <c r="QM136"/>
      <c r="QN136"/>
      <c r="QO136"/>
      <c r="QP136"/>
      <c r="QQ136"/>
      <c r="QR136"/>
      <c r="QS136"/>
      <c r="QT136"/>
      <c r="QU136"/>
      <c r="QV136"/>
      <c r="QW136"/>
      <c r="QX136"/>
      <c r="QY136"/>
      <c r="QZ136"/>
      <c r="RA136"/>
      <c r="RB136"/>
      <c r="RC136"/>
      <c r="RD136"/>
      <c r="RE136"/>
      <c r="RF136"/>
      <c r="RG136"/>
      <c r="RH136"/>
      <c r="RI136"/>
      <c r="RJ136"/>
      <c r="RK136"/>
      <c r="RL136"/>
      <c r="RM136"/>
      <c r="RN136"/>
      <c r="RO136"/>
      <c r="RP136"/>
      <c r="RQ136"/>
      <c r="RR136"/>
      <c r="RS136"/>
      <c r="RT136"/>
      <c r="RU136"/>
      <c r="RV136"/>
      <c r="RW136"/>
      <c r="RX136"/>
      <c r="RY136"/>
      <c r="RZ136"/>
      <c r="SA136"/>
      <c r="SB136"/>
      <c r="SC136"/>
      <c r="SD136"/>
      <c r="SE136"/>
      <c r="SF136"/>
      <c r="SG136"/>
      <c r="SH136"/>
      <c r="SI136"/>
      <c r="SJ136"/>
      <c r="SK136"/>
      <c r="SL136"/>
      <c r="SM136"/>
      <c r="SN136"/>
      <c r="SO136"/>
      <c r="SP136"/>
      <c r="SQ136"/>
      <c r="SR136"/>
      <c r="SS136"/>
      <c r="ST136"/>
      <c r="SU136"/>
      <c r="SV136"/>
      <c r="SW136"/>
      <c r="SX136"/>
      <c r="SY136"/>
      <c r="SZ136"/>
      <c r="TA136"/>
      <c r="TB136"/>
      <c r="TC136"/>
      <c r="TD136"/>
      <c r="TE136"/>
      <c r="TF136"/>
      <c r="TG136"/>
      <c r="TH136"/>
    </row>
    <row r="137" spans="3:528" x14ac:dyDescent="0.25">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c r="PC137"/>
      <c r="PD137"/>
      <c r="PE137"/>
      <c r="PF137"/>
      <c r="PG137"/>
      <c r="PH137"/>
      <c r="PI137"/>
      <c r="PJ137"/>
      <c r="PK137"/>
      <c r="PL137"/>
      <c r="PM137"/>
      <c r="PN137"/>
      <c r="PO137"/>
      <c r="PP137"/>
      <c r="PQ137"/>
      <c r="PR137"/>
      <c r="PS137"/>
      <c r="PT137"/>
      <c r="PU137"/>
      <c r="PV137"/>
      <c r="PW137"/>
      <c r="PX137"/>
      <c r="PY137"/>
      <c r="PZ137"/>
      <c r="QA137"/>
      <c r="QB137"/>
      <c r="QC137"/>
      <c r="QD137"/>
      <c r="QE137"/>
      <c r="QF137"/>
      <c r="QG137"/>
      <c r="QH137"/>
      <c r="QI137"/>
      <c r="QJ137"/>
      <c r="QK137"/>
      <c r="QL137"/>
      <c r="QM137"/>
      <c r="QN137"/>
      <c r="QO137"/>
      <c r="QP137"/>
      <c r="QQ137"/>
      <c r="QR137"/>
      <c r="QS137"/>
      <c r="QT137"/>
      <c r="QU137"/>
      <c r="QV137"/>
      <c r="QW137"/>
      <c r="QX137"/>
      <c r="QY137"/>
      <c r="QZ137"/>
      <c r="RA137"/>
      <c r="RB137"/>
      <c r="RC137"/>
      <c r="RD137"/>
      <c r="RE137"/>
      <c r="RF137"/>
      <c r="RG137"/>
      <c r="RH137"/>
      <c r="RI137"/>
      <c r="RJ137"/>
      <c r="RK137"/>
      <c r="RL137"/>
      <c r="RM137"/>
      <c r="RN137"/>
      <c r="RO137"/>
      <c r="RP137"/>
      <c r="RQ137"/>
      <c r="RR137"/>
      <c r="RS137"/>
      <c r="RT137"/>
      <c r="RU137"/>
      <c r="RV137"/>
      <c r="RW137"/>
      <c r="RX137"/>
      <c r="RY137"/>
      <c r="RZ137"/>
      <c r="SA137"/>
      <c r="SB137"/>
      <c r="SC137"/>
      <c r="SD137"/>
      <c r="SE137"/>
      <c r="SF137"/>
      <c r="SG137"/>
      <c r="SH137"/>
      <c r="SI137"/>
      <c r="SJ137"/>
      <c r="SK137"/>
      <c r="SL137"/>
      <c r="SM137"/>
      <c r="SN137"/>
      <c r="SO137"/>
      <c r="SP137"/>
      <c r="SQ137"/>
      <c r="SR137"/>
      <c r="SS137"/>
      <c r="ST137"/>
      <c r="SU137"/>
      <c r="SV137"/>
      <c r="SW137"/>
      <c r="SX137"/>
      <c r="SY137"/>
      <c r="SZ137"/>
      <c r="TA137"/>
      <c r="TB137"/>
      <c r="TC137"/>
      <c r="TD137"/>
      <c r="TE137"/>
      <c r="TF137"/>
      <c r="TG137"/>
      <c r="TH137"/>
    </row>
    <row r="138" spans="3:528" x14ac:dyDescent="0.25">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c r="PC138"/>
      <c r="PD138"/>
      <c r="PE138"/>
      <c r="PF138"/>
      <c r="PG138"/>
      <c r="PH138"/>
      <c r="PI138"/>
      <c r="PJ138"/>
      <c r="PK138"/>
      <c r="PL138"/>
      <c r="PM138"/>
      <c r="PN138"/>
      <c r="PO138"/>
      <c r="PP138"/>
      <c r="PQ138"/>
      <c r="PR138"/>
      <c r="PS138"/>
      <c r="PT138"/>
      <c r="PU138"/>
      <c r="PV138"/>
      <c r="PW138"/>
      <c r="PX138"/>
      <c r="PY138"/>
      <c r="PZ138"/>
      <c r="QA138"/>
      <c r="QB138"/>
      <c r="QC138"/>
      <c r="QD138"/>
      <c r="QE138"/>
      <c r="QF138"/>
      <c r="QG138"/>
      <c r="QH138"/>
      <c r="QI138"/>
      <c r="QJ138"/>
      <c r="QK138"/>
      <c r="QL138"/>
      <c r="QM138"/>
      <c r="QN138"/>
      <c r="QO138"/>
      <c r="QP138"/>
      <c r="QQ138"/>
      <c r="QR138"/>
      <c r="QS138"/>
      <c r="QT138"/>
      <c r="QU138"/>
      <c r="QV138"/>
      <c r="QW138"/>
      <c r="QX138"/>
      <c r="QY138"/>
      <c r="QZ138"/>
      <c r="RA138"/>
      <c r="RB138"/>
      <c r="RC138"/>
      <c r="RD138"/>
      <c r="RE138"/>
      <c r="RF138"/>
      <c r="RG138"/>
      <c r="RH138"/>
      <c r="RI138"/>
      <c r="RJ138"/>
      <c r="RK138"/>
      <c r="RL138"/>
      <c r="RM138"/>
      <c r="RN138"/>
      <c r="RO138"/>
      <c r="RP138"/>
      <c r="RQ138"/>
      <c r="RR138"/>
      <c r="RS138"/>
      <c r="RT138"/>
      <c r="RU138"/>
      <c r="RV138"/>
      <c r="RW138"/>
      <c r="RX138"/>
      <c r="RY138"/>
      <c r="RZ138"/>
      <c r="SA138"/>
      <c r="SB138"/>
      <c r="SC138"/>
      <c r="SD138"/>
      <c r="SE138"/>
      <c r="SF138"/>
      <c r="SG138"/>
      <c r="SH138"/>
      <c r="SI138"/>
      <c r="SJ138"/>
      <c r="SK138"/>
      <c r="SL138"/>
      <c r="SM138"/>
      <c r="SN138"/>
      <c r="SO138"/>
      <c r="SP138"/>
      <c r="SQ138"/>
      <c r="SR138"/>
      <c r="SS138"/>
      <c r="ST138"/>
      <c r="SU138"/>
      <c r="SV138"/>
      <c r="SW138"/>
      <c r="SX138"/>
      <c r="SY138"/>
      <c r="SZ138"/>
      <c r="TA138"/>
      <c r="TB138"/>
      <c r="TC138"/>
      <c r="TD138"/>
      <c r="TE138"/>
      <c r="TF138"/>
      <c r="TG138"/>
      <c r="TH138"/>
    </row>
    <row r="139" spans="3:528" x14ac:dyDescent="0.25">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c r="PC139"/>
      <c r="PD139"/>
      <c r="PE139"/>
      <c r="PF139"/>
      <c r="PG139"/>
      <c r="PH139"/>
      <c r="PI139"/>
      <c r="PJ139"/>
      <c r="PK139"/>
      <c r="PL139"/>
      <c r="PM139"/>
      <c r="PN139"/>
      <c r="PO139"/>
      <c r="PP139"/>
      <c r="PQ139"/>
      <c r="PR139"/>
      <c r="PS139"/>
      <c r="PT139"/>
      <c r="PU139"/>
      <c r="PV139"/>
      <c r="PW139"/>
      <c r="PX139"/>
      <c r="PY139"/>
      <c r="PZ139"/>
      <c r="QA139"/>
      <c r="QB139"/>
      <c r="QC139"/>
      <c r="QD139"/>
      <c r="QE139"/>
      <c r="QF139"/>
      <c r="QG139"/>
      <c r="QH139"/>
      <c r="QI139"/>
      <c r="QJ139"/>
      <c r="QK139"/>
      <c r="QL139"/>
      <c r="QM139"/>
      <c r="QN139"/>
      <c r="QO139"/>
      <c r="QP139"/>
      <c r="QQ139"/>
      <c r="QR139"/>
      <c r="QS139"/>
      <c r="QT139"/>
      <c r="QU139"/>
      <c r="QV139"/>
      <c r="QW139"/>
      <c r="QX139"/>
      <c r="QY139"/>
      <c r="QZ139"/>
      <c r="RA139"/>
      <c r="RB139"/>
      <c r="RC139"/>
      <c r="RD139"/>
      <c r="RE139"/>
      <c r="RF139"/>
      <c r="RG139"/>
      <c r="RH139"/>
      <c r="RI139"/>
      <c r="RJ139"/>
      <c r="RK139"/>
      <c r="RL139"/>
      <c r="RM139"/>
      <c r="RN139"/>
      <c r="RO139"/>
      <c r="RP139"/>
      <c r="RQ139"/>
      <c r="RR139"/>
      <c r="RS139"/>
      <c r="RT139"/>
      <c r="RU139"/>
      <c r="RV139"/>
      <c r="RW139"/>
      <c r="RX139"/>
      <c r="RY139"/>
      <c r="RZ139"/>
      <c r="SA139"/>
      <c r="SB139"/>
      <c r="SC139"/>
      <c r="SD139"/>
      <c r="SE139"/>
      <c r="SF139"/>
      <c r="SG139"/>
      <c r="SH139"/>
      <c r="SI139"/>
      <c r="SJ139"/>
      <c r="SK139"/>
      <c r="SL139"/>
      <c r="SM139"/>
      <c r="SN139"/>
      <c r="SO139"/>
      <c r="SP139"/>
      <c r="SQ139"/>
      <c r="SR139"/>
      <c r="SS139"/>
      <c r="ST139"/>
      <c r="SU139"/>
      <c r="SV139"/>
      <c r="SW139"/>
      <c r="SX139"/>
      <c r="SY139"/>
      <c r="SZ139"/>
      <c r="TA139"/>
      <c r="TB139"/>
      <c r="TC139"/>
      <c r="TD139"/>
      <c r="TE139"/>
      <c r="TF139"/>
      <c r="TG139"/>
      <c r="TH139"/>
    </row>
    <row r="140" spans="3:528" x14ac:dyDescent="0.25">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c r="PC140"/>
      <c r="PD140"/>
      <c r="PE140"/>
      <c r="PF140"/>
      <c r="PG140"/>
      <c r="PH140"/>
      <c r="PI140"/>
      <c r="PJ140"/>
      <c r="PK140"/>
      <c r="PL140"/>
      <c r="PM140"/>
      <c r="PN140"/>
      <c r="PO140"/>
      <c r="PP140"/>
      <c r="PQ140"/>
      <c r="PR140"/>
      <c r="PS140"/>
      <c r="PT140"/>
      <c r="PU140"/>
      <c r="PV140"/>
      <c r="PW140"/>
      <c r="PX140"/>
      <c r="PY140"/>
      <c r="PZ140"/>
      <c r="QA140"/>
      <c r="QB140"/>
      <c r="QC140"/>
      <c r="QD140"/>
      <c r="QE140"/>
      <c r="QF140"/>
      <c r="QG140"/>
      <c r="QH140"/>
      <c r="QI140"/>
      <c r="QJ140"/>
      <c r="QK140"/>
      <c r="QL140"/>
      <c r="QM140"/>
      <c r="QN140"/>
      <c r="QO140"/>
      <c r="QP140"/>
      <c r="QQ140"/>
      <c r="QR140"/>
      <c r="QS140"/>
      <c r="QT140"/>
      <c r="QU140"/>
      <c r="QV140"/>
      <c r="QW140"/>
      <c r="QX140"/>
      <c r="QY140"/>
      <c r="QZ140"/>
      <c r="RA140"/>
      <c r="RB140"/>
      <c r="RC140"/>
      <c r="RD140"/>
      <c r="RE140"/>
      <c r="RF140"/>
      <c r="RG140"/>
      <c r="RH140"/>
      <c r="RI140"/>
      <c r="RJ140"/>
      <c r="RK140"/>
      <c r="RL140"/>
      <c r="RM140"/>
      <c r="RN140"/>
      <c r="RO140"/>
      <c r="RP140"/>
      <c r="RQ140"/>
      <c r="RR140"/>
      <c r="RS140"/>
      <c r="RT140"/>
      <c r="RU140"/>
      <c r="RV140"/>
      <c r="RW140"/>
      <c r="RX140"/>
      <c r="RY140"/>
      <c r="RZ140"/>
      <c r="SA140"/>
      <c r="SB140"/>
      <c r="SC140"/>
      <c r="SD140"/>
      <c r="SE140"/>
      <c r="SF140"/>
      <c r="SG140"/>
      <c r="SH140"/>
      <c r="SI140"/>
      <c r="SJ140"/>
      <c r="SK140"/>
      <c r="SL140"/>
      <c r="SM140"/>
      <c r="SN140"/>
      <c r="SO140"/>
      <c r="SP140"/>
      <c r="SQ140"/>
      <c r="SR140"/>
      <c r="SS140"/>
      <c r="ST140"/>
      <c r="SU140"/>
      <c r="SV140"/>
      <c r="SW140"/>
      <c r="SX140"/>
      <c r="SY140"/>
      <c r="SZ140"/>
      <c r="TA140"/>
      <c r="TB140"/>
      <c r="TC140"/>
      <c r="TD140"/>
      <c r="TE140"/>
      <c r="TF140"/>
      <c r="TG140"/>
      <c r="TH140"/>
    </row>
    <row r="141" spans="3:528" x14ac:dyDescent="0.25">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c r="PC141"/>
      <c r="PD141"/>
      <c r="PE141"/>
      <c r="PF141"/>
      <c r="PG141"/>
      <c r="PH141"/>
      <c r="PI141"/>
      <c r="PJ141"/>
      <c r="PK141"/>
      <c r="PL141"/>
      <c r="PM141"/>
      <c r="PN141"/>
      <c r="PO141"/>
      <c r="PP141"/>
      <c r="PQ141"/>
      <c r="PR141"/>
      <c r="PS141"/>
      <c r="PT141"/>
      <c r="PU141"/>
      <c r="PV141"/>
      <c r="PW141"/>
      <c r="PX141"/>
      <c r="PY141"/>
      <c r="PZ141"/>
      <c r="QA141"/>
      <c r="QB141"/>
      <c r="QC141"/>
      <c r="QD141"/>
      <c r="QE141"/>
      <c r="QF141"/>
      <c r="QG141"/>
      <c r="QH141"/>
      <c r="QI141"/>
      <c r="QJ141"/>
      <c r="QK141"/>
      <c r="QL141"/>
      <c r="QM141"/>
      <c r="QN141"/>
      <c r="QO141"/>
      <c r="QP141"/>
      <c r="QQ141"/>
      <c r="QR141"/>
      <c r="QS141"/>
      <c r="QT141"/>
      <c r="QU141"/>
      <c r="QV141"/>
      <c r="QW141"/>
      <c r="QX141"/>
      <c r="QY141"/>
      <c r="QZ141"/>
      <c r="RA141"/>
      <c r="RB141"/>
      <c r="RC141"/>
      <c r="RD141"/>
      <c r="RE141"/>
      <c r="RF141"/>
      <c r="RG141"/>
      <c r="RH141"/>
      <c r="RI141"/>
      <c r="RJ141"/>
      <c r="RK141"/>
      <c r="RL141"/>
      <c r="RM141"/>
      <c r="RN141"/>
      <c r="RO141"/>
      <c r="RP141"/>
      <c r="RQ141"/>
      <c r="RR141"/>
      <c r="RS141"/>
      <c r="RT141"/>
      <c r="RU141"/>
      <c r="RV141"/>
      <c r="RW141"/>
      <c r="RX141"/>
      <c r="RY141"/>
      <c r="RZ141"/>
      <c r="SA141"/>
      <c r="SB141"/>
      <c r="SC141"/>
      <c r="SD141"/>
      <c r="SE141"/>
      <c r="SF141"/>
      <c r="SG141"/>
      <c r="SH141"/>
      <c r="SI141"/>
      <c r="SJ141"/>
      <c r="SK141"/>
      <c r="SL141"/>
      <c r="SM141"/>
      <c r="SN141"/>
      <c r="SO141"/>
      <c r="SP141"/>
      <c r="SQ141"/>
      <c r="SR141"/>
      <c r="SS141"/>
      <c r="ST141"/>
      <c r="SU141"/>
      <c r="SV141"/>
      <c r="SW141"/>
      <c r="SX141"/>
      <c r="SY141"/>
      <c r="SZ141"/>
      <c r="TA141"/>
      <c r="TB141"/>
      <c r="TC141"/>
      <c r="TD141"/>
      <c r="TE141"/>
      <c r="TF141"/>
      <c r="TG141"/>
      <c r="TH141"/>
    </row>
    <row r="142" spans="3:528" x14ac:dyDescent="0.25">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c r="PC142"/>
      <c r="PD142"/>
      <c r="PE142"/>
      <c r="PF142"/>
      <c r="PG142"/>
      <c r="PH142"/>
      <c r="PI142"/>
      <c r="PJ142"/>
      <c r="PK142"/>
      <c r="PL142"/>
      <c r="PM142"/>
      <c r="PN142"/>
      <c r="PO142"/>
      <c r="PP142"/>
      <c r="PQ142"/>
      <c r="PR142"/>
      <c r="PS142"/>
      <c r="PT142"/>
      <c r="PU142"/>
      <c r="PV142"/>
      <c r="PW142"/>
      <c r="PX142"/>
      <c r="PY142"/>
      <c r="PZ142"/>
      <c r="QA142"/>
      <c r="QB142"/>
      <c r="QC142"/>
      <c r="QD142"/>
      <c r="QE142"/>
      <c r="QF142"/>
      <c r="QG142"/>
      <c r="QH142"/>
      <c r="QI142"/>
      <c r="QJ142"/>
      <c r="QK142"/>
      <c r="QL142"/>
      <c r="QM142"/>
      <c r="QN142"/>
      <c r="QO142"/>
      <c r="QP142"/>
      <c r="QQ142"/>
      <c r="QR142"/>
      <c r="QS142"/>
      <c r="QT142"/>
      <c r="QU142"/>
      <c r="QV142"/>
      <c r="QW142"/>
      <c r="QX142"/>
      <c r="QY142"/>
      <c r="QZ142"/>
      <c r="RA142"/>
      <c r="RB142"/>
      <c r="RC142"/>
      <c r="RD142"/>
      <c r="RE142"/>
      <c r="RF142"/>
      <c r="RG142"/>
      <c r="RH142"/>
      <c r="RI142"/>
      <c r="RJ142"/>
      <c r="RK142"/>
      <c r="RL142"/>
      <c r="RM142"/>
      <c r="RN142"/>
      <c r="RO142"/>
      <c r="RP142"/>
      <c r="RQ142"/>
      <c r="RR142"/>
      <c r="RS142"/>
      <c r="RT142"/>
      <c r="RU142"/>
      <c r="RV142"/>
      <c r="RW142"/>
      <c r="RX142"/>
      <c r="RY142"/>
      <c r="RZ142"/>
      <c r="SA142"/>
      <c r="SB142"/>
      <c r="SC142"/>
      <c r="SD142"/>
      <c r="SE142"/>
      <c r="SF142"/>
      <c r="SG142"/>
      <c r="SH142"/>
      <c r="SI142"/>
      <c r="SJ142"/>
      <c r="SK142"/>
      <c r="SL142"/>
      <c r="SM142"/>
      <c r="SN142"/>
      <c r="SO142"/>
      <c r="SP142"/>
      <c r="SQ142"/>
      <c r="SR142"/>
      <c r="SS142"/>
      <c r="ST142"/>
      <c r="SU142"/>
      <c r="SV142"/>
      <c r="SW142"/>
      <c r="SX142"/>
      <c r="SY142"/>
      <c r="SZ142"/>
      <c r="TA142"/>
      <c r="TB142"/>
      <c r="TC142"/>
      <c r="TD142"/>
      <c r="TE142"/>
      <c r="TF142"/>
      <c r="TG142"/>
      <c r="TH142"/>
    </row>
    <row r="143" spans="3:528" x14ac:dyDescent="0.25">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c r="PC143"/>
      <c r="PD143"/>
      <c r="PE143"/>
      <c r="PF143"/>
      <c r="PG143"/>
      <c r="PH143"/>
      <c r="PI143"/>
      <c r="PJ143"/>
      <c r="PK143"/>
      <c r="PL143"/>
      <c r="PM143"/>
      <c r="PN143"/>
      <c r="PO143"/>
      <c r="PP143"/>
      <c r="PQ143"/>
      <c r="PR143"/>
      <c r="PS143"/>
      <c r="PT143"/>
      <c r="PU143"/>
      <c r="PV143"/>
      <c r="PW143"/>
      <c r="PX143"/>
      <c r="PY143"/>
      <c r="PZ143"/>
      <c r="QA143"/>
      <c r="QB143"/>
      <c r="QC143"/>
      <c r="QD143"/>
      <c r="QE143"/>
      <c r="QF143"/>
      <c r="QG143"/>
      <c r="QH143"/>
      <c r="QI143"/>
      <c r="QJ143"/>
      <c r="QK143"/>
      <c r="QL143"/>
      <c r="QM143"/>
      <c r="QN143"/>
      <c r="QO143"/>
      <c r="QP143"/>
      <c r="QQ143"/>
      <c r="QR143"/>
      <c r="QS143"/>
      <c r="QT143"/>
      <c r="QU143"/>
      <c r="QV143"/>
      <c r="QW143"/>
      <c r="QX143"/>
      <c r="QY143"/>
      <c r="QZ143"/>
      <c r="RA143"/>
      <c r="RB143"/>
      <c r="RC143"/>
      <c r="RD143"/>
      <c r="RE143"/>
      <c r="RF143"/>
      <c r="RG143"/>
      <c r="RH143"/>
      <c r="RI143"/>
      <c r="RJ143"/>
      <c r="RK143"/>
      <c r="RL143"/>
      <c r="RM143"/>
      <c r="RN143"/>
      <c r="RO143"/>
      <c r="RP143"/>
      <c r="RQ143"/>
      <c r="RR143"/>
      <c r="RS143"/>
      <c r="RT143"/>
      <c r="RU143"/>
      <c r="RV143"/>
      <c r="RW143"/>
      <c r="RX143"/>
      <c r="RY143"/>
      <c r="RZ143"/>
      <c r="SA143"/>
      <c r="SB143"/>
      <c r="SC143"/>
      <c r="SD143"/>
      <c r="SE143"/>
      <c r="SF143"/>
      <c r="SG143"/>
      <c r="SH143"/>
      <c r="SI143"/>
      <c r="SJ143"/>
      <c r="SK143"/>
      <c r="SL143"/>
      <c r="SM143"/>
      <c r="SN143"/>
      <c r="SO143"/>
      <c r="SP143"/>
      <c r="SQ143"/>
      <c r="SR143"/>
      <c r="SS143"/>
      <c r="ST143"/>
      <c r="SU143"/>
      <c r="SV143"/>
      <c r="SW143"/>
      <c r="SX143"/>
      <c r="SY143"/>
      <c r="SZ143"/>
      <c r="TA143"/>
      <c r="TB143"/>
      <c r="TC143"/>
      <c r="TD143"/>
      <c r="TE143"/>
      <c r="TF143"/>
      <c r="TG143"/>
      <c r="TH143"/>
    </row>
    <row r="144" spans="3:528" x14ac:dyDescent="0.25">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c r="PC144"/>
      <c r="PD144"/>
      <c r="PE144"/>
      <c r="PF144"/>
      <c r="PG144"/>
      <c r="PH144"/>
      <c r="PI144"/>
      <c r="PJ144"/>
      <c r="PK144"/>
      <c r="PL144"/>
      <c r="PM144"/>
      <c r="PN144"/>
      <c r="PO144"/>
      <c r="PP144"/>
      <c r="PQ144"/>
      <c r="PR144"/>
      <c r="PS144"/>
      <c r="PT144"/>
      <c r="PU144"/>
      <c r="PV144"/>
      <c r="PW144"/>
      <c r="PX144"/>
      <c r="PY144"/>
      <c r="PZ144"/>
      <c r="QA144"/>
      <c r="QB144"/>
      <c r="QC144"/>
      <c r="QD144"/>
      <c r="QE144"/>
      <c r="QF144"/>
      <c r="QG144"/>
      <c r="QH144"/>
      <c r="QI144"/>
      <c r="QJ144"/>
      <c r="QK144"/>
      <c r="QL144"/>
      <c r="QM144"/>
      <c r="QN144"/>
      <c r="QO144"/>
      <c r="QP144"/>
      <c r="QQ144"/>
      <c r="QR144"/>
      <c r="QS144"/>
      <c r="QT144"/>
      <c r="QU144"/>
      <c r="QV144"/>
      <c r="QW144"/>
      <c r="QX144"/>
      <c r="QY144"/>
      <c r="QZ144"/>
      <c r="RA144"/>
      <c r="RB144"/>
      <c r="RC144"/>
      <c r="RD144"/>
      <c r="RE144"/>
      <c r="RF144"/>
      <c r="RG144"/>
      <c r="RH144"/>
      <c r="RI144"/>
      <c r="RJ144"/>
      <c r="RK144"/>
      <c r="RL144"/>
      <c r="RM144"/>
      <c r="RN144"/>
      <c r="RO144"/>
      <c r="RP144"/>
      <c r="RQ144"/>
      <c r="RR144"/>
      <c r="RS144"/>
      <c r="RT144"/>
      <c r="RU144"/>
      <c r="RV144"/>
      <c r="RW144"/>
      <c r="RX144"/>
      <c r="RY144"/>
      <c r="RZ144"/>
      <c r="SA144"/>
      <c r="SB144"/>
      <c r="SC144"/>
      <c r="SD144"/>
      <c r="SE144"/>
      <c r="SF144"/>
      <c r="SG144"/>
      <c r="SH144"/>
      <c r="SI144"/>
      <c r="SJ144"/>
      <c r="SK144"/>
      <c r="SL144"/>
      <c r="SM144"/>
      <c r="SN144"/>
      <c r="SO144"/>
      <c r="SP144"/>
      <c r="SQ144"/>
      <c r="SR144"/>
      <c r="SS144"/>
      <c r="ST144"/>
      <c r="SU144"/>
      <c r="SV144"/>
      <c r="SW144"/>
      <c r="SX144"/>
      <c r="SY144"/>
      <c r="SZ144"/>
      <c r="TA144"/>
      <c r="TB144"/>
      <c r="TC144"/>
      <c r="TD144"/>
      <c r="TE144"/>
      <c r="TF144"/>
      <c r="TG144"/>
      <c r="TH144"/>
    </row>
    <row r="145" spans="3:528" x14ac:dyDescent="0.2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c r="PC145"/>
      <c r="PD145"/>
      <c r="PE145"/>
      <c r="PF145"/>
      <c r="PG145"/>
      <c r="PH145"/>
      <c r="PI145"/>
      <c r="PJ145"/>
      <c r="PK145"/>
      <c r="PL145"/>
      <c r="PM145"/>
      <c r="PN145"/>
      <c r="PO145"/>
      <c r="PP145"/>
      <c r="PQ145"/>
      <c r="PR145"/>
      <c r="PS145"/>
      <c r="PT145"/>
      <c r="PU145"/>
      <c r="PV145"/>
      <c r="PW145"/>
      <c r="PX145"/>
      <c r="PY145"/>
      <c r="PZ145"/>
      <c r="QA145"/>
      <c r="QB145"/>
      <c r="QC145"/>
      <c r="QD145"/>
      <c r="QE145"/>
      <c r="QF145"/>
      <c r="QG145"/>
      <c r="QH145"/>
      <c r="QI145"/>
      <c r="QJ145"/>
      <c r="QK145"/>
      <c r="QL145"/>
      <c r="QM145"/>
      <c r="QN145"/>
      <c r="QO145"/>
      <c r="QP145"/>
      <c r="QQ145"/>
      <c r="QR145"/>
      <c r="QS145"/>
      <c r="QT145"/>
      <c r="QU145"/>
      <c r="QV145"/>
      <c r="QW145"/>
      <c r="QX145"/>
      <c r="QY145"/>
      <c r="QZ145"/>
      <c r="RA145"/>
      <c r="RB145"/>
      <c r="RC145"/>
      <c r="RD145"/>
      <c r="RE145"/>
      <c r="RF145"/>
      <c r="RG145"/>
      <c r="RH145"/>
      <c r="RI145"/>
      <c r="RJ145"/>
      <c r="RK145"/>
      <c r="RL145"/>
      <c r="RM145"/>
      <c r="RN145"/>
      <c r="RO145"/>
      <c r="RP145"/>
      <c r="RQ145"/>
      <c r="RR145"/>
      <c r="RS145"/>
      <c r="RT145"/>
      <c r="RU145"/>
      <c r="RV145"/>
      <c r="RW145"/>
      <c r="RX145"/>
      <c r="RY145"/>
      <c r="RZ145"/>
      <c r="SA145"/>
      <c r="SB145"/>
      <c r="SC145"/>
      <c r="SD145"/>
      <c r="SE145"/>
      <c r="SF145"/>
      <c r="SG145"/>
      <c r="SH145"/>
      <c r="SI145"/>
      <c r="SJ145"/>
      <c r="SK145"/>
      <c r="SL145"/>
      <c r="SM145"/>
      <c r="SN145"/>
      <c r="SO145"/>
      <c r="SP145"/>
      <c r="SQ145"/>
      <c r="SR145"/>
      <c r="SS145"/>
      <c r="ST145"/>
      <c r="SU145"/>
      <c r="SV145"/>
      <c r="SW145"/>
      <c r="SX145"/>
      <c r="SY145"/>
      <c r="SZ145"/>
      <c r="TA145"/>
      <c r="TB145"/>
      <c r="TC145"/>
      <c r="TD145"/>
      <c r="TE145"/>
      <c r="TF145"/>
      <c r="TG145"/>
      <c r="TH145"/>
    </row>
    <row r="146" spans="3:528" x14ac:dyDescent="0.25">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c r="PC146"/>
      <c r="PD146"/>
      <c r="PE146"/>
      <c r="PF146"/>
      <c r="PG146"/>
      <c r="PH146"/>
      <c r="PI146"/>
      <c r="PJ146"/>
      <c r="PK146"/>
      <c r="PL146"/>
      <c r="PM146"/>
      <c r="PN146"/>
      <c r="PO146"/>
      <c r="PP146"/>
      <c r="PQ146"/>
      <c r="PR146"/>
      <c r="PS146"/>
      <c r="PT146"/>
      <c r="PU146"/>
      <c r="PV146"/>
      <c r="PW146"/>
      <c r="PX146"/>
      <c r="PY146"/>
      <c r="PZ146"/>
      <c r="QA146"/>
      <c r="QB146"/>
      <c r="QC146"/>
      <c r="QD146"/>
      <c r="QE146"/>
      <c r="QF146"/>
      <c r="QG146"/>
      <c r="QH146"/>
      <c r="QI146"/>
      <c r="QJ146"/>
      <c r="QK146"/>
      <c r="QL146"/>
      <c r="QM146"/>
      <c r="QN146"/>
      <c r="QO146"/>
      <c r="QP146"/>
      <c r="QQ146"/>
      <c r="QR146"/>
      <c r="QS146"/>
      <c r="QT146"/>
      <c r="QU146"/>
      <c r="QV146"/>
      <c r="QW146"/>
      <c r="QX146"/>
      <c r="QY146"/>
      <c r="QZ146"/>
      <c r="RA146"/>
      <c r="RB146"/>
      <c r="RC146"/>
      <c r="RD146"/>
      <c r="RE146"/>
      <c r="RF146"/>
      <c r="RG146"/>
      <c r="RH146"/>
      <c r="RI146"/>
      <c r="RJ146"/>
      <c r="RK146"/>
      <c r="RL146"/>
      <c r="RM146"/>
      <c r="RN146"/>
      <c r="RO146"/>
      <c r="RP146"/>
      <c r="RQ146"/>
      <c r="RR146"/>
      <c r="RS146"/>
      <c r="RT146"/>
      <c r="RU146"/>
      <c r="RV146"/>
      <c r="RW146"/>
      <c r="RX146"/>
      <c r="RY146"/>
      <c r="RZ146"/>
      <c r="SA146"/>
      <c r="SB146"/>
      <c r="SC146"/>
      <c r="SD146"/>
      <c r="SE146"/>
      <c r="SF146"/>
      <c r="SG146"/>
      <c r="SH146"/>
      <c r="SI146"/>
      <c r="SJ146"/>
      <c r="SK146"/>
      <c r="SL146"/>
      <c r="SM146"/>
      <c r="SN146"/>
      <c r="SO146"/>
      <c r="SP146"/>
      <c r="SQ146"/>
      <c r="SR146"/>
      <c r="SS146"/>
      <c r="ST146"/>
      <c r="SU146"/>
      <c r="SV146"/>
      <c r="SW146"/>
      <c r="SX146"/>
      <c r="SY146"/>
      <c r="SZ146"/>
      <c r="TA146"/>
      <c r="TB146"/>
      <c r="TC146"/>
      <c r="TD146"/>
      <c r="TE146"/>
      <c r="TF146"/>
      <c r="TG146"/>
      <c r="TH146"/>
    </row>
    <row r="147" spans="3:528" x14ac:dyDescent="0.25">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c r="PC147"/>
      <c r="PD147"/>
      <c r="PE147"/>
      <c r="PF147"/>
      <c r="PG147"/>
      <c r="PH147"/>
      <c r="PI147"/>
      <c r="PJ147"/>
      <c r="PK147"/>
      <c r="PL147"/>
      <c r="PM147"/>
      <c r="PN147"/>
      <c r="PO147"/>
      <c r="PP147"/>
      <c r="PQ147"/>
      <c r="PR147"/>
      <c r="PS147"/>
      <c r="PT147"/>
      <c r="PU147"/>
      <c r="PV147"/>
      <c r="PW147"/>
      <c r="PX147"/>
      <c r="PY147"/>
      <c r="PZ147"/>
      <c r="QA147"/>
      <c r="QB147"/>
      <c r="QC147"/>
      <c r="QD147"/>
      <c r="QE147"/>
      <c r="QF147"/>
      <c r="QG147"/>
      <c r="QH147"/>
      <c r="QI147"/>
      <c r="QJ147"/>
      <c r="QK147"/>
      <c r="QL147"/>
      <c r="QM147"/>
      <c r="QN147"/>
      <c r="QO147"/>
      <c r="QP147"/>
      <c r="QQ147"/>
      <c r="QR147"/>
      <c r="QS147"/>
      <c r="QT147"/>
      <c r="QU147"/>
      <c r="QV147"/>
      <c r="QW147"/>
      <c r="QX147"/>
      <c r="QY147"/>
      <c r="QZ147"/>
      <c r="RA147"/>
      <c r="RB147"/>
      <c r="RC147"/>
      <c r="RD147"/>
      <c r="RE147"/>
      <c r="RF147"/>
      <c r="RG147"/>
      <c r="RH147"/>
      <c r="RI147"/>
      <c r="RJ147"/>
      <c r="RK147"/>
      <c r="RL147"/>
      <c r="RM147"/>
      <c r="RN147"/>
      <c r="RO147"/>
      <c r="RP147"/>
      <c r="RQ147"/>
      <c r="RR147"/>
      <c r="RS147"/>
      <c r="RT147"/>
      <c r="RU147"/>
      <c r="RV147"/>
      <c r="RW147"/>
      <c r="RX147"/>
      <c r="RY147"/>
      <c r="RZ147"/>
      <c r="SA147"/>
      <c r="SB147"/>
      <c r="SC147"/>
      <c r="SD147"/>
      <c r="SE147"/>
      <c r="SF147"/>
      <c r="SG147"/>
      <c r="SH147"/>
      <c r="SI147"/>
      <c r="SJ147"/>
      <c r="SK147"/>
      <c r="SL147"/>
      <c r="SM147"/>
      <c r="SN147"/>
      <c r="SO147"/>
      <c r="SP147"/>
      <c r="SQ147"/>
      <c r="SR147"/>
      <c r="SS147"/>
      <c r="ST147"/>
      <c r="SU147"/>
      <c r="SV147"/>
      <c r="SW147"/>
      <c r="SX147"/>
      <c r="SY147"/>
      <c r="SZ147"/>
      <c r="TA147"/>
      <c r="TB147"/>
      <c r="TC147"/>
      <c r="TD147"/>
      <c r="TE147"/>
      <c r="TF147"/>
      <c r="TG147"/>
      <c r="TH147"/>
    </row>
    <row r="148" spans="3:528" x14ac:dyDescent="0.25">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c r="PC148"/>
      <c r="PD148"/>
      <c r="PE148"/>
      <c r="PF148"/>
      <c r="PG148"/>
      <c r="PH148"/>
      <c r="PI148"/>
      <c r="PJ148"/>
      <c r="PK148"/>
      <c r="PL148"/>
      <c r="PM148"/>
      <c r="PN148"/>
      <c r="PO148"/>
      <c r="PP148"/>
      <c r="PQ148"/>
      <c r="PR148"/>
      <c r="PS148"/>
      <c r="PT148"/>
      <c r="PU148"/>
      <c r="PV148"/>
      <c r="PW148"/>
      <c r="PX148"/>
      <c r="PY148"/>
      <c r="PZ148"/>
      <c r="QA148"/>
      <c r="QB148"/>
      <c r="QC148"/>
      <c r="QD148"/>
      <c r="QE148"/>
      <c r="QF148"/>
      <c r="QG148"/>
      <c r="QH148"/>
      <c r="QI148"/>
      <c r="QJ148"/>
      <c r="QK148"/>
      <c r="QL148"/>
      <c r="QM148"/>
      <c r="QN148"/>
      <c r="QO148"/>
      <c r="QP148"/>
      <c r="QQ148"/>
      <c r="QR148"/>
      <c r="QS148"/>
      <c r="QT148"/>
      <c r="QU148"/>
      <c r="QV148"/>
      <c r="QW148"/>
      <c r="QX148"/>
      <c r="QY148"/>
      <c r="QZ148"/>
      <c r="RA148"/>
      <c r="RB148"/>
      <c r="RC148"/>
      <c r="RD148"/>
      <c r="RE148"/>
      <c r="RF148"/>
      <c r="RG148"/>
      <c r="RH148"/>
      <c r="RI148"/>
      <c r="RJ148"/>
      <c r="RK148"/>
      <c r="RL148"/>
      <c r="RM148"/>
      <c r="RN148"/>
      <c r="RO148"/>
      <c r="RP148"/>
      <c r="RQ148"/>
      <c r="RR148"/>
      <c r="RS148"/>
      <c r="RT148"/>
      <c r="RU148"/>
      <c r="RV148"/>
      <c r="RW148"/>
      <c r="RX148"/>
      <c r="RY148"/>
      <c r="RZ148"/>
      <c r="SA148"/>
      <c r="SB148"/>
      <c r="SC148"/>
      <c r="SD148"/>
      <c r="SE148"/>
      <c r="SF148"/>
      <c r="SG148"/>
      <c r="SH148"/>
      <c r="SI148"/>
      <c r="SJ148"/>
      <c r="SK148"/>
      <c r="SL148"/>
      <c r="SM148"/>
      <c r="SN148"/>
      <c r="SO148"/>
      <c r="SP148"/>
      <c r="SQ148"/>
      <c r="SR148"/>
      <c r="SS148"/>
      <c r="ST148"/>
      <c r="SU148"/>
      <c r="SV148"/>
      <c r="SW148"/>
      <c r="SX148"/>
      <c r="SY148"/>
      <c r="SZ148"/>
      <c r="TA148"/>
      <c r="TB148"/>
      <c r="TC148"/>
      <c r="TD148"/>
      <c r="TE148"/>
      <c r="TF148"/>
      <c r="TG148"/>
      <c r="TH148"/>
    </row>
    <row r="149" spans="3:528" x14ac:dyDescent="0.25">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c r="PC149"/>
      <c r="PD149"/>
      <c r="PE149"/>
      <c r="PF149"/>
      <c r="PG149"/>
      <c r="PH149"/>
      <c r="PI149"/>
      <c r="PJ149"/>
      <c r="PK149"/>
      <c r="PL149"/>
      <c r="PM149"/>
      <c r="PN149"/>
      <c r="PO149"/>
      <c r="PP149"/>
      <c r="PQ149"/>
      <c r="PR149"/>
      <c r="PS149"/>
      <c r="PT149"/>
      <c r="PU149"/>
      <c r="PV149"/>
      <c r="PW149"/>
      <c r="PX149"/>
      <c r="PY149"/>
      <c r="PZ149"/>
      <c r="QA149"/>
      <c r="QB149"/>
      <c r="QC149"/>
      <c r="QD149"/>
      <c r="QE149"/>
      <c r="QF149"/>
      <c r="QG149"/>
      <c r="QH149"/>
      <c r="QI149"/>
      <c r="QJ149"/>
      <c r="QK149"/>
      <c r="QL149"/>
      <c r="QM149"/>
      <c r="QN149"/>
      <c r="QO149"/>
      <c r="QP149"/>
      <c r="QQ149"/>
      <c r="QR149"/>
      <c r="QS149"/>
      <c r="QT149"/>
      <c r="QU149"/>
      <c r="QV149"/>
      <c r="QW149"/>
      <c r="QX149"/>
      <c r="QY149"/>
      <c r="QZ149"/>
      <c r="RA149"/>
      <c r="RB149"/>
      <c r="RC149"/>
      <c r="RD149"/>
      <c r="RE149"/>
      <c r="RF149"/>
      <c r="RG149"/>
      <c r="RH149"/>
      <c r="RI149"/>
      <c r="RJ149"/>
      <c r="RK149"/>
      <c r="RL149"/>
      <c r="RM149"/>
      <c r="RN149"/>
      <c r="RO149"/>
      <c r="RP149"/>
      <c r="RQ149"/>
      <c r="RR149"/>
      <c r="RS149"/>
      <c r="RT149"/>
      <c r="RU149"/>
      <c r="RV149"/>
      <c r="RW149"/>
      <c r="RX149"/>
      <c r="RY149"/>
      <c r="RZ149"/>
      <c r="SA149"/>
      <c r="SB149"/>
      <c r="SC149"/>
      <c r="SD149"/>
      <c r="SE149"/>
      <c r="SF149"/>
      <c r="SG149"/>
      <c r="SH149"/>
      <c r="SI149"/>
      <c r="SJ149"/>
      <c r="SK149"/>
      <c r="SL149"/>
      <c r="SM149"/>
      <c r="SN149"/>
      <c r="SO149"/>
      <c r="SP149"/>
      <c r="SQ149"/>
      <c r="SR149"/>
      <c r="SS149"/>
      <c r="ST149"/>
      <c r="SU149"/>
      <c r="SV149"/>
      <c r="SW149"/>
      <c r="SX149"/>
      <c r="SY149"/>
      <c r="SZ149"/>
      <c r="TA149"/>
      <c r="TB149"/>
      <c r="TC149"/>
      <c r="TD149"/>
      <c r="TE149"/>
      <c r="TF149"/>
      <c r="TG149"/>
      <c r="TH149"/>
    </row>
    <row r="150" spans="3:528" x14ac:dyDescent="0.25">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c r="PC150"/>
      <c r="PD150"/>
      <c r="PE150"/>
      <c r="PF150"/>
      <c r="PG150"/>
      <c r="PH150"/>
      <c r="PI150"/>
      <c r="PJ150"/>
      <c r="PK150"/>
      <c r="PL150"/>
      <c r="PM150"/>
      <c r="PN150"/>
      <c r="PO150"/>
      <c r="PP150"/>
      <c r="PQ150"/>
      <c r="PR150"/>
      <c r="PS150"/>
      <c r="PT150"/>
      <c r="PU150"/>
      <c r="PV150"/>
      <c r="PW150"/>
      <c r="PX150"/>
      <c r="PY150"/>
      <c r="PZ150"/>
      <c r="QA150"/>
      <c r="QB150"/>
      <c r="QC150"/>
      <c r="QD150"/>
      <c r="QE150"/>
      <c r="QF150"/>
      <c r="QG150"/>
      <c r="QH150"/>
      <c r="QI150"/>
      <c r="QJ150"/>
      <c r="QK150"/>
      <c r="QL150"/>
      <c r="QM150"/>
      <c r="QN150"/>
      <c r="QO150"/>
      <c r="QP150"/>
      <c r="QQ150"/>
      <c r="QR150"/>
      <c r="QS150"/>
      <c r="QT150"/>
      <c r="QU150"/>
      <c r="QV150"/>
      <c r="QW150"/>
      <c r="QX150"/>
      <c r="QY150"/>
      <c r="QZ150"/>
      <c r="RA150"/>
      <c r="RB150"/>
      <c r="RC150"/>
      <c r="RD150"/>
      <c r="RE150"/>
      <c r="RF150"/>
      <c r="RG150"/>
      <c r="RH150"/>
      <c r="RI150"/>
      <c r="RJ150"/>
      <c r="RK150"/>
      <c r="RL150"/>
      <c r="RM150"/>
      <c r="RN150"/>
      <c r="RO150"/>
      <c r="RP150"/>
      <c r="RQ150"/>
      <c r="RR150"/>
      <c r="RS150"/>
      <c r="RT150"/>
      <c r="RU150"/>
      <c r="RV150"/>
      <c r="RW150"/>
      <c r="RX150"/>
      <c r="RY150"/>
      <c r="RZ150"/>
      <c r="SA150"/>
      <c r="SB150"/>
      <c r="SC150"/>
      <c r="SD150"/>
      <c r="SE150"/>
      <c r="SF150"/>
      <c r="SG150"/>
      <c r="SH150"/>
      <c r="SI150"/>
      <c r="SJ150"/>
      <c r="SK150"/>
      <c r="SL150"/>
      <c r="SM150"/>
      <c r="SN150"/>
      <c r="SO150"/>
      <c r="SP150"/>
      <c r="SQ150"/>
      <c r="SR150"/>
      <c r="SS150"/>
      <c r="ST150"/>
      <c r="SU150"/>
      <c r="SV150"/>
      <c r="SW150"/>
      <c r="SX150"/>
      <c r="SY150"/>
      <c r="SZ150"/>
      <c r="TA150"/>
      <c r="TB150"/>
      <c r="TC150"/>
      <c r="TD150"/>
      <c r="TE150"/>
      <c r="TF150"/>
      <c r="TG150"/>
      <c r="TH150"/>
    </row>
    <row r="151" spans="3:528" x14ac:dyDescent="0.25">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c r="PC151"/>
      <c r="PD151"/>
      <c r="PE151"/>
      <c r="PF151"/>
      <c r="PG151"/>
      <c r="PH151"/>
      <c r="PI151"/>
      <c r="PJ151"/>
      <c r="PK151"/>
      <c r="PL151"/>
      <c r="PM151"/>
      <c r="PN151"/>
      <c r="PO151"/>
      <c r="PP151"/>
      <c r="PQ151"/>
      <c r="PR151"/>
      <c r="PS151"/>
      <c r="PT151"/>
      <c r="PU151"/>
      <c r="PV151"/>
      <c r="PW151"/>
      <c r="PX151"/>
      <c r="PY151"/>
      <c r="PZ151"/>
      <c r="QA151"/>
      <c r="QB151"/>
      <c r="QC151"/>
      <c r="QD151"/>
      <c r="QE151"/>
      <c r="QF151"/>
      <c r="QG151"/>
      <c r="QH151"/>
      <c r="QI151"/>
      <c r="QJ151"/>
      <c r="QK151"/>
      <c r="QL151"/>
      <c r="QM151"/>
      <c r="QN151"/>
      <c r="QO151"/>
      <c r="QP151"/>
      <c r="QQ151"/>
      <c r="QR151"/>
      <c r="QS151"/>
      <c r="QT151"/>
      <c r="QU151"/>
      <c r="QV151"/>
      <c r="QW151"/>
      <c r="QX151"/>
      <c r="QY151"/>
      <c r="QZ151"/>
      <c r="RA151"/>
      <c r="RB151"/>
      <c r="RC151"/>
      <c r="RD151"/>
      <c r="RE151"/>
      <c r="RF151"/>
      <c r="RG151"/>
      <c r="RH151"/>
      <c r="RI151"/>
      <c r="RJ151"/>
      <c r="RK151"/>
      <c r="RL151"/>
      <c r="RM151"/>
      <c r="RN151"/>
      <c r="RO151"/>
      <c r="RP151"/>
      <c r="RQ151"/>
      <c r="RR151"/>
      <c r="RS151"/>
      <c r="RT151"/>
      <c r="RU151"/>
      <c r="RV151"/>
      <c r="RW151"/>
      <c r="RX151"/>
      <c r="RY151"/>
      <c r="RZ151"/>
      <c r="SA151"/>
      <c r="SB151"/>
      <c r="SC151"/>
      <c r="SD151"/>
      <c r="SE151"/>
      <c r="SF151"/>
      <c r="SG151"/>
      <c r="SH151"/>
      <c r="SI151"/>
      <c r="SJ151"/>
      <c r="SK151"/>
      <c r="SL151"/>
      <c r="SM151"/>
      <c r="SN151"/>
      <c r="SO151"/>
      <c r="SP151"/>
      <c r="SQ151"/>
      <c r="SR151"/>
      <c r="SS151"/>
      <c r="ST151"/>
      <c r="SU151"/>
      <c r="SV151"/>
      <c r="SW151"/>
      <c r="SX151"/>
      <c r="SY151"/>
      <c r="SZ151"/>
      <c r="TA151"/>
      <c r="TB151"/>
      <c r="TC151"/>
      <c r="TD151"/>
      <c r="TE151"/>
      <c r="TF151"/>
      <c r="TG151"/>
      <c r="TH151"/>
    </row>
    <row r="152" spans="3:528" x14ac:dyDescent="0.25">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c r="PC152"/>
      <c r="PD152"/>
      <c r="PE152"/>
      <c r="PF152"/>
      <c r="PG152"/>
      <c r="PH152"/>
      <c r="PI152"/>
      <c r="PJ152"/>
      <c r="PK152"/>
      <c r="PL152"/>
      <c r="PM152"/>
      <c r="PN152"/>
      <c r="PO152"/>
      <c r="PP152"/>
      <c r="PQ152"/>
      <c r="PR152"/>
      <c r="PS152"/>
      <c r="PT152"/>
      <c r="PU152"/>
      <c r="PV152"/>
      <c r="PW152"/>
      <c r="PX152"/>
      <c r="PY152"/>
      <c r="PZ152"/>
      <c r="QA152"/>
      <c r="QB152"/>
      <c r="QC152"/>
      <c r="QD152"/>
      <c r="QE152"/>
      <c r="QF152"/>
      <c r="QG152"/>
      <c r="QH152"/>
      <c r="QI152"/>
      <c r="QJ152"/>
      <c r="QK152"/>
      <c r="QL152"/>
      <c r="QM152"/>
      <c r="QN152"/>
      <c r="QO152"/>
      <c r="QP152"/>
      <c r="QQ152"/>
      <c r="QR152"/>
      <c r="QS152"/>
      <c r="QT152"/>
      <c r="QU152"/>
      <c r="QV152"/>
      <c r="QW152"/>
      <c r="QX152"/>
      <c r="QY152"/>
      <c r="QZ152"/>
      <c r="RA152"/>
      <c r="RB152"/>
      <c r="RC152"/>
      <c r="RD152"/>
      <c r="RE152"/>
      <c r="RF152"/>
      <c r="RG152"/>
      <c r="RH152"/>
      <c r="RI152"/>
      <c r="RJ152"/>
      <c r="RK152"/>
      <c r="RL152"/>
      <c r="RM152"/>
      <c r="RN152"/>
      <c r="RO152"/>
      <c r="RP152"/>
      <c r="RQ152"/>
      <c r="RR152"/>
      <c r="RS152"/>
      <c r="RT152"/>
      <c r="RU152"/>
      <c r="RV152"/>
      <c r="RW152"/>
      <c r="RX152"/>
      <c r="RY152"/>
      <c r="RZ152"/>
      <c r="SA152"/>
      <c r="SB152"/>
      <c r="SC152"/>
      <c r="SD152"/>
      <c r="SE152"/>
      <c r="SF152"/>
      <c r="SG152"/>
      <c r="SH152"/>
      <c r="SI152"/>
      <c r="SJ152"/>
      <c r="SK152"/>
      <c r="SL152"/>
      <c r="SM152"/>
      <c r="SN152"/>
      <c r="SO152"/>
      <c r="SP152"/>
      <c r="SQ152"/>
      <c r="SR152"/>
      <c r="SS152"/>
      <c r="ST152"/>
      <c r="SU152"/>
      <c r="SV152"/>
      <c r="SW152"/>
      <c r="SX152"/>
      <c r="SY152"/>
      <c r="SZ152"/>
      <c r="TA152"/>
      <c r="TB152"/>
      <c r="TC152"/>
      <c r="TD152"/>
      <c r="TE152"/>
      <c r="TF152"/>
      <c r="TG152"/>
      <c r="TH152"/>
    </row>
    <row r="153" spans="3:528" x14ac:dyDescent="0.25">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c r="PC153"/>
      <c r="PD153"/>
      <c r="PE153"/>
      <c r="PF153"/>
      <c r="PG153"/>
      <c r="PH153"/>
      <c r="PI153"/>
      <c r="PJ153"/>
      <c r="PK153"/>
      <c r="PL153"/>
      <c r="PM153"/>
      <c r="PN153"/>
      <c r="PO153"/>
      <c r="PP153"/>
      <c r="PQ153"/>
      <c r="PR153"/>
      <c r="PS153"/>
      <c r="PT153"/>
      <c r="PU153"/>
      <c r="PV153"/>
      <c r="PW153"/>
      <c r="PX153"/>
      <c r="PY153"/>
      <c r="PZ153"/>
      <c r="QA153"/>
      <c r="QB153"/>
      <c r="QC153"/>
      <c r="QD153"/>
      <c r="QE153"/>
      <c r="QF153"/>
      <c r="QG153"/>
      <c r="QH153"/>
      <c r="QI153"/>
      <c r="QJ153"/>
      <c r="QK153"/>
      <c r="QL153"/>
      <c r="QM153"/>
      <c r="QN153"/>
      <c r="QO153"/>
      <c r="QP153"/>
      <c r="QQ153"/>
      <c r="QR153"/>
      <c r="QS153"/>
      <c r="QT153"/>
      <c r="QU153"/>
      <c r="QV153"/>
      <c r="QW153"/>
      <c r="QX153"/>
      <c r="QY153"/>
      <c r="QZ153"/>
      <c r="RA153"/>
      <c r="RB153"/>
      <c r="RC153"/>
      <c r="RD153"/>
      <c r="RE153"/>
      <c r="RF153"/>
      <c r="RG153"/>
      <c r="RH153"/>
      <c r="RI153"/>
      <c r="RJ153"/>
      <c r="RK153"/>
      <c r="RL153"/>
      <c r="RM153"/>
      <c r="RN153"/>
      <c r="RO153"/>
      <c r="RP153"/>
      <c r="RQ153"/>
      <c r="RR153"/>
      <c r="RS153"/>
      <c r="RT153"/>
      <c r="RU153"/>
      <c r="RV153"/>
      <c r="RW153"/>
      <c r="RX153"/>
      <c r="RY153"/>
      <c r="RZ153"/>
      <c r="SA153"/>
      <c r="SB153"/>
      <c r="SC153"/>
      <c r="SD153"/>
      <c r="SE153"/>
      <c r="SF153"/>
      <c r="SG153"/>
      <c r="SH153"/>
      <c r="SI153"/>
      <c r="SJ153"/>
      <c r="SK153"/>
      <c r="SL153"/>
      <c r="SM153"/>
      <c r="SN153"/>
      <c r="SO153"/>
      <c r="SP153"/>
      <c r="SQ153"/>
      <c r="SR153"/>
      <c r="SS153"/>
      <c r="ST153"/>
      <c r="SU153"/>
      <c r="SV153"/>
      <c r="SW153"/>
      <c r="SX153"/>
      <c r="SY153"/>
      <c r="SZ153"/>
      <c r="TA153"/>
      <c r="TB153"/>
      <c r="TC153"/>
      <c r="TD153"/>
      <c r="TE153"/>
      <c r="TF153"/>
      <c r="TG153"/>
      <c r="TH153"/>
    </row>
    <row r="154" spans="3:528" x14ac:dyDescent="0.25">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row>
    <row r="155" spans="3:528" x14ac:dyDescent="0.2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c r="PC155"/>
      <c r="PD155"/>
      <c r="PE155"/>
      <c r="PF155"/>
      <c r="PG155"/>
      <c r="PH155"/>
      <c r="PI155"/>
      <c r="PJ155"/>
      <c r="PK155"/>
      <c r="PL155"/>
      <c r="PM155"/>
      <c r="PN155"/>
      <c r="PO155"/>
      <c r="PP155"/>
      <c r="PQ155"/>
      <c r="PR155"/>
      <c r="PS155"/>
      <c r="PT155"/>
      <c r="PU155"/>
      <c r="PV155"/>
      <c r="PW155"/>
      <c r="PX155"/>
      <c r="PY155"/>
      <c r="PZ155"/>
      <c r="QA155"/>
      <c r="QB155"/>
      <c r="QC155"/>
      <c r="QD155"/>
      <c r="QE155"/>
      <c r="QF155"/>
      <c r="QG155"/>
      <c r="QH155"/>
      <c r="QI155"/>
      <c r="QJ155"/>
      <c r="QK155"/>
      <c r="QL155"/>
      <c r="QM155"/>
      <c r="QN155"/>
      <c r="QO155"/>
      <c r="QP155"/>
      <c r="QQ155"/>
      <c r="QR155"/>
      <c r="QS155"/>
      <c r="QT155"/>
      <c r="QU155"/>
      <c r="QV155"/>
      <c r="QW155"/>
      <c r="QX155"/>
      <c r="QY155"/>
      <c r="QZ155"/>
      <c r="RA155"/>
      <c r="RB155"/>
      <c r="RC155"/>
      <c r="RD155"/>
      <c r="RE155"/>
      <c r="RF155"/>
      <c r="RG155"/>
      <c r="RH155"/>
      <c r="RI155"/>
      <c r="RJ155"/>
      <c r="RK155"/>
      <c r="RL155"/>
      <c r="RM155"/>
      <c r="RN155"/>
      <c r="RO155"/>
      <c r="RP155"/>
      <c r="RQ155"/>
      <c r="RR155"/>
      <c r="RS155"/>
      <c r="RT155"/>
      <c r="RU155"/>
      <c r="RV155"/>
      <c r="RW155"/>
      <c r="RX155"/>
      <c r="RY155"/>
      <c r="RZ155"/>
      <c r="SA155"/>
      <c r="SB155"/>
      <c r="SC155"/>
      <c r="SD155"/>
      <c r="SE155"/>
      <c r="SF155"/>
      <c r="SG155"/>
      <c r="SH155"/>
      <c r="SI155"/>
      <c r="SJ155"/>
      <c r="SK155"/>
      <c r="SL155"/>
      <c r="SM155"/>
      <c r="SN155"/>
      <c r="SO155"/>
      <c r="SP155"/>
      <c r="SQ155"/>
      <c r="SR155"/>
      <c r="SS155"/>
      <c r="ST155"/>
      <c r="SU155"/>
      <c r="SV155"/>
      <c r="SW155"/>
      <c r="SX155"/>
      <c r="SY155"/>
      <c r="SZ155"/>
      <c r="TA155"/>
      <c r="TB155"/>
      <c r="TC155"/>
      <c r="TD155"/>
      <c r="TE155"/>
      <c r="TF155"/>
      <c r="TG155"/>
      <c r="TH155"/>
    </row>
    <row r="156" spans="3:528" x14ac:dyDescent="0.25">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c r="PC156"/>
      <c r="PD156"/>
      <c r="PE156"/>
      <c r="PF156"/>
      <c r="PG156"/>
      <c r="PH156"/>
      <c r="PI156"/>
      <c r="PJ156"/>
      <c r="PK156"/>
      <c r="PL156"/>
      <c r="PM156"/>
      <c r="PN156"/>
      <c r="PO156"/>
      <c r="PP156"/>
      <c r="PQ156"/>
      <c r="PR156"/>
      <c r="PS156"/>
      <c r="PT156"/>
      <c r="PU156"/>
      <c r="PV156"/>
      <c r="PW156"/>
      <c r="PX156"/>
      <c r="PY156"/>
      <c r="PZ156"/>
      <c r="QA156"/>
      <c r="QB156"/>
      <c r="QC156"/>
      <c r="QD156"/>
      <c r="QE156"/>
      <c r="QF156"/>
      <c r="QG156"/>
      <c r="QH156"/>
      <c r="QI156"/>
      <c r="QJ156"/>
      <c r="QK156"/>
      <c r="QL156"/>
      <c r="QM156"/>
      <c r="QN156"/>
      <c r="QO156"/>
      <c r="QP156"/>
      <c r="QQ156"/>
      <c r="QR156"/>
      <c r="QS156"/>
      <c r="QT156"/>
      <c r="QU156"/>
      <c r="QV156"/>
      <c r="QW156"/>
      <c r="QX156"/>
      <c r="QY156"/>
      <c r="QZ156"/>
      <c r="RA156"/>
      <c r="RB156"/>
      <c r="RC156"/>
      <c r="RD156"/>
      <c r="RE156"/>
      <c r="RF156"/>
      <c r="RG156"/>
      <c r="RH156"/>
      <c r="RI156"/>
      <c r="RJ156"/>
      <c r="RK156"/>
      <c r="RL156"/>
      <c r="RM156"/>
      <c r="RN156"/>
      <c r="RO156"/>
      <c r="RP156"/>
      <c r="RQ156"/>
      <c r="RR156"/>
      <c r="RS156"/>
      <c r="RT156"/>
      <c r="RU156"/>
      <c r="RV156"/>
      <c r="RW156"/>
      <c r="RX156"/>
      <c r="RY156"/>
      <c r="RZ156"/>
      <c r="SA156"/>
      <c r="SB156"/>
      <c r="SC156"/>
      <c r="SD156"/>
      <c r="SE156"/>
      <c r="SF156"/>
      <c r="SG156"/>
      <c r="SH156"/>
      <c r="SI156"/>
      <c r="SJ156"/>
      <c r="SK156"/>
      <c r="SL156"/>
      <c r="SM156"/>
      <c r="SN156"/>
      <c r="SO156"/>
      <c r="SP156"/>
      <c r="SQ156"/>
      <c r="SR156"/>
      <c r="SS156"/>
      <c r="ST156"/>
      <c r="SU156"/>
      <c r="SV156"/>
      <c r="SW156"/>
      <c r="SX156"/>
      <c r="SY156"/>
      <c r="SZ156"/>
      <c r="TA156"/>
      <c r="TB156"/>
      <c r="TC156"/>
      <c r="TD156"/>
      <c r="TE156"/>
      <c r="TF156"/>
      <c r="TG156"/>
      <c r="TH156"/>
    </row>
    <row r="157" spans="3:528" x14ac:dyDescent="0.25">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c r="PC157"/>
      <c r="PD157"/>
      <c r="PE157"/>
      <c r="PF157"/>
      <c r="PG157"/>
      <c r="PH157"/>
      <c r="PI157"/>
      <c r="PJ157"/>
      <c r="PK157"/>
      <c r="PL157"/>
      <c r="PM157"/>
      <c r="PN157"/>
      <c r="PO157"/>
      <c r="PP157"/>
      <c r="PQ157"/>
      <c r="PR157"/>
      <c r="PS157"/>
      <c r="PT157"/>
      <c r="PU157"/>
      <c r="PV157"/>
      <c r="PW157"/>
      <c r="PX157"/>
      <c r="PY157"/>
      <c r="PZ157"/>
      <c r="QA157"/>
      <c r="QB157"/>
      <c r="QC157"/>
      <c r="QD157"/>
      <c r="QE157"/>
      <c r="QF157"/>
      <c r="QG157"/>
      <c r="QH157"/>
      <c r="QI157"/>
      <c r="QJ157"/>
      <c r="QK157"/>
      <c r="QL157"/>
      <c r="QM157"/>
      <c r="QN157"/>
      <c r="QO157"/>
      <c r="QP157"/>
      <c r="QQ157"/>
      <c r="QR157"/>
      <c r="QS157"/>
      <c r="QT157"/>
      <c r="QU157"/>
      <c r="QV157"/>
      <c r="QW157"/>
      <c r="QX157"/>
      <c r="QY157"/>
      <c r="QZ157"/>
      <c r="RA157"/>
      <c r="RB157"/>
      <c r="RC157"/>
      <c r="RD157"/>
      <c r="RE157"/>
      <c r="RF157"/>
      <c r="RG157"/>
      <c r="RH157"/>
      <c r="RI157"/>
      <c r="RJ157"/>
      <c r="RK157"/>
      <c r="RL157"/>
      <c r="RM157"/>
      <c r="RN157"/>
      <c r="RO157"/>
      <c r="RP157"/>
      <c r="RQ157"/>
      <c r="RR157"/>
      <c r="RS157"/>
      <c r="RT157"/>
      <c r="RU157"/>
      <c r="RV157"/>
      <c r="RW157"/>
      <c r="RX157"/>
      <c r="RY157"/>
      <c r="RZ157"/>
      <c r="SA157"/>
      <c r="SB157"/>
      <c r="SC157"/>
      <c r="SD157"/>
      <c r="SE157"/>
      <c r="SF157"/>
      <c r="SG157"/>
      <c r="SH157"/>
      <c r="SI157"/>
      <c r="SJ157"/>
      <c r="SK157"/>
      <c r="SL157"/>
      <c r="SM157"/>
      <c r="SN157"/>
      <c r="SO157"/>
      <c r="SP157"/>
      <c r="SQ157"/>
      <c r="SR157"/>
      <c r="SS157"/>
      <c r="ST157"/>
      <c r="SU157"/>
      <c r="SV157"/>
      <c r="SW157"/>
      <c r="SX157"/>
      <c r="SY157"/>
      <c r="SZ157"/>
      <c r="TA157"/>
      <c r="TB157"/>
      <c r="TC157"/>
      <c r="TD157"/>
      <c r="TE157"/>
      <c r="TF157"/>
      <c r="TG157"/>
      <c r="TH157"/>
    </row>
    <row r="158" spans="3:528" x14ac:dyDescent="0.25">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c r="PC158"/>
      <c r="PD158"/>
      <c r="PE158"/>
      <c r="PF158"/>
      <c r="PG158"/>
      <c r="PH158"/>
      <c r="PI158"/>
      <c r="PJ158"/>
      <c r="PK158"/>
      <c r="PL158"/>
      <c r="PM158"/>
      <c r="PN158"/>
      <c r="PO158"/>
      <c r="PP158"/>
      <c r="PQ158"/>
      <c r="PR158"/>
      <c r="PS158"/>
      <c r="PT158"/>
      <c r="PU158"/>
      <c r="PV158"/>
      <c r="PW158"/>
      <c r="PX158"/>
      <c r="PY158"/>
      <c r="PZ158"/>
      <c r="QA158"/>
      <c r="QB158"/>
      <c r="QC158"/>
      <c r="QD158"/>
      <c r="QE158"/>
      <c r="QF158"/>
      <c r="QG158"/>
      <c r="QH158"/>
      <c r="QI158"/>
      <c r="QJ158"/>
      <c r="QK158"/>
      <c r="QL158"/>
      <c r="QM158"/>
      <c r="QN158"/>
      <c r="QO158"/>
      <c r="QP158"/>
      <c r="QQ158"/>
      <c r="QR158"/>
      <c r="QS158"/>
      <c r="QT158"/>
      <c r="QU158"/>
      <c r="QV158"/>
      <c r="QW158"/>
      <c r="QX158"/>
      <c r="QY158"/>
      <c r="QZ158"/>
      <c r="RA158"/>
      <c r="RB158"/>
      <c r="RC158"/>
      <c r="RD158"/>
      <c r="RE158"/>
      <c r="RF158"/>
      <c r="RG158"/>
      <c r="RH158"/>
      <c r="RI158"/>
      <c r="RJ158"/>
      <c r="RK158"/>
      <c r="RL158"/>
      <c r="RM158"/>
      <c r="RN158"/>
      <c r="RO158"/>
      <c r="RP158"/>
      <c r="RQ158"/>
      <c r="RR158"/>
      <c r="RS158"/>
      <c r="RT158"/>
      <c r="RU158"/>
      <c r="RV158"/>
      <c r="RW158"/>
      <c r="RX158"/>
      <c r="RY158"/>
      <c r="RZ158"/>
      <c r="SA158"/>
      <c r="SB158"/>
      <c r="SC158"/>
      <c r="SD158"/>
      <c r="SE158"/>
      <c r="SF158"/>
      <c r="SG158"/>
      <c r="SH158"/>
      <c r="SI158"/>
      <c r="SJ158"/>
      <c r="SK158"/>
      <c r="SL158"/>
      <c r="SM158"/>
      <c r="SN158"/>
      <c r="SO158"/>
      <c r="SP158"/>
      <c r="SQ158"/>
      <c r="SR158"/>
      <c r="SS158"/>
      <c r="ST158"/>
      <c r="SU158"/>
      <c r="SV158"/>
      <c r="SW158"/>
      <c r="SX158"/>
      <c r="SY158"/>
      <c r="SZ158"/>
      <c r="TA158"/>
      <c r="TB158"/>
      <c r="TC158"/>
      <c r="TD158"/>
      <c r="TE158"/>
      <c r="TF158"/>
      <c r="TG158"/>
      <c r="TH158"/>
    </row>
    <row r="159" spans="3:528" x14ac:dyDescent="0.25">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c r="PC159"/>
      <c r="PD159"/>
      <c r="PE159"/>
      <c r="PF159"/>
      <c r="PG159"/>
      <c r="PH159"/>
      <c r="PI159"/>
      <c r="PJ159"/>
      <c r="PK159"/>
      <c r="PL159"/>
      <c r="PM159"/>
      <c r="PN159"/>
      <c r="PO159"/>
      <c r="PP159"/>
      <c r="PQ159"/>
      <c r="PR159"/>
      <c r="PS159"/>
      <c r="PT159"/>
      <c r="PU159"/>
      <c r="PV159"/>
      <c r="PW159"/>
      <c r="PX159"/>
      <c r="PY159"/>
      <c r="PZ159"/>
      <c r="QA159"/>
      <c r="QB159"/>
      <c r="QC159"/>
      <c r="QD159"/>
      <c r="QE159"/>
      <c r="QF159"/>
      <c r="QG159"/>
      <c r="QH159"/>
      <c r="QI159"/>
      <c r="QJ159"/>
      <c r="QK159"/>
      <c r="QL159"/>
      <c r="QM159"/>
      <c r="QN159"/>
      <c r="QO159"/>
      <c r="QP159"/>
      <c r="QQ159"/>
      <c r="QR159"/>
      <c r="QS159"/>
      <c r="QT159"/>
      <c r="QU159"/>
      <c r="QV159"/>
      <c r="QW159"/>
      <c r="QX159"/>
      <c r="QY159"/>
      <c r="QZ159"/>
      <c r="RA159"/>
      <c r="RB159"/>
      <c r="RC159"/>
      <c r="RD159"/>
      <c r="RE159"/>
      <c r="RF159"/>
      <c r="RG159"/>
      <c r="RH159"/>
      <c r="RI159"/>
      <c r="RJ159"/>
      <c r="RK159"/>
      <c r="RL159"/>
      <c r="RM159"/>
      <c r="RN159"/>
      <c r="RO159"/>
      <c r="RP159"/>
      <c r="RQ159"/>
      <c r="RR159"/>
      <c r="RS159"/>
      <c r="RT159"/>
      <c r="RU159"/>
      <c r="RV159"/>
      <c r="RW159"/>
      <c r="RX159"/>
      <c r="RY159"/>
      <c r="RZ159"/>
      <c r="SA159"/>
      <c r="SB159"/>
      <c r="SC159"/>
      <c r="SD159"/>
      <c r="SE159"/>
      <c r="SF159"/>
      <c r="SG159"/>
      <c r="SH159"/>
      <c r="SI159"/>
      <c r="SJ159"/>
      <c r="SK159"/>
      <c r="SL159"/>
      <c r="SM159"/>
      <c r="SN159"/>
      <c r="SO159"/>
      <c r="SP159"/>
      <c r="SQ159"/>
      <c r="SR159"/>
      <c r="SS159"/>
      <c r="ST159"/>
      <c r="SU159"/>
      <c r="SV159"/>
      <c r="SW159"/>
      <c r="SX159"/>
      <c r="SY159"/>
      <c r="SZ159"/>
      <c r="TA159"/>
      <c r="TB159"/>
      <c r="TC159"/>
      <c r="TD159"/>
      <c r="TE159"/>
      <c r="TF159"/>
      <c r="TG159"/>
      <c r="TH159"/>
    </row>
    <row r="160" spans="3:528" x14ac:dyDescent="0.25">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c r="PC160"/>
      <c r="PD160"/>
      <c r="PE160"/>
      <c r="PF160"/>
      <c r="PG160"/>
      <c r="PH160"/>
      <c r="PI160"/>
      <c r="PJ160"/>
      <c r="PK160"/>
      <c r="PL160"/>
      <c r="PM160"/>
      <c r="PN160"/>
      <c r="PO160"/>
      <c r="PP160"/>
      <c r="PQ160"/>
      <c r="PR160"/>
      <c r="PS160"/>
      <c r="PT160"/>
      <c r="PU160"/>
      <c r="PV160"/>
      <c r="PW160"/>
      <c r="PX160"/>
      <c r="PY160"/>
      <c r="PZ160"/>
      <c r="QA160"/>
      <c r="QB160"/>
      <c r="QC160"/>
      <c r="QD160"/>
      <c r="QE160"/>
      <c r="QF160"/>
      <c r="QG160"/>
      <c r="QH160"/>
      <c r="QI160"/>
      <c r="QJ160"/>
      <c r="QK160"/>
      <c r="QL160"/>
      <c r="QM160"/>
      <c r="QN160"/>
      <c r="QO160"/>
      <c r="QP160"/>
      <c r="QQ160"/>
      <c r="QR160"/>
      <c r="QS160"/>
      <c r="QT160"/>
      <c r="QU160"/>
      <c r="QV160"/>
      <c r="QW160"/>
      <c r="QX160"/>
      <c r="QY160"/>
      <c r="QZ160"/>
      <c r="RA160"/>
      <c r="RB160"/>
      <c r="RC160"/>
      <c r="RD160"/>
      <c r="RE160"/>
      <c r="RF160"/>
      <c r="RG160"/>
      <c r="RH160"/>
      <c r="RI160"/>
      <c r="RJ160"/>
      <c r="RK160"/>
      <c r="RL160"/>
      <c r="RM160"/>
      <c r="RN160"/>
      <c r="RO160"/>
      <c r="RP160"/>
      <c r="RQ160"/>
      <c r="RR160"/>
      <c r="RS160"/>
      <c r="RT160"/>
      <c r="RU160"/>
      <c r="RV160"/>
      <c r="RW160"/>
      <c r="RX160"/>
      <c r="RY160"/>
      <c r="RZ160"/>
      <c r="SA160"/>
      <c r="SB160"/>
      <c r="SC160"/>
      <c r="SD160"/>
      <c r="SE160"/>
      <c r="SF160"/>
      <c r="SG160"/>
      <c r="SH160"/>
      <c r="SI160"/>
      <c r="SJ160"/>
      <c r="SK160"/>
      <c r="SL160"/>
      <c r="SM160"/>
      <c r="SN160"/>
      <c r="SO160"/>
      <c r="SP160"/>
      <c r="SQ160"/>
      <c r="SR160"/>
      <c r="SS160"/>
      <c r="ST160"/>
      <c r="SU160"/>
      <c r="SV160"/>
      <c r="SW160"/>
      <c r="SX160"/>
      <c r="SY160"/>
      <c r="SZ160"/>
      <c r="TA160"/>
      <c r="TB160"/>
      <c r="TC160"/>
      <c r="TD160"/>
      <c r="TE160"/>
      <c r="TF160"/>
      <c r="TG160"/>
      <c r="TH160"/>
    </row>
    <row r="161" spans="3:528" x14ac:dyDescent="0.25">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c r="PC161"/>
      <c r="PD161"/>
      <c r="PE161"/>
      <c r="PF161"/>
      <c r="PG161"/>
      <c r="PH161"/>
      <c r="PI161"/>
      <c r="PJ161"/>
      <c r="PK161"/>
      <c r="PL161"/>
      <c r="PM161"/>
      <c r="PN161"/>
      <c r="PO161"/>
      <c r="PP161"/>
      <c r="PQ161"/>
      <c r="PR161"/>
      <c r="PS161"/>
      <c r="PT161"/>
      <c r="PU161"/>
      <c r="PV161"/>
      <c r="PW161"/>
      <c r="PX161"/>
      <c r="PY161"/>
      <c r="PZ161"/>
      <c r="QA161"/>
      <c r="QB161"/>
      <c r="QC161"/>
      <c r="QD161"/>
      <c r="QE161"/>
      <c r="QF161"/>
      <c r="QG161"/>
      <c r="QH161"/>
      <c r="QI161"/>
      <c r="QJ161"/>
      <c r="QK161"/>
      <c r="QL161"/>
      <c r="QM161"/>
      <c r="QN161"/>
      <c r="QO161"/>
      <c r="QP161"/>
      <c r="QQ161"/>
      <c r="QR161"/>
      <c r="QS161"/>
      <c r="QT161"/>
      <c r="QU161"/>
      <c r="QV161"/>
      <c r="QW161"/>
      <c r="QX161"/>
      <c r="QY161"/>
      <c r="QZ161"/>
      <c r="RA161"/>
      <c r="RB161"/>
      <c r="RC161"/>
      <c r="RD161"/>
      <c r="RE161"/>
      <c r="RF161"/>
      <c r="RG161"/>
      <c r="RH161"/>
      <c r="RI161"/>
      <c r="RJ161"/>
      <c r="RK161"/>
      <c r="RL161"/>
      <c r="RM161"/>
      <c r="RN161"/>
      <c r="RO161"/>
      <c r="RP161"/>
      <c r="RQ161"/>
      <c r="RR161"/>
      <c r="RS161"/>
      <c r="RT161"/>
      <c r="RU161"/>
      <c r="RV161"/>
      <c r="RW161"/>
      <c r="RX161"/>
      <c r="RY161"/>
      <c r="RZ161"/>
      <c r="SA161"/>
      <c r="SB161"/>
      <c r="SC161"/>
      <c r="SD161"/>
      <c r="SE161"/>
      <c r="SF161"/>
      <c r="SG161"/>
      <c r="SH161"/>
      <c r="SI161"/>
      <c r="SJ161"/>
      <c r="SK161"/>
      <c r="SL161"/>
      <c r="SM161"/>
      <c r="SN161"/>
      <c r="SO161"/>
      <c r="SP161"/>
      <c r="SQ161"/>
      <c r="SR161"/>
      <c r="SS161"/>
      <c r="ST161"/>
      <c r="SU161"/>
      <c r="SV161"/>
      <c r="SW161"/>
      <c r="SX161"/>
      <c r="SY161"/>
      <c r="SZ161"/>
      <c r="TA161"/>
      <c r="TB161"/>
      <c r="TC161"/>
      <c r="TD161"/>
      <c r="TE161"/>
      <c r="TF161"/>
      <c r="TG161"/>
      <c r="TH161"/>
    </row>
    <row r="162" spans="3:528" x14ac:dyDescent="0.25">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c r="PC162"/>
      <c r="PD162"/>
      <c r="PE162"/>
      <c r="PF162"/>
      <c r="PG162"/>
      <c r="PH162"/>
      <c r="PI162"/>
      <c r="PJ162"/>
      <c r="PK162"/>
      <c r="PL162"/>
      <c r="PM162"/>
      <c r="PN162"/>
      <c r="PO162"/>
      <c r="PP162"/>
      <c r="PQ162"/>
      <c r="PR162"/>
      <c r="PS162"/>
      <c r="PT162"/>
      <c r="PU162"/>
      <c r="PV162"/>
      <c r="PW162"/>
      <c r="PX162"/>
      <c r="PY162"/>
      <c r="PZ162"/>
      <c r="QA162"/>
      <c r="QB162"/>
      <c r="QC162"/>
      <c r="QD162"/>
      <c r="QE162"/>
      <c r="QF162"/>
      <c r="QG162"/>
      <c r="QH162"/>
      <c r="QI162"/>
      <c r="QJ162"/>
      <c r="QK162"/>
      <c r="QL162"/>
      <c r="QM162"/>
      <c r="QN162"/>
      <c r="QO162"/>
      <c r="QP162"/>
      <c r="QQ162"/>
      <c r="QR162"/>
      <c r="QS162"/>
      <c r="QT162"/>
      <c r="QU162"/>
      <c r="QV162"/>
      <c r="QW162"/>
      <c r="QX162"/>
      <c r="QY162"/>
      <c r="QZ162"/>
      <c r="RA162"/>
      <c r="RB162"/>
      <c r="RC162"/>
      <c r="RD162"/>
      <c r="RE162"/>
      <c r="RF162"/>
      <c r="RG162"/>
      <c r="RH162"/>
      <c r="RI162"/>
      <c r="RJ162"/>
      <c r="RK162"/>
      <c r="RL162"/>
      <c r="RM162"/>
      <c r="RN162"/>
      <c r="RO162"/>
      <c r="RP162"/>
      <c r="RQ162"/>
      <c r="RR162"/>
      <c r="RS162"/>
      <c r="RT162"/>
      <c r="RU162"/>
      <c r="RV162"/>
      <c r="RW162"/>
      <c r="RX162"/>
      <c r="RY162"/>
      <c r="RZ162"/>
      <c r="SA162"/>
      <c r="SB162"/>
      <c r="SC162"/>
      <c r="SD162"/>
      <c r="SE162"/>
      <c r="SF162"/>
      <c r="SG162"/>
      <c r="SH162"/>
      <c r="SI162"/>
      <c r="SJ162"/>
      <c r="SK162"/>
      <c r="SL162"/>
      <c r="SM162"/>
      <c r="SN162"/>
      <c r="SO162"/>
      <c r="SP162"/>
      <c r="SQ162"/>
      <c r="SR162"/>
      <c r="SS162"/>
      <c r="ST162"/>
      <c r="SU162"/>
      <c r="SV162"/>
      <c r="SW162"/>
      <c r="SX162"/>
      <c r="SY162"/>
      <c r="SZ162"/>
      <c r="TA162"/>
      <c r="TB162"/>
      <c r="TC162"/>
      <c r="TD162"/>
      <c r="TE162"/>
      <c r="TF162"/>
      <c r="TG162"/>
      <c r="TH162"/>
    </row>
    <row r="163" spans="3:528" x14ac:dyDescent="0.25">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c r="PC163"/>
      <c r="PD163"/>
      <c r="PE163"/>
      <c r="PF163"/>
      <c r="PG163"/>
      <c r="PH163"/>
      <c r="PI163"/>
      <c r="PJ163"/>
      <c r="PK163"/>
      <c r="PL163"/>
      <c r="PM163"/>
      <c r="PN163"/>
      <c r="PO163"/>
      <c r="PP163"/>
      <c r="PQ163"/>
      <c r="PR163"/>
      <c r="PS163"/>
      <c r="PT163"/>
      <c r="PU163"/>
      <c r="PV163"/>
      <c r="PW163"/>
      <c r="PX163"/>
      <c r="PY163"/>
      <c r="PZ163"/>
      <c r="QA163"/>
      <c r="QB163"/>
      <c r="QC163"/>
      <c r="QD163"/>
      <c r="QE163"/>
      <c r="QF163"/>
      <c r="QG163"/>
      <c r="QH163"/>
      <c r="QI163"/>
      <c r="QJ163"/>
      <c r="QK163"/>
      <c r="QL163"/>
      <c r="QM163"/>
      <c r="QN163"/>
      <c r="QO163"/>
      <c r="QP163"/>
      <c r="QQ163"/>
      <c r="QR163"/>
      <c r="QS163"/>
      <c r="QT163"/>
      <c r="QU163"/>
      <c r="QV163"/>
      <c r="QW163"/>
      <c r="QX163"/>
      <c r="QY163"/>
      <c r="QZ163"/>
      <c r="RA163"/>
      <c r="RB163"/>
      <c r="RC163"/>
      <c r="RD163"/>
      <c r="RE163"/>
      <c r="RF163"/>
      <c r="RG163"/>
      <c r="RH163"/>
      <c r="RI163"/>
      <c r="RJ163"/>
      <c r="RK163"/>
      <c r="RL163"/>
      <c r="RM163"/>
      <c r="RN163"/>
      <c r="RO163"/>
      <c r="RP163"/>
      <c r="RQ163"/>
      <c r="RR163"/>
      <c r="RS163"/>
      <c r="RT163"/>
      <c r="RU163"/>
      <c r="RV163"/>
      <c r="RW163"/>
      <c r="RX163"/>
      <c r="RY163"/>
      <c r="RZ163"/>
      <c r="SA163"/>
      <c r="SB163"/>
      <c r="SC163"/>
      <c r="SD163"/>
      <c r="SE163"/>
      <c r="SF163"/>
      <c r="SG163"/>
      <c r="SH163"/>
      <c r="SI163"/>
      <c r="SJ163"/>
      <c r="SK163"/>
      <c r="SL163"/>
      <c r="SM163"/>
      <c r="SN163"/>
      <c r="SO163"/>
      <c r="SP163"/>
      <c r="SQ163"/>
      <c r="SR163"/>
      <c r="SS163"/>
      <c r="ST163"/>
      <c r="SU163"/>
      <c r="SV163"/>
      <c r="SW163"/>
      <c r="SX163"/>
      <c r="SY163"/>
      <c r="SZ163"/>
      <c r="TA163"/>
      <c r="TB163"/>
      <c r="TC163"/>
      <c r="TD163"/>
      <c r="TE163"/>
      <c r="TF163"/>
      <c r="TG163"/>
      <c r="TH163"/>
    </row>
    <row r="164" spans="3:528" x14ac:dyDescent="0.25">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c r="PC164"/>
      <c r="PD164"/>
      <c r="PE164"/>
      <c r="PF164"/>
      <c r="PG164"/>
      <c r="PH164"/>
      <c r="PI164"/>
      <c r="PJ164"/>
      <c r="PK164"/>
      <c r="PL164"/>
      <c r="PM164"/>
      <c r="PN164"/>
      <c r="PO164"/>
      <c r="PP164"/>
      <c r="PQ164"/>
      <c r="PR164"/>
      <c r="PS164"/>
      <c r="PT164"/>
      <c r="PU164"/>
      <c r="PV164"/>
      <c r="PW164"/>
      <c r="PX164"/>
      <c r="PY164"/>
      <c r="PZ164"/>
      <c r="QA164"/>
      <c r="QB164"/>
      <c r="QC164"/>
      <c r="QD164"/>
      <c r="QE164"/>
      <c r="QF164"/>
      <c r="QG164"/>
      <c r="QH164"/>
      <c r="QI164"/>
      <c r="QJ164"/>
      <c r="QK164"/>
      <c r="QL164"/>
      <c r="QM164"/>
      <c r="QN164"/>
      <c r="QO164"/>
      <c r="QP164"/>
      <c r="QQ164"/>
      <c r="QR164"/>
      <c r="QS164"/>
      <c r="QT164"/>
      <c r="QU164"/>
      <c r="QV164"/>
      <c r="QW164"/>
      <c r="QX164"/>
      <c r="QY164"/>
      <c r="QZ164"/>
      <c r="RA164"/>
      <c r="RB164"/>
      <c r="RC164"/>
      <c r="RD164"/>
      <c r="RE164"/>
      <c r="RF164"/>
      <c r="RG164"/>
      <c r="RH164"/>
      <c r="RI164"/>
      <c r="RJ164"/>
      <c r="RK164"/>
      <c r="RL164"/>
      <c r="RM164"/>
      <c r="RN164"/>
      <c r="RO164"/>
      <c r="RP164"/>
      <c r="RQ164"/>
      <c r="RR164"/>
      <c r="RS164"/>
      <c r="RT164"/>
      <c r="RU164"/>
      <c r="RV164"/>
      <c r="RW164"/>
      <c r="RX164"/>
      <c r="RY164"/>
      <c r="RZ164"/>
      <c r="SA164"/>
      <c r="SB164"/>
      <c r="SC164"/>
      <c r="SD164"/>
      <c r="SE164"/>
      <c r="SF164"/>
      <c r="SG164"/>
      <c r="SH164"/>
      <c r="SI164"/>
      <c r="SJ164"/>
      <c r="SK164"/>
      <c r="SL164"/>
      <c r="SM164"/>
      <c r="SN164"/>
      <c r="SO164"/>
      <c r="SP164"/>
      <c r="SQ164"/>
      <c r="SR164"/>
      <c r="SS164"/>
      <c r="ST164"/>
      <c r="SU164"/>
      <c r="SV164"/>
      <c r="SW164"/>
      <c r="SX164"/>
      <c r="SY164"/>
      <c r="SZ164"/>
      <c r="TA164"/>
      <c r="TB164"/>
      <c r="TC164"/>
      <c r="TD164"/>
      <c r="TE164"/>
      <c r="TF164"/>
      <c r="TG164"/>
      <c r="TH164"/>
    </row>
    <row r="165" spans="3:528" x14ac:dyDescent="0.2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c r="KT165"/>
      <c r="KU165"/>
      <c r="KV165"/>
      <c r="KW165"/>
      <c r="KX165"/>
      <c r="KY165"/>
      <c r="KZ165"/>
      <c r="LA165"/>
      <c r="LB165"/>
      <c r="LC165"/>
      <c r="LD165"/>
      <c r="LE165"/>
      <c r="LF165"/>
      <c r="LG165"/>
      <c r="LH165"/>
      <c r="LI165"/>
      <c r="LJ165"/>
      <c r="LK165"/>
      <c r="LL165"/>
      <c r="LM165"/>
      <c r="LN165"/>
      <c r="LO165"/>
      <c r="LP165"/>
      <c r="LQ165"/>
      <c r="LR165"/>
      <c r="LS165"/>
      <c r="LT165"/>
      <c r="LU165"/>
      <c r="LV165"/>
      <c r="LW165"/>
      <c r="LX165"/>
      <c r="LY165"/>
      <c r="LZ165"/>
      <c r="MA165"/>
      <c r="MB165"/>
      <c r="MC165"/>
      <c r="MD165"/>
      <c r="ME165"/>
      <c r="MF165"/>
      <c r="MG165"/>
      <c r="MH165"/>
      <c r="MI165"/>
      <c r="MJ165"/>
      <c r="MK165"/>
      <c r="ML165"/>
      <c r="MM165"/>
      <c r="MN165"/>
      <c r="MO165"/>
      <c r="MP165"/>
      <c r="MQ165"/>
      <c r="MR165"/>
      <c r="MS165"/>
      <c r="MT165"/>
      <c r="MU165"/>
      <c r="MV165"/>
      <c r="MW165"/>
      <c r="MX165"/>
      <c r="MY165"/>
      <c r="MZ165"/>
      <c r="NA165"/>
      <c r="NB165"/>
      <c r="NC165"/>
      <c r="ND165"/>
      <c r="NE165"/>
      <c r="NF165"/>
      <c r="NG165"/>
      <c r="NH165"/>
      <c r="NI165"/>
      <c r="NJ165"/>
      <c r="NK165"/>
      <c r="NL165"/>
      <c r="NM165"/>
      <c r="NN165"/>
      <c r="NO165"/>
      <c r="NP165"/>
      <c r="NQ165"/>
      <c r="NR165"/>
      <c r="NS165"/>
      <c r="NT165"/>
      <c r="NU165"/>
      <c r="NV165"/>
      <c r="NW165"/>
      <c r="NX165"/>
      <c r="NY165"/>
      <c r="NZ165"/>
      <c r="OA165"/>
      <c r="OB165"/>
      <c r="OC165"/>
      <c r="OD165"/>
      <c r="OE165"/>
      <c r="OF165"/>
      <c r="OG165"/>
      <c r="OH165"/>
      <c r="OI165"/>
      <c r="OJ165"/>
      <c r="OK165"/>
      <c r="OL165"/>
      <c r="OM165"/>
      <c r="ON165"/>
      <c r="OO165"/>
      <c r="OP165"/>
      <c r="OQ165"/>
      <c r="OR165"/>
      <c r="OS165"/>
      <c r="OT165"/>
      <c r="OU165"/>
      <c r="OV165"/>
      <c r="OW165"/>
      <c r="OX165"/>
      <c r="OY165"/>
      <c r="OZ165"/>
      <c r="PA165"/>
      <c r="PB165"/>
      <c r="PC165"/>
      <c r="PD165"/>
      <c r="PE165"/>
      <c r="PF165"/>
      <c r="PG165"/>
      <c r="PH165"/>
      <c r="PI165"/>
      <c r="PJ165"/>
      <c r="PK165"/>
      <c r="PL165"/>
      <c r="PM165"/>
      <c r="PN165"/>
      <c r="PO165"/>
      <c r="PP165"/>
      <c r="PQ165"/>
      <c r="PR165"/>
      <c r="PS165"/>
      <c r="PT165"/>
      <c r="PU165"/>
      <c r="PV165"/>
      <c r="PW165"/>
      <c r="PX165"/>
      <c r="PY165"/>
      <c r="PZ165"/>
      <c r="QA165"/>
      <c r="QB165"/>
      <c r="QC165"/>
      <c r="QD165"/>
      <c r="QE165"/>
      <c r="QF165"/>
      <c r="QG165"/>
      <c r="QH165"/>
      <c r="QI165"/>
      <c r="QJ165"/>
      <c r="QK165"/>
      <c r="QL165"/>
      <c r="QM165"/>
      <c r="QN165"/>
      <c r="QO165"/>
      <c r="QP165"/>
      <c r="QQ165"/>
      <c r="QR165"/>
      <c r="QS165"/>
      <c r="QT165"/>
      <c r="QU165"/>
      <c r="QV165"/>
      <c r="QW165"/>
      <c r="QX165"/>
      <c r="QY165"/>
      <c r="QZ165"/>
      <c r="RA165"/>
      <c r="RB165"/>
      <c r="RC165"/>
      <c r="RD165"/>
      <c r="RE165"/>
      <c r="RF165"/>
      <c r="RG165"/>
      <c r="RH165"/>
      <c r="RI165"/>
      <c r="RJ165"/>
      <c r="RK165"/>
      <c r="RL165"/>
      <c r="RM165"/>
      <c r="RN165"/>
      <c r="RO165"/>
      <c r="RP165"/>
      <c r="RQ165"/>
      <c r="RR165"/>
      <c r="RS165"/>
      <c r="RT165"/>
      <c r="RU165"/>
      <c r="RV165"/>
      <c r="RW165"/>
      <c r="RX165"/>
      <c r="RY165"/>
      <c r="RZ165"/>
      <c r="SA165"/>
      <c r="SB165"/>
      <c r="SC165"/>
      <c r="SD165"/>
      <c r="SE165"/>
      <c r="SF165"/>
      <c r="SG165"/>
      <c r="SH165"/>
      <c r="SI165"/>
      <c r="SJ165"/>
      <c r="SK165"/>
      <c r="SL165"/>
      <c r="SM165"/>
      <c r="SN165"/>
      <c r="SO165"/>
      <c r="SP165"/>
      <c r="SQ165"/>
      <c r="SR165"/>
      <c r="SS165"/>
      <c r="ST165"/>
      <c r="SU165"/>
      <c r="SV165"/>
      <c r="SW165"/>
      <c r="SX165"/>
      <c r="SY165"/>
      <c r="SZ165"/>
      <c r="TA165"/>
      <c r="TB165"/>
      <c r="TC165"/>
      <c r="TD165"/>
      <c r="TE165"/>
      <c r="TF165"/>
      <c r="TG165"/>
      <c r="TH165"/>
    </row>
    <row r="166" spans="3:528" x14ac:dyDescent="0.25">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c r="KT166"/>
      <c r="KU166"/>
      <c r="KV166"/>
      <c r="KW166"/>
      <c r="KX166"/>
      <c r="KY166"/>
      <c r="KZ166"/>
      <c r="LA166"/>
      <c r="LB166"/>
      <c r="LC166"/>
      <c r="LD166"/>
      <c r="LE166"/>
      <c r="LF166"/>
      <c r="LG166"/>
      <c r="LH166"/>
      <c r="LI166"/>
      <c r="LJ166"/>
      <c r="LK166"/>
      <c r="LL166"/>
      <c r="LM166"/>
      <c r="LN166"/>
      <c r="LO166"/>
      <c r="LP166"/>
      <c r="LQ166"/>
      <c r="LR166"/>
      <c r="LS166"/>
      <c r="LT166"/>
      <c r="LU166"/>
      <c r="LV166"/>
      <c r="LW166"/>
      <c r="LX166"/>
      <c r="LY166"/>
      <c r="LZ166"/>
      <c r="MA166"/>
      <c r="MB166"/>
      <c r="MC166"/>
      <c r="MD166"/>
      <c r="ME166"/>
      <c r="MF166"/>
      <c r="MG166"/>
      <c r="MH166"/>
      <c r="MI166"/>
      <c r="MJ166"/>
      <c r="MK166"/>
      <c r="ML166"/>
      <c r="MM166"/>
      <c r="MN166"/>
      <c r="MO166"/>
      <c r="MP166"/>
      <c r="MQ166"/>
      <c r="MR166"/>
      <c r="MS166"/>
      <c r="MT166"/>
      <c r="MU166"/>
      <c r="MV166"/>
      <c r="MW166"/>
      <c r="MX166"/>
      <c r="MY166"/>
      <c r="MZ166"/>
      <c r="NA166"/>
      <c r="NB166"/>
      <c r="NC166"/>
      <c r="ND166"/>
      <c r="NE166"/>
      <c r="NF166"/>
      <c r="NG166"/>
      <c r="NH166"/>
      <c r="NI166"/>
      <c r="NJ166"/>
      <c r="NK166"/>
      <c r="NL166"/>
      <c r="NM166"/>
      <c r="NN166"/>
      <c r="NO166"/>
      <c r="NP166"/>
      <c r="NQ166"/>
      <c r="NR166"/>
      <c r="NS166"/>
      <c r="NT166"/>
      <c r="NU166"/>
      <c r="NV166"/>
      <c r="NW166"/>
      <c r="NX166"/>
      <c r="NY166"/>
      <c r="NZ166"/>
      <c r="OA166"/>
      <c r="OB166"/>
      <c r="OC166"/>
      <c r="OD166"/>
      <c r="OE166"/>
      <c r="OF166"/>
      <c r="OG166"/>
      <c r="OH166"/>
      <c r="OI166"/>
      <c r="OJ166"/>
      <c r="OK166"/>
      <c r="OL166"/>
      <c r="OM166"/>
      <c r="ON166"/>
      <c r="OO166"/>
      <c r="OP166"/>
      <c r="OQ166"/>
      <c r="OR166"/>
      <c r="OS166"/>
      <c r="OT166"/>
      <c r="OU166"/>
      <c r="OV166"/>
      <c r="OW166"/>
      <c r="OX166"/>
      <c r="OY166"/>
      <c r="OZ166"/>
      <c r="PA166"/>
      <c r="PB166"/>
      <c r="PC166"/>
      <c r="PD166"/>
      <c r="PE166"/>
      <c r="PF166"/>
      <c r="PG166"/>
      <c r="PH166"/>
      <c r="PI166"/>
      <c r="PJ166"/>
      <c r="PK166"/>
      <c r="PL166"/>
      <c r="PM166"/>
      <c r="PN166"/>
      <c r="PO166"/>
      <c r="PP166"/>
      <c r="PQ166"/>
      <c r="PR166"/>
      <c r="PS166"/>
      <c r="PT166"/>
      <c r="PU166"/>
      <c r="PV166"/>
      <c r="PW166"/>
      <c r="PX166"/>
      <c r="PY166"/>
      <c r="PZ166"/>
      <c r="QA166"/>
      <c r="QB166"/>
      <c r="QC166"/>
      <c r="QD166"/>
      <c r="QE166"/>
      <c r="QF166"/>
      <c r="QG166"/>
      <c r="QH166"/>
      <c r="QI166"/>
      <c r="QJ166"/>
      <c r="QK166"/>
      <c r="QL166"/>
      <c r="QM166"/>
      <c r="QN166"/>
      <c r="QO166"/>
      <c r="QP166"/>
      <c r="QQ166"/>
      <c r="QR166"/>
      <c r="QS166"/>
      <c r="QT166"/>
      <c r="QU166"/>
      <c r="QV166"/>
      <c r="QW166"/>
      <c r="QX166"/>
      <c r="QY166"/>
      <c r="QZ166"/>
      <c r="RA166"/>
      <c r="RB166"/>
      <c r="RC166"/>
      <c r="RD166"/>
      <c r="RE166"/>
      <c r="RF166"/>
      <c r="RG166"/>
      <c r="RH166"/>
      <c r="RI166"/>
      <c r="RJ166"/>
      <c r="RK166"/>
      <c r="RL166"/>
      <c r="RM166"/>
      <c r="RN166"/>
      <c r="RO166"/>
      <c r="RP166"/>
      <c r="RQ166"/>
      <c r="RR166"/>
      <c r="RS166"/>
      <c r="RT166"/>
      <c r="RU166"/>
      <c r="RV166"/>
      <c r="RW166"/>
      <c r="RX166"/>
      <c r="RY166"/>
      <c r="RZ166"/>
      <c r="SA166"/>
      <c r="SB166"/>
      <c r="SC166"/>
      <c r="SD166"/>
      <c r="SE166"/>
      <c r="SF166"/>
      <c r="SG166"/>
      <c r="SH166"/>
      <c r="SI166"/>
      <c r="SJ166"/>
      <c r="SK166"/>
      <c r="SL166"/>
      <c r="SM166"/>
      <c r="SN166"/>
      <c r="SO166"/>
      <c r="SP166"/>
      <c r="SQ166"/>
      <c r="SR166"/>
      <c r="SS166"/>
      <c r="ST166"/>
      <c r="SU166"/>
      <c r="SV166"/>
      <c r="SW166"/>
      <c r="SX166"/>
      <c r="SY166"/>
      <c r="SZ166"/>
      <c r="TA166"/>
      <c r="TB166"/>
      <c r="TC166"/>
      <c r="TD166"/>
      <c r="TE166"/>
      <c r="TF166"/>
      <c r="TG166"/>
      <c r="TH166"/>
    </row>
    <row r="167" spans="3:528" x14ac:dyDescent="0.25">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c r="KT167"/>
      <c r="KU167"/>
      <c r="KV167"/>
      <c r="KW167"/>
      <c r="KX167"/>
      <c r="KY167"/>
      <c r="KZ167"/>
      <c r="LA167"/>
      <c r="LB167"/>
      <c r="LC167"/>
      <c r="LD167"/>
      <c r="LE167"/>
      <c r="LF167"/>
      <c r="LG167"/>
      <c r="LH167"/>
      <c r="LI167"/>
      <c r="LJ167"/>
      <c r="LK167"/>
      <c r="LL167"/>
      <c r="LM167"/>
      <c r="LN167"/>
      <c r="LO167"/>
      <c r="LP167"/>
      <c r="LQ167"/>
      <c r="LR167"/>
      <c r="LS167"/>
      <c r="LT167"/>
      <c r="LU167"/>
      <c r="LV167"/>
      <c r="LW167"/>
      <c r="LX167"/>
      <c r="LY167"/>
      <c r="LZ167"/>
      <c r="MA167"/>
      <c r="MB167"/>
      <c r="MC167"/>
      <c r="MD167"/>
      <c r="ME167"/>
      <c r="MF167"/>
      <c r="MG167"/>
      <c r="MH167"/>
      <c r="MI167"/>
      <c r="MJ167"/>
      <c r="MK167"/>
      <c r="ML167"/>
      <c r="MM167"/>
      <c r="MN167"/>
      <c r="MO167"/>
      <c r="MP167"/>
      <c r="MQ167"/>
      <c r="MR167"/>
      <c r="MS167"/>
      <c r="MT167"/>
      <c r="MU167"/>
      <c r="MV167"/>
      <c r="MW167"/>
      <c r="MX167"/>
      <c r="MY167"/>
      <c r="MZ167"/>
      <c r="NA167"/>
      <c r="NB167"/>
      <c r="NC167"/>
      <c r="ND167"/>
      <c r="NE167"/>
      <c r="NF167"/>
      <c r="NG167"/>
      <c r="NH167"/>
      <c r="NI167"/>
      <c r="NJ167"/>
      <c r="NK167"/>
      <c r="NL167"/>
      <c r="NM167"/>
      <c r="NN167"/>
      <c r="NO167"/>
      <c r="NP167"/>
      <c r="NQ167"/>
      <c r="NR167"/>
      <c r="NS167"/>
      <c r="NT167"/>
      <c r="NU167"/>
      <c r="NV167"/>
      <c r="NW167"/>
      <c r="NX167"/>
      <c r="NY167"/>
      <c r="NZ167"/>
      <c r="OA167"/>
      <c r="OB167"/>
      <c r="OC167"/>
      <c r="OD167"/>
      <c r="OE167"/>
      <c r="OF167"/>
      <c r="OG167"/>
      <c r="OH167"/>
      <c r="OI167"/>
      <c r="OJ167"/>
      <c r="OK167"/>
      <c r="OL167"/>
      <c r="OM167"/>
      <c r="ON167"/>
      <c r="OO167"/>
      <c r="OP167"/>
      <c r="OQ167"/>
      <c r="OR167"/>
      <c r="OS167"/>
      <c r="OT167"/>
      <c r="OU167"/>
      <c r="OV167"/>
      <c r="OW167"/>
      <c r="OX167"/>
      <c r="OY167"/>
      <c r="OZ167"/>
      <c r="PA167"/>
      <c r="PB167"/>
      <c r="PC167"/>
      <c r="PD167"/>
      <c r="PE167"/>
      <c r="PF167"/>
      <c r="PG167"/>
      <c r="PH167"/>
      <c r="PI167"/>
      <c r="PJ167"/>
      <c r="PK167"/>
      <c r="PL167"/>
      <c r="PM167"/>
      <c r="PN167"/>
      <c r="PO167"/>
      <c r="PP167"/>
      <c r="PQ167"/>
      <c r="PR167"/>
      <c r="PS167"/>
      <c r="PT167"/>
      <c r="PU167"/>
      <c r="PV167"/>
      <c r="PW167"/>
      <c r="PX167"/>
      <c r="PY167"/>
      <c r="PZ167"/>
      <c r="QA167"/>
      <c r="QB167"/>
      <c r="QC167"/>
      <c r="QD167"/>
      <c r="QE167"/>
      <c r="QF167"/>
      <c r="QG167"/>
      <c r="QH167"/>
      <c r="QI167"/>
      <c r="QJ167"/>
      <c r="QK167"/>
      <c r="QL167"/>
      <c r="QM167"/>
      <c r="QN167"/>
      <c r="QO167"/>
      <c r="QP167"/>
      <c r="QQ167"/>
      <c r="QR167"/>
      <c r="QS167"/>
      <c r="QT167"/>
      <c r="QU167"/>
      <c r="QV167"/>
      <c r="QW167"/>
      <c r="QX167"/>
      <c r="QY167"/>
      <c r="QZ167"/>
      <c r="RA167"/>
      <c r="RB167"/>
      <c r="RC167"/>
      <c r="RD167"/>
      <c r="RE167"/>
      <c r="RF167"/>
      <c r="RG167"/>
      <c r="RH167"/>
      <c r="RI167"/>
      <c r="RJ167"/>
      <c r="RK167"/>
      <c r="RL167"/>
      <c r="RM167"/>
      <c r="RN167"/>
      <c r="RO167"/>
      <c r="RP167"/>
      <c r="RQ167"/>
      <c r="RR167"/>
      <c r="RS167"/>
      <c r="RT167"/>
      <c r="RU167"/>
      <c r="RV167"/>
      <c r="RW167"/>
      <c r="RX167"/>
      <c r="RY167"/>
      <c r="RZ167"/>
      <c r="SA167"/>
      <c r="SB167"/>
      <c r="SC167"/>
      <c r="SD167"/>
      <c r="SE167"/>
      <c r="SF167"/>
      <c r="SG167"/>
      <c r="SH167"/>
      <c r="SI167"/>
      <c r="SJ167"/>
      <c r="SK167"/>
      <c r="SL167"/>
      <c r="SM167"/>
      <c r="SN167"/>
      <c r="SO167"/>
      <c r="SP167"/>
      <c r="SQ167"/>
      <c r="SR167"/>
      <c r="SS167"/>
      <c r="ST167"/>
      <c r="SU167"/>
      <c r="SV167"/>
      <c r="SW167"/>
      <c r="SX167"/>
      <c r="SY167"/>
      <c r="SZ167"/>
      <c r="TA167"/>
      <c r="TB167"/>
      <c r="TC167"/>
      <c r="TD167"/>
      <c r="TE167"/>
      <c r="TF167"/>
      <c r="TG167"/>
      <c r="TH167"/>
    </row>
    <row r="168" spans="3:528" x14ac:dyDescent="0.25">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c r="KT168"/>
      <c r="KU168"/>
      <c r="KV168"/>
      <c r="KW168"/>
      <c r="KX168"/>
      <c r="KY168"/>
      <c r="KZ168"/>
      <c r="LA168"/>
      <c r="LB168"/>
      <c r="LC168"/>
      <c r="LD168"/>
      <c r="LE168"/>
      <c r="LF168"/>
      <c r="LG168"/>
      <c r="LH168"/>
      <c r="LI168"/>
      <c r="LJ168"/>
      <c r="LK168"/>
      <c r="LL168"/>
      <c r="LM168"/>
      <c r="LN168"/>
      <c r="LO168"/>
      <c r="LP168"/>
      <c r="LQ168"/>
      <c r="LR168"/>
      <c r="LS168"/>
      <c r="LT168"/>
      <c r="LU168"/>
      <c r="LV168"/>
      <c r="LW168"/>
      <c r="LX168"/>
      <c r="LY168"/>
      <c r="LZ168"/>
      <c r="MA168"/>
      <c r="MB168"/>
      <c r="MC168"/>
      <c r="MD168"/>
      <c r="ME168"/>
      <c r="MF168"/>
      <c r="MG168"/>
      <c r="MH168"/>
      <c r="MI168"/>
      <c r="MJ168"/>
      <c r="MK168"/>
      <c r="ML168"/>
      <c r="MM168"/>
      <c r="MN168"/>
      <c r="MO168"/>
      <c r="MP168"/>
      <c r="MQ168"/>
      <c r="MR168"/>
      <c r="MS168"/>
      <c r="MT168"/>
      <c r="MU168"/>
      <c r="MV168"/>
      <c r="MW168"/>
      <c r="MX168"/>
      <c r="MY168"/>
      <c r="MZ168"/>
      <c r="NA168"/>
      <c r="NB168"/>
      <c r="NC168"/>
      <c r="ND168"/>
      <c r="NE168"/>
      <c r="NF168"/>
      <c r="NG168"/>
      <c r="NH168"/>
      <c r="NI168"/>
      <c r="NJ168"/>
      <c r="NK168"/>
      <c r="NL168"/>
      <c r="NM168"/>
      <c r="NN168"/>
      <c r="NO168"/>
      <c r="NP168"/>
      <c r="NQ168"/>
      <c r="NR168"/>
      <c r="NS168"/>
      <c r="NT168"/>
      <c r="NU168"/>
      <c r="NV168"/>
      <c r="NW168"/>
      <c r="NX168"/>
      <c r="NY168"/>
      <c r="NZ168"/>
      <c r="OA168"/>
      <c r="OB168"/>
      <c r="OC168"/>
      <c r="OD168"/>
      <c r="OE168"/>
      <c r="OF168"/>
      <c r="OG168"/>
      <c r="OH168"/>
      <c r="OI168"/>
      <c r="OJ168"/>
      <c r="OK168"/>
      <c r="OL168"/>
      <c r="OM168"/>
      <c r="ON168"/>
      <c r="OO168"/>
      <c r="OP168"/>
      <c r="OQ168"/>
      <c r="OR168"/>
      <c r="OS168"/>
      <c r="OT168"/>
      <c r="OU168"/>
      <c r="OV168"/>
      <c r="OW168"/>
      <c r="OX168"/>
      <c r="OY168"/>
      <c r="OZ168"/>
      <c r="PA168"/>
      <c r="PB168"/>
      <c r="PC168"/>
      <c r="PD168"/>
      <c r="PE168"/>
      <c r="PF168"/>
      <c r="PG168"/>
      <c r="PH168"/>
      <c r="PI168"/>
      <c r="PJ168"/>
      <c r="PK168"/>
      <c r="PL168"/>
      <c r="PM168"/>
      <c r="PN168"/>
      <c r="PO168"/>
      <c r="PP168"/>
      <c r="PQ168"/>
      <c r="PR168"/>
      <c r="PS168"/>
      <c r="PT168"/>
      <c r="PU168"/>
      <c r="PV168"/>
      <c r="PW168"/>
      <c r="PX168"/>
      <c r="PY168"/>
      <c r="PZ168"/>
      <c r="QA168"/>
      <c r="QB168"/>
      <c r="QC168"/>
      <c r="QD168"/>
      <c r="QE168"/>
      <c r="QF168"/>
      <c r="QG168"/>
      <c r="QH168"/>
      <c r="QI168"/>
      <c r="QJ168"/>
      <c r="QK168"/>
      <c r="QL168"/>
      <c r="QM168"/>
      <c r="QN168"/>
      <c r="QO168"/>
      <c r="QP168"/>
      <c r="QQ168"/>
      <c r="QR168"/>
      <c r="QS168"/>
      <c r="QT168"/>
      <c r="QU168"/>
      <c r="QV168"/>
      <c r="QW168"/>
      <c r="QX168"/>
      <c r="QY168"/>
      <c r="QZ168"/>
      <c r="RA168"/>
      <c r="RB168"/>
      <c r="RC168"/>
      <c r="RD168"/>
      <c r="RE168"/>
      <c r="RF168"/>
      <c r="RG168"/>
      <c r="RH168"/>
      <c r="RI168"/>
      <c r="RJ168"/>
      <c r="RK168"/>
      <c r="RL168"/>
      <c r="RM168"/>
      <c r="RN168"/>
      <c r="RO168"/>
      <c r="RP168"/>
      <c r="RQ168"/>
      <c r="RR168"/>
      <c r="RS168"/>
      <c r="RT168"/>
      <c r="RU168"/>
      <c r="RV168"/>
      <c r="RW168"/>
      <c r="RX168"/>
      <c r="RY168"/>
      <c r="RZ168"/>
      <c r="SA168"/>
      <c r="SB168"/>
      <c r="SC168"/>
      <c r="SD168"/>
      <c r="SE168"/>
      <c r="SF168"/>
      <c r="SG168"/>
      <c r="SH168"/>
      <c r="SI168"/>
      <c r="SJ168"/>
      <c r="SK168"/>
      <c r="SL168"/>
      <c r="SM168"/>
      <c r="SN168"/>
      <c r="SO168"/>
      <c r="SP168"/>
      <c r="SQ168"/>
      <c r="SR168"/>
      <c r="SS168"/>
      <c r="ST168"/>
      <c r="SU168"/>
      <c r="SV168"/>
      <c r="SW168"/>
      <c r="SX168"/>
      <c r="SY168"/>
      <c r="SZ168"/>
      <c r="TA168"/>
      <c r="TB168"/>
      <c r="TC168"/>
      <c r="TD168"/>
      <c r="TE168"/>
      <c r="TF168"/>
      <c r="TG168"/>
      <c r="TH168"/>
    </row>
    <row r="169" spans="3:528" x14ac:dyDescent="0.25">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c r="KT169"/>
      <c r="KU169"/>
      <c r="KV169"/>
      <c r="KW169"/>
      <c r="KX169"/>
      <c r="KY169"/>
      <c r="KZ169"/>
      <c r="LA169"/>
      <c r="LB169"/>
      <c r="LC169"/>
      <c r="LD169"/>
      <c r="LE169"/>
      <c r="LF169"/>
      <c r="LG169"/>
      <c r="LH169"/>
      <c r="LI169"/>
      <c r="LJ169"/>
      <c r="LK169"/>
      <c r="LL169"/>
      <c r="LM169"/>
      <c r="LN169"/>
      <c r="LO169"/>
      <c r="LP169"/>
      <c r="LQ169"/>
      <c r="LR169"/>
      <c r="LS169"/>
      <c r="LT169"/>
      <c r="LU169"/>
      <c r="LV169"/>
      <c r="LW169"/>
      <c r="LX169"/>
      <c r="LY169"/>
      <c r="LZ169"/>
      <c r="MA169"/>
      <c r="MB169"/>
      <c r="MC169"/>
      <c r="MD169"/>
      <c r="ME169"/>
      <c r="MF169"/>
      <c r="MG169"/>
      <c r="MH169"/>
      <c r="MI169"/>
      <c r="MJ169"/>
      <c r="MK169"/>
      <c r="ML169"/>
      <c r="MM169"/>
      <c r="MN169"/>
      <c r="MO169"/>
      <c r="MP169"/>
      <c r="MQ169"/>
      <c r="MR169"/>
      <c r="MS169"/>
      <c r="MT169"/>
      <c r="MU169"/>
      <c r="MV169"/>
      <c r="MW169"/>
      <c r="MX169"/>
      <c r="MY169"/>
      <c r="MZ169"/>
      <c r="NA169"/>
      <c r="NB169"/>
      <c r="NC169"/>
      <c r="ND169"/>
      <c r="NE169"/>
      <c r="NF169"/>
      <c r="NG169"/>
      <c r="NH169"/>
      <c r="NI169"/>
      <c r="NJ169"/>
      <c r="NK169"/>
      <c r="NL169"/>
      <c r="NM169"/>
      <c r="NN169"/>
      <c r="NO169"/>
      <c r="NP169"/>
      <c r="NQ169"/>
      <c r="NR169"/>
      <c r="NS169"/>
      <c r="NT169"/>
      <c r="NU169"/>
      <c r="NV169"/>
      <c r="NW169"/>
      <c r="NX169"/>
      <c r="NY169"/>
      <c r="NZ169"/>
      <c r="OA169"/>
      <c r="OB169"/>
      <c r="OC169"/>
      <c r="OD169"/>
      <c r="OE169"/>
      <c r="OF169"/>
      <c r="OG169"/>
      <c r="OH169"/>
      <c r="OI169"/>
      <c r="OJ169"/>
      <c r="OK169"/>
      <c r="OL169"/>
      <c r="OM169"/>
      <c r="ON169"/>
      <c r="OO169"/>
      <c r="OP169"/>
      <c r="OQ169"/>
      <c r="OR169"/>
      <c r="OS169"/>
      <c r="OT169"/>
      <c r="OU169"/>
      <c r="OV169"/>
      <c r="OW169"/>
      <c r="OX169"/>
      <c r="OY169"/>
      <c r="OZ169"/>
      <c r="PA169"/>
      <c r="PB169"/>
      <c r="PC169"/>
      <c r="PD169"/>
      <c r="PE169"/>
      <c r="PF169"/>
      <c r="PG169"/>
      <c r="PH169"/>
      <c r="PI169"/>
      <c r="PJ169"/>
      <c r="PK169"/>
      <c r="PL169"/>
      <c r="PM169"/>
      <c r="PN169"/>
      <c r="PO169"/>
      <c r="PP169"/>
      <c r="PQ169"/>
      <c r="PR169"/>
      <c r="PS169"/>
      <c r="PT169"/>
      <c r="PU169"/>
      <c r="PV169"/>
      <c r="PW169"/>
      <c r="PX169"/>
      <c r="PY169"/>
      <c r="PZ169"/>
      <c r="QA169"/>
      <c r="QB169"/>
      <c r="QC169"/>
      <c r="QD169"/>
      <c r="QE169"/>
      <c r="QF169"/>
      <c r="QG169"/>
      <c r="QH169"/>
      <c r="QI169"/>
      <c r="QJ169"/>
      <c r="QK169"/>
      <c r="QL169"/>
      <c r="QM169"/>
      <c r="QN169"/>
      <c r="QO169"/>
      <c r="QP169"/>
      <c r="QQ169"/>
      <c r="QR169"/>
      <c r="QS169"/>
      <c r="QT169"/>
      <c r="QU169"/>
      <c r="QV169"/>
      <c r="QW169"/>
      <c r="QX169"/>
      <c r="QY169"/>
      <c r="QZ169"/>
      <c r="RA169"/>
      <c r="RB169"/>
      <c r="RC169"/>
      <c r="RD169"/>
      <c r="RE169"/>
      <c r="RF169"/>
      <c r="RG169"/>
      <c r="RH169"/>
      <c r="RI169"/>
      <c r="RJ169"/>
      <c r="RK169"/>
      <c r="RL169"/>
      <c r="RM169"/>
      <c r="RN169"/>
      <c r="RO169"/>
      <c r="RP169"/>
      <c r="RQ169"/>
      <c r="RR169"/>
      <c r="RS169"/>
      <c r="RT169"/>
      <c r="RU169"/>
      <c r="RV169"/>
      <c r="RW169"/>
      <c r="RX169"/>
      <c r="RY169"/>
      <c r="RZ169"/>
      <c r="SA169"/>
      <c r="SB169"/>
      <c r="SC169"/>
      <c r="SD169"/>
      <c r="SE169"/>
      <c r="SF169"/>
      <c r="SG169"/>
      <c r="SH169"/>
      <c r="SI169"/>
      <c r="SJ169"/>
      <c r="SK169"/>
      <c r="SL169"/>
      <c r="SM169"/>
      <c r="SN169"/>
      <c r="SO169"/>
      <c r="SP169"/>
      <c r="SQ169"/>
      <c r="SR169"/>
      <c r="SS169"/>
      <c r="ST169"/>
      <c r="SU169"/>
      <c r="SV169"/>
      <c r="SW169"/>
      <c r="SX169"/>
      <c r="SY169"/>
      <c r="SZ169"/>
      <c r="TA169"/>
      <c r="TB169"/>
      <c r="TC169"/>
      <c r="TD169"/>
      <c r="TE169"/>
      <c r="TF169"/>
      <c r="TG169"/>
      <c r="TH169"/>
    </row>
    <row r="170" spans="3:528" x14ac:dyDescent="0.25">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c r="KT170"/>
      <c r="KU170"/>
      <c r="KV170"/>
      <c r="KW170"/>
      <c r="KX170"/>
      <c r="KY170"/>
      <c r="KZ170"/>
      <c r="LA170"/>
      <c r="LB170"/>
      <c r="LC170"/>
      <c r="LD170"/>
      <c r="LE170"/>
      <c r="LF170"/>
      <c r="LG170"/>
      <c r="LH170"/>
      <c r="LI170"/>
      <c r="LJ170"/>
      <c r="LK170"/>
      <c r="LL170"/>
      <c r="LM170"/>
      <c r="LN170"/>
      <c r="LO170"/>
      <c r="LP170"/>
      <c r="LQ170"/>
      <c r="LR170"/>
      <c r="LS170"/>
      <c r="LT170"/>
      <c r="LU170"/>
      <c r="LV170"/>
      <c r="LW170"/>
      <c r="LX170"/>
      <c r="LY170"/>
      <c r="LZ170"/>
      <c r="MA170"/>
      <c r="MB170"/>
      <c r="MC170"/>
      <c r="MD170"/>
      <c r="ME170"/>
      <c r="MF170"/>
      <c r="MG170"/>
      <c r="MH170"/>
      <c r="MI170"/>
      <c r="MJ170"/>
      <c r="MK170"/>
      <c r="ML170"/>
      <c r="MM170"/>
      <c r="MN170"/>
      <c r="MO170"/>
      <c r="MP170"/>
      <c r="MQ170"/>
      <c r="MR170"/>
      <c r="MS170"/>
      <c r="MT170"/>
      <c r="MU170"/>
      <c r="MV170"/>
      <c r="MW170"/>
      <c r="MX170"/>
      <c r="MY170"/>
      <c r="MZ170"/>
      <c r="NA170"/>
      <c r="NB170"/>
      <c r="NC170"/>
      <c r="ND170"/>
      <c r="NE170"/>
      <c r="NF170"/>
      <c r="NG170"/>
      <c r="NH170"/>
      <c r="NI170"/>
      <c r="NJ170"/>
      <c r="NK170"/>
      <c r="NL170"/>
      <c r="NM170"/>
      <c r="NN170"/>
      <c r="NO170"/>
      <c r="NP170"/>
      <c r="NQ170"/>
      <c r="NR170"/>
      <c r="NS170"/>
      <c r="NT170"/>
      <c r="NU170"/>
      <c r="NV170"/>
      <c r="NW170"/>
      <c r="NX170"/>
      <c r="NY170"/>
      <c r="NZ170"/>
      <c r="OA170"/>
      <c r="OB170"/>
      <c r="OC170"/>
      <c r="OD170"/>
      <c r="OE170"/>
      <c r="OF170"/>
      <c r="OG170"/>
      <c r="OH170"/>
      <c r="OI170"/>
      <c r="OJ170"/>
      <c r="OK170"/>
      <c r="OL170"/>
      <c r="OM170"/>
      <c r="ON170"/>
      <c r="OO170"/>
      <c r="OP170"/>
      <c r="OQ170"/>
      <c r="OR170"/>
      <c r="OS170"/>
      <c r="OT170"/>
      <c r="OU170"/>
      <c r="OV170"/>
      <c r="OW170"/>
      <c r="OX170"/>
      <c r="OY170"/>
      <c r="OZ170"/>
      <c r="PA170"/>
      <c r="PB170"/>
      <c r="PC170"/>
      <c r="PD170"/>
      <c r="PE170"/>
      <c r="PF170"/>
      <c r="PG170"/>
      <c r="PH170"/>
      <c r="PI170"/>
      <c r="PJ170"/>
      <c r="PK170"/>
      <c r="PL170"/>
      <c r="PM170"/>
      <c r="PN170"/>
      <c r="PO170"/>
      <c r="PP170"/>
      <c r="PQ170"/>
      <c r="PR170"/>
      <c r="PS170"/>
      <c r="PT170"/>
      <c r="PU170"/>
      <c r="PV170"/>
      <c r="PW170"/>
      <c r="PX170"/>
      <c r="PY170"/>
      <c r="PZ170"/>
      <c r="QA170"/>
      <c r="QB170"/>
      <c r="QC170"/>
      <c r="QD170"/>
      <c r="QE170"/>
      <c r="QF170"/>
      <c r="QG170"/>
      <c r="QH170"/>
      <c r="QI170"/>
      <c r="QJ170"/>
      <c r="QK170"/>
      <c r="QL170"/>
      <c r="QM170"/>
      <c r="QN170"/>
      <c r="QO170"/>
      <c r="QP170"/>
      <c r="QQ170"/>
      <c r="QR170"/>
      <c r="QS170"/>
      <c r="QT170"/>
      <c r="QU170"/>
      <c r="QV170"/>
      <c r="QW170"/>
      <c r="QX170"/>
      <c r="QY170"/>
      <c r="QZ170"/>
      <c r="RA170"/>
      <c r="RB170"/>
      <c r="RC170"/>
      <c r="RD170"/>
      <c r="RE170"/>
      <c r="RF170"/>
      <c r="RG170"/>
      <c r="RH170"/>
      <c r="RI170"/>
      <c r="RJ170"/>
      <c r="RK170"/>
      <c r="RL170"/>
      <c r="RM170"/>
      <c r="RN170"/>
      <c r="RO170"/>
      <c r="RP170"/>
      <c r="RQ170"/>
      <c r="RR170"/>
      <c r="RS170"/>
      <c r="RT170"/>
      <c r="RU170"/>
      <c r="RV170"/>
      <c r="RW170"/>
      <c r="RX170"/>
      <c r="RY170"/>
      <c r="RZ170"/>
      <c r="SA170"/>
      <c r="SB170"/>
      <c r="SC170"/>
      <c r="SD170"/>
      <c r="SE170"/>
      <c r="SF170"/>
      <c r="SG170"/>
      <c r="SH170"/>
      <c r="SI170"/>
      <c r="SJ170"/>
      <c r="SK170"/>
      <c r="SL170"/>
      <c r="SM170"/>
      <c r="SN170"/>
      <c r="SO170"/>
      <c r="SP170"/>
      <c r="SQ170"/>
      <c r="SR170"/>
      <c r="SS170"/>
      <c r="ST170"/>
      <c r="SU170"/>
      <c r="SV170"/>
      <c r="SW170"/>
      <c r="SX170"/>
      <c r="SY170"/>
      <c r="SZ170"/>
      <c r="TA170"/>
      <c r="TB170"/>
      <c r="TC170"/>
      <c r="TD170"/>
      <c r="TE170"/>
      <c r="TF170"/>
      <c r="TG170"/>
      <c r="TH170"/>
    </row>
    <row r="171" spans="3:528" x14ac:dyDescent="0.25">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c r="KT171"/>
      <c r="KU171"/>
      <c r="KV171"/>
      <c r="KW171"/>
      <c r="KX171"/>
      <c r="KY171"/>
      <c r="KZ171"/>
      <c r="LA171"/>
      <c r="LB171"/>
      <c r="LC171"/>
      <c r="LD171"/>
      <c r="LE171"/>
      <c r="LF171"/>
      <c r="LG171"/>
      <c r="LH171"/>
      <c r="LI171"/>
      <c r="LJ171"/>
      <c r="LK171"/>
      <c r="LL171"/>
      <c r="LM171"/>
      <c r="LN171"/>
      <c r="LO171"/>
      <c r="LP171"/>
      <c r="LQ171"/>
      <c r="LR171"/>
      <c r="LS171"/>
      <c r="LT171"/>
      <c r="LU171"/>
      <c r="LV171"/>
      <c r="LW171"/>
      <c r="LX171"/>
      <c r="LY171"/>
      <c r="LZ171"/>
      <c r="MA171"/>
      <c r="MB171"/>
      <c r="MC171"/>
      <c r="MD171"/>
      <c r="ME171"/>
      <c r="MF171"/>
      <c r="MG171"/>
      <c r="MH171"/>
      <c r="MI171"/>
      <c r="MJ171"/>
      <c r="MK171"/>
      <c r="ML171"/>
      <c r="MM171"/>
      <c r="MN171"/>
      <c r="MO171"/>
      <c r="MP171"/>
      <c r="MQ171"/>
      <c r="MR171"/>
      <c r="MS171"/>
      <c r="MT171"/>
      <c r="MU171"/>
      <c r="MV171"/>
      <c r="MW171"/>
      <c r="MX171"/>
      <c r="MY171"/>
      <c r="MZ171"/>
      <c r="NA171"/>
      <c r="NB171"/>
      <c r="NC171"/>
      <c r="ND171"/>
      <c r="NE171"/>
      <c r="NF171"/>
      <c r="NG171"/>
      <c r="NH171"/>
      <c r="NI171"/>
      <c r="NJ171"/>
      <c r="NK171"/>
      <c r="NL171"/>
      <c r="NM171"/>
      <c r="NN171"/>
      <c r="NO171"/>
      <c r="NP171"/>
      <c r="NQ171"/>
      <c r="NR171"/>
      <c r="NS171"/>
      <c r="NT171"/>
      <c r="NU171"/>
      <c r="NV171"/>
      <c r="NW171"/>
      <c r="NX171"/>
      <c r="NY171"/>
      <c r="NZ171"/>
      <c r="OA171"/>
      <c r="OB171"/>
      <c r="OC171"/>
      <c r="OD171"/>
      <c r="OE171"/>
      <c r="OF171"/>
      <c r="OG171"/>
      <c r="OH171"/>
      <c r="OI171"/>
      <c r="OJ171"/>
      <c r="OK171"/>
      <c r="OL171"/>
      <c r="OM171"/>
      <c r="ON171"/>
      <c r="OO171"/>
      <c r="OP171"/>
      <c r="OQ171"/>
      <c r="OR171"/>
      <c r="OS171"/>
      <c r="OT171"/>
      <c r="OU171"/>
      <c r="OV171"/>
      <c r="OW171"/>
      <c r="OX171"/>
      <c r="OY171"/>
      <c r="OZ171"/>
      <c r="PA171"/>
      <c r="PB171"/>
      <c r="PC171"/>
      <c r="PD171"/>
      <c r="PE171"/>
      <c r="PF171"/>
      <c r="PG171"/>
      <c r="PH171"/>
      <c r="PI171"/>
      <c r="PJ171"/>
      <c r="PK171"/>
      <c r="PL171"/>
      <c r="PM171"/>
      <c r="PN171"/>
      <c r="PO171"/>
      <c r="PP171"/>
      <c r="PQ171"/>
      <c r="PR171"/>
      <c r="PS171"/>
      <c r="PT171"/>
      <c r="PU171"/>
      <c r="PV171"/>
      <c r="PW171"/>
      <c r="PX171"/>
      <c r="PY171"/>
      <c r="PZ171"/>
      <c r="QA171"/>
      <c r="QB171"/>
      <c r="QC171"/>
      <c r="QD171"/>
      <c r="QE171"/>
      <c r="QF171"/>
      <c r="QG171"/>
      <c r="QH171"/>
      <c r="QI171"/>
      <c r="QJ171"/>
      <c r="QK171"/>
      <c r="QL171"/>
      <c r="QM171"/>
      <c r="QN171"/>
      <c r="QO171"/>
      <c r="QP171"/>
      <c r="QQ171"/>
      <c r="QR171"/>
      <c r="QS171"/>
      <c r="QT171"/>
      <c r="QU171"/>
      <c r="QV171"/>
      <c r="QW171"/>
      <c r="QX171"/>
      <c r="QY171"/>
      <c r="QZ171"/>
      <c r="RA171"/>
      <c r="RB171"/>
      <c r="RC171"/>
      <c r="RD171"/>
      <c r="RE171"/>
      <c r="RF171"/>
      <c r="RG171"/>
      <c r="RH171"/>
      <c r="RI171"/>
      <c r="RJ171"/>
      <c r="RK171"/>
      <c r="RL171"/>
      <c r="RM171"/>
      <c r="RN171"/>
      <c r="RO171"/>
      <c r="RP171"/>
      <c r="RQ171"/>
      <c r="RR171"/>
      <c r="RS171"/>
      <c r="RT171"/>
      <c r="RU171"/>
      <c r="RV171"/>
      <c r="RW171"/>
      <c r="RX171"/>
      <c r="RY171"/>
      <c r="RZ171"/>
      <c r="SA171"/>
      <c r="SB171"/>
      <c r="SC171"/>
      <c r="SD171"/>
      <c r="SE171"/>
      <c r="SF171"/>
      <c r="SG171"/>
      <c r="SH171"/>
      <c r="SI171"/>
      <c r="SJ171"/>
      <c r="SK171"/>
      <c r="SL171"/>
      <c r="SM171"/>
      <c r="SN171"/>
      <c r="SO171"/>
      <c r="SP171"/>
      <c r="SQ171"/>
      <c r="SR171"/>
      <c r="SS171"/>
      <c r="ST171"/>
      <c r="SU171"/>
      <c r="SV171"/>
      <c r="SW171"/>
      <c r="SX171"/>
      <c r="SY171"/>
      <c r="SZ171"/>
      <c r="TA171"/>
      <c r="TB171"/>
      <c r="TC171"/>
      <c r="TD171"/>
      <c r="TE171"/>
      <c r="TF171"/>
      <c r="TG171"/>
      <c r="TH171"/>
    </row>
    <row r="172" spans="3:528" x14ac:dyDescent="0.25">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c r="PC172"/>
      <c r="PD172"/>
      <c r="PE172"/>
      <c r="PF172"/>
      <c r="PG172"/>
      <c r="PH172"/>
      <c r="PI172"/>
      <c r="PJ172"/>
      <c r="PK172"/>
      <c r="PL172"/>
      <c r="PM172"/>
      <c r="PN172"/>
      <c r="PO172"/>
      <c r="PP172"/>
      <c r="PQ172"/>
      <c r="PR172"/>
      <c r="PS172"/>
      <c r="PT172"/>
      <c r="PU172"/>
      <c r="PV172"/>
      <c r="PW172"/>
      <c r="PX172"/>
      <c r="PY172"/>
      <c r="PZ172"/>
      <c r="QA172"/>
      <c r="QB172"/>
      <c r="QC172"/>
      <c r="QD172"/>
      <c r="QE172"/>
      <c r="QF172"/>
      <c r="QG172"/>
      <c r="QH172"/>
      <c r="QI172"/>
      <c r="QJ172"/>
      <c r="QK172"/>
      <c r="QL172"/>
      <c r="QM172"/>
      <c r="QN172"/>
      <c r="QO172"/>
      <c r="QP172"/>
      <c r="QQ172"/>
      <c r="QR172"/>
      <c r="QS172"/>
      <c r="QT172"/>
      <c r="QU172"/>
      <c r="QV172"/>
      <c r="QW172"/>
      <c r="QX172"/>
      <c r="QY172"/>
      <c r="QZ172"/>
      <c r="RA172"/>
      <c r="RB172"/>
      <c r="RC172"/>
      <c r="RD172"/>
      <c r="RE172"/>
      <c r="RF172"/>
      <c r="RG172"/>
      <c r="RH172"/>
      <c r="RI172"/>
      <c r="RJ172"/>
      <c r="RK172"/>
      <c r="RL172"/>
      <c r="RM172"/>
      <c r="RN172"/>
      <c r="RO172"/>
      <c r="RP172"/>
      <c r="RQ172"/>
      <c r="RR172"/>
      <c r="RS172"/>
      <c r="RT172"/>
      <c r="RU172"/>
      <c r="RV172"/>
      <c r="RW172"/>
      <c r="RX172"/>
      <c r="RY172"/>
      <c r="RZ172"/>
      <c r="SA172"/>
      <c r="SB172"/>
      <c r="SC172"/>
      <c r="SD172"/>
      <c r="SE172"/>
      <c r="SF172"/>
      <c r="SG172"/>
      <c r="SH172"/>
      <c r="SI172"/>
      <c r="SJ172"/>
      <c r="SK172"/>
      <c r="SL172"/>
      <c r="SM172"/>
      <c r="SN172"/>
      <c r="SO172"/>
      <c r="SP172"/>
      <c r="SQ172"/>
      <c r="SR172"/>
      <c r="SS172"/>
      <c r="ST172"/>
      <c r="SU172"/>
      <c r="SV172"/>
      <c r="SW172"/>
      <c r="SX172"/>
      <c r="SY172"/>
      <c r="SZ172"/>
      <c r="TA172"/>
      <c r="TB172"/>
      <c r="TC172"/>
      <c r="TD172"/>
      <c r="TE172"/>
      <c r="TF172"/>
      <c r="TG172"/>
      <c r="TH172"/>
    </row>
    <row r="173" spans="3:528" x14ac:dyDescent="0.25">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c r="PC173"/>
      <c r="PD173"/>
      <c r="PE173"/>
      <c r="PF173"/>
      <c r="PG173"/>
      <c r="PH173"/>
      <c r="PI173"/>
      <c r="PJ173"/>
      <c r="PK173"/>
      <c r="PL173"/>
      <c r="PM173"/>
      <c r="PN173"/>
      <c r="PO173"/>
      <c r="PP173"/>
      <c r="PQ173"/>
      <c r="PR173"/>
      <c r="PS173"/>
      <c r="PT173"/>
      <c r="PU173"/>
      <c r="PV173"/>
      <c r="PW173"/>
      <c r="PX173"/>
      <c r="PY173"/>
      <c r="PZ173"/>
      <c r="QA173"/>
      <c r="QB173"/>
      <c r="QC173"/>
      <c r="QD173"/>
      <c r="QE173"/>
      <c r="QF173"/>
      <c r="QG173"/>
      <c r="QH173"/>
      <c r="QI173"/>
      <c r="QJ173"/>
      <c r="QK173"/>
      <c r="QL173"/>
      <c r="QM173"/>
      <c r="QN173"/>
      <c r="QO173"/>
      <c r="QP173"/>
      <c r="QQ173"/>
      <c r="QR173"/>
      <c r="QS173"/>
      <c r="QT173"/>
      <c r="QU173"/>
      <c r="QV173"/>
      <c r="QW173"/>
      <c r="QX173"/>
      <c r="QY173"/>
      <c r="QZ173"/>
      <c r="RA173"/>
      <c r="RB173"/>
      <c r="RC173"/>
      <c r="RD173"/>
      <c r="RE173"/>
      <c r="RF173"/>
      <c r="RG173"/>
      <c r="RH173"/>
      <c r="RI173"/>
      <c r="RJ173"/>
      <c r="RK173"/>
      <c r="RL173"/>
      <c r="RM173"/>
      <c r="RN173"/>
      <c r="RO173"/>
      <c r="RP173"/>
      <c r="RQ173"/>
      <c r="RR173"/>
      <c r="RS173"/>
      <c r="RT173"/>
      <c r="RU173"/>
      <c r="RV173"/>
      <c r="RW173"/>
      <c r="RX173"/>
      <c r="RY173"/>
      <c r="RZ173"/>
      <c r="SA173"/>
      <c r="SB173"/>
      <c r="SC173"/>
      <c r="SD173"/>
      <c r="SE173"/>
      <c r="SF173"/>
      <c r="SG173"/>
      <c r="SH173"/>
      <c r="SI173"/>
      <c r="SJ173"/>
      <c r="SK173"/>
      <c r="SL173"/>
      <c r="SM173"/>
      <c r="SN173"/>
      <c r="SO173"/>
      <c r="SP173"/>
      <c r="SQ173"/>
      <c r="SR173"/>
      <c r="SS173"/>
      <c r="ST173"/>
      <c r="SU173"/>
      <c r="SV173"/>
      <c r="SW173"/>
      <c r="SX173"/>
      <c r="SY173"/>
      <c r="SZ173"/>
      <c r="TA173"/>
      <c r="TB173"/>
      <c r="TC173"/>
      <c r="TD173"/>
      <c r="TE173"/>
      <c r="TF173"/>
      <c r="TG173"/>
      <c r="TH173"/>
    </row>
    <row r="174" spans="3:528" x14ac:dyDescent="0.25">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c r="PC174"/>
      <c r="PD174"/>
      <c r="PE174"/>
      <c r="PF174"/>
      <c r="PG174"/>
      <c r="PH174"/>
      <c r="PI174"/>
      <c r="PJ174"/>
      <c r="PK174"/>
      <c r="PL174"/>
      <c r="PM174"/>
      <c r="PN174"/>
      <c r="PO174"/>
      <c r="PP174"/>
      <c r="PQ174"/>
      <c r="PR174"/>
      <c r="PS174"/>
      <c r="PT174"/>
      <c r="PU174"/>
      <c r="PV174"/>
      <c r="PW174"/>
      <c r="PX174"/>
      <c r="PY174"/>
      <c r="PZ174"/>
      <c r="QA174"/>
      <c r="QB174"/>
      <c r="QC174"/>
      <c r="QD174"/>
      <c r="QE174"/>
      <c r="QF174"/>
      <c r="QG174"/>
      <c r="QH174"/>
      <c r="QI174"/>
      <c r="QJ174"/>
      <c r="QK174"/>
      <c r="QL174"/>
      <c r="QM174"/>
      <c r="QN174"/>
      <c r="QO174"/>
      <c r="QP174"/>
      <c r="QQ174"/>
      <c r="QR174"/>
      <c r="QS174"/>
      <c r="QT174"/>
      <c r="QU174"/>
      <c r="QV174"/>
      <c r="QW174"/>
      <c r="QX174"/>
      <c r="QY174"/>
      <c r="QZ174"/>
      <c r="RA174"/>
      <c r="RB174"/>
      <c r="RC174"/>
      <c r="RD174"/>
      <c r="RE174"/>
      <c r="RF174"/>
      <c r="RG174"/>
      <c r="RH174"/>
      <c r="RI174"/>
      <c r="RJ174"/>
      <c r="RK174"/>
      <c r="RL174"/>
      <c r="RM174"/>
      <c r="RN174"/>
      <c r="RO174"/>
      <c r="RP174"/>
      <c r="RQ174"/>
      <c r="RR174"/>
      <c r="RS174"/>
      <c r="RT174"/>
      <c r="RU174"/>
      <c r="RV174"/>
      <c r="RW174"/>
      <c r="RX174"/>
      <c r="RY174"/>
      <c r="RZ174"/>
      <c r="SA174"/>
      <c r="SB174"/>
      <c r="SC174"/>
      <c r="SD174"/>
      <c r="SE174"/>
      <c r="SF174"/>
      <c r="SG174"/>
      <c r="SH174"/>
      <c r="SI174"/>
      <c r="SJ174"/>
      <c r="SK174"/>
      <c r="SL174"/>
      <c r="SM174"/>
      <c r="SN174"/>
      <c r="SO174"/>
      <c r="SP174"/>
      <c r="SQ174"/>
      <c r="SR174"/>
      <c r="SS174"/>
      <c r="ST174"/>
      <c r="SU174"/>
      <c r="SV174"/>
      <c r="SW174"/>
      <c r="SX174"/>
      <c r="SY174"/>
      <c r="SZ174"/>
      <c r="TA174"/>
      <c r="TB174"/>
      <c r="TC174"/>
      <c r="TD174"/>
      <c r="TE174"/>
      <c r="TF174"/>
      <c r="TG174"/>
      <c r="TH174"/>
    </row>
    <row r="175" spans="3:528" x14ac:dyDescent="0.2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c r="PC175"/>
      <c r="PD175"/>
      <c r="PE175"/>
      <c r="PF175"/>
      <c r="PG175"/>
      <c r="PH175"/>
      <c r="PI175"/>
      <c r="PJ175"/>
      <c r="PK175"/>
      <c r="PL175"/>
      <c r="PM175"/>
      <c r="PN175"/>
      <c r="PO175"/>
      <c r="PP175"/>
      <c r="PQ175"/>
      <c r="PR175"/>
      <c r="PS175"/>
      <c r="PT175"/>
      <c r="PU175"/>
      <c r="PV175"/>
      <c r="PW175"/>
      <c r="PX175"/>
      <c r="PY175"/>
      <c r="PZ175"/>
      <c r="QA175"/>
      <c r="QB175"/>
      <c r="QC175"/>
      <c r="QD175"/>
      <c r="QE175"/>
      <c r="QF175"/>
      <c r="QG175"/>
      <c r="QH175"/>
      <c r="QI175"/>
      <c r="QJ175"/>
      <c r="QK175"/>
      <c r="QL175"/>
      <c r="QM175"/>
      <c r="QN175"/>
      <c r="QO175"/>
      <c r="QP175"/>
      <c r="QQ175"/>
      <c r="QR175"/>
      <c r="QS175"/>
      <c r="QT175"/>
      <c r="QU175"/>
      <c r="QV175"/>
      <c r="QW175"/>
      <c r="QX175"/>
      <c r="QY175"/>
      <c r="QZ175"/>
      <c r="RA175"/>
      <c r="RB175"/>
      <c r="RC175"/>
      <c r="RD175"/>
      <c r="RE175"/>
      <c r="RF175"/>
      <c r="RG175"/>
      <c r="RH175"/>
      <c r="RI175"/>
      <c r="RJ175"/>
      <c r="RK175"/>
      <c r="RL175"/>
      <c r="RM175"/>
      <c r="RN175"/>
      <c r="RO175"/>
      <c r="RP175"/>
      <c r="RQ175"/>
      <c r="RR175"/>
      <c r="RS175"/>
      <c r="RT175"/>
      <c r="RU175"/>
      <c r="RV175"/>
      <c r="RW175"/>
      <c r="RX175"/>
      <c r="RY175"/>
      <c r="RZ175"/>
      <c r="SA175"/>
      <c r="SB175"/>
      <c r="SC175"/>
      <c r="SD175"/>
      <c r="SE175"/>
      <c r="SF175"/>
      <c r="SG175"/>
      <c r="SH175"/>
      <c r="SI175"/>
      <c r="SJ175"/>
      <c r="SK175"/>
      <c r="SL175"/>
      <c r="SM175"/>
      <c r="SN175"/>
      <c r="SO175"/>
      <c r="SP175"/>
      <c r="SQ175"/>
      <c r="SR175"/>
      <c r="SS175"/>
      <c r="ST175"/>
      <c r="SU175"/>
      <c r="SV175"/>
      <c r="SW175"/>
      <c r="SX175"/>
      <c r="SY175"/>
      <c r="SZ175"/>
      <c r="TA175"/>
      <c r="TB175"/>
      <c r="TC175"/>
      <c r="TD175"/>
      <c r="TE175"/>
      <c r="TF175"/>
      <c r="TG175"/>
      <c r="TH175"/>
    </row>
    <row r="176" spans="3:528" x14ac:dyDescent="0.25">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c r="PC176"/>
      <c r="PD176"/>
      <c r="PE176"/>
      <c r="PF176"/>
      <c r="PG176"/>
      <c r="PH176"/>
      <c r="PI176"/>
      <c r="PJ176"/>
      <c r="PK176"/>
      <c r="PL176"/>
      <c r="PM176"/>
      <c r="PN176"/>
      <c r="PO176"/>
      <c r="PP176"/>
      <c r="PQ176"/>
      <c r="PR176"/>
      <c r="PS176"/>
      <c r="PT176"/>
      <c r="PU176"/>
      <c r="PV176"/>
      <c r="PW176"/>
      <c r="PX176"/>
      <c r="PY176"/>
      <c r="PZ176"/>
      <c r="QA176"/>
      <c r="QB176"/>
      <c r="QC176"/>
      <c r="QD176"/>
      <c r="QE176"/>
      <c r="QF176"/>
      <c r="QG176"/>
      <c r="QH176"/>
      <c r="QI176"/>
      <c r="QJ176"/>
      <c r="QK176"/>
      <c r="QL176"/>
      <c r="QM176"/>
      <c r="QN176"/>
      <c r="QO176"/>
      <c r="QP176"/>
      <c r="QQ176"/>
      <c r="QR176"/>
      <c r="QS176"/>
      <c r="QT176"/>
      <c r="QU176"/>
      <c r="QV176"/>
      <c r="QW176"/>
      <c r="QX176"/>
      <c r="QY176"/>
      <c r="QZ176"/>
      <c r="RA176"/>
      <c r="RB176"/>
      <c r="RC176"/>
      <c r="RD176"/>
      <c r="RE176"/>
      <c r="RF176"/>
      <c r="RG176"/>
      <c r="RH176"/>
      <c r="RI176"/>
      <c r="RJ176"/>
      <c r="RK176"/>
      <c r="RL176"/>
      <c r="RM176"/>
      <c r="RN176"/>
      <c r="RO176"/>
      <c r="RP176"/>
      <c r="RQ176"/>
      <c r="RR176"/>
      <c r="RS176"/>
      <c r="RT176"/>
      <c r="RU176"/>
      <c r="RV176"/>
      <c r="RW176"/>
      <c r="RX176"/>
      <c r="RY176"/>
      <c r="RZ176"/>
      <c r="SA176"/>
      <c r="SB176"/>
      <c r="SC176"/>
      <c r="SD176"/>
      <c r="SE176"/>
      <c r="SF176"/>
      <c r="SG176"/>
      <c r="SH176"/>
      <c r="SI176"/>
      <c r="SJ176"/>
      <c r="SK176"/>
      <c r="SL176"/>
      <c r="SM176"/>
      <c r="SN176"/>
      <c r="SO176"/>
      <c r="SP176"/>
      <c r="SQ176"/>
      <c r="SR176"/>
      <c r="SS176"/>
      <c r="ST176"/>
      <c r="SU176"/>
      <c r="SV176"/>
      <c r="SW176"/>
      <c r="SX176"/>
      <c r="SY176"/>
      <c r="SZ176"/>
      <c r="TA176"/>
      <c r="TB176"/>
      <c r="TC176"/>
      <c r="TD176"/>
      <c r="TE176"/>
      <c r="TF176"/>
      <c r="TG176"/>
      <c r="TH176"/>
    </row>
    <row r="177" spans="3:528" x14ac:dyDescent="0.25">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row>
    <row r="178" spans="3:528" x14ac:dyDescent="0.25">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c r="PC178"/>
      <c r="PD178"/>
      <c r="PE178"/>
      <c r="PF178"/>
      <c r="PG178"/>
      <c r="PH178"/>
      <c r="PI178"/>
      <c r="PJ178"/>
      <c r="PK178"/>
      <c r="PL178"/>
      <c r="PM178"/>
      <c r="PN178"/>
      <c r="PO178"/>
      <c r="PP178"/>
      <c r="PQ178"/>
      <c r="PR178"/>
      <c r="PS178"/>
      <c r="PT178"/>
      <c r="PU178"/>
      <c r="PV178"/>
      <c r="PW178"/>
      <c r="PX178"/>
      <c r="PY178"/>
      <c r="PZ178"/>
      <c r="QA178"/>
      <c r="QB178"/>
      <c r="QC178"/>
      <c r="QD178"/>
      <c r="QE178"/>
      <c r="QF178"/>
      <c r="QG178"/>
      <c r="QH178"/>
      <c r="QI178"/>
      <c r="QJ178"/>
      <c r="QK178"/>
      <c r="QL178"/>
      <c r="QM178"/>
      <c r="QN178"/>
      <c r="QO178"/>
      <c r="QP178"/>
      <c r="QQ178"/>
      <c r="QR178"/>
      <c r="QS178"/>
      <c r="QT178"/>
      <c r="QU178"/>
      <c r="QV178"/>
      <c r="QW178"/>
      <c r="QX178"/>
      <c r="QY178"/>
      <c r="QZ178"/>
      <c r="RA178"/>
      <c r="RB178"/>
      <c r="RC178"/>
      <c r="RD178"/>
      <c r="RE178"/>
      <c r="RF178"/>
      <c r="RG178"/>
      <c r="RH178"/>
      <c r="RI178"/>
      <c r="RJ178"/>
      <c r="RK178"/>
      <c r="RL178"/>
      <c r="RM178"/>
      <c r="RN178"/>
      <c r="RO178"/>
      <c r="RP178"/>
      <c r="RQ178"/>
      <c r="RR178"/>
      <c r="RS178"/>
      <c r="RT178"/>
      <c r="RU178"/>
      <c r="RV178"/>
      <c r="RW178"/>
      <c r="RX178"/>
      <c r="RY178"/>
      <c r="RZ178"/>
      <c r="SA178"/>
      <c r="SB178"/>
      <c r="SC178"/>
      <c r="SD178"/>
      <c r="SE178"/>
      <c r="SF178"/>
      <c r="SG178"/>
      <c r="SH178"/>
      <c r="SI178"/>
      <c r="SJ178"/>
      <c r="SK178"/>
      <c r="SL178"/>
      <c r="SM178"/>
      <c r="SN178"/>
      <c r="SO178"/>
      <c r="SP178"/>
      <c r="SQ178"/>
      <c r="SR178"/>
      <c r="SS178"/>
      <c r="ST178"/>
      <c r="SU178"/>
      <c r="SV178"/>
      <c r="SW178"/>
      <c r="SX178"/>
      <c r="SY178"/>
      <c r="SZ178"/>
      <c r="TA178"/>
      <c r="TB178"/>
      <c r="TC178"/>
      <c r="TD178"/>
      <c r="TE178"/>
      <c r="TF178"/>
      <c r="TG178"/>
      <c r="TH178"/>
    </row>
    <row r="179" spans="3:528" x14ac:dyDescent="0.25">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c r="PC179"/>
      <c r="PD179"/>
      <c r="PE179"/>
      <c r="PF179"/>
      <c r="PG179"/>
      <c r="PH179"/>
      <c r="PI179"/>
      <c r="PJ179"/>
      <c r="PK179"/>
      <c r="PL179"/>
      <c r="PM179"/>
      <c r="PN179"/>
      <c r="PO179"/>
      <c r="PP179"/>
      <c r="PQ179"/>
      <c r="PR179"/>
      <c r="PS179"/>
      <c r="PT179"/>
      <c r="PU179"/>
      <c r="PV179"/>
      <c r="PW179"/>
      <c r="PX179"/>
      <c r="PY179"/>
      <c r="PZ179"/>
      <c r="QA179"/>
      <c r="QB179"/>
      <c r="QC179"/>
      <c r="QD179"/>
      <c r="QE179"/>
      <c r="QF179"/>
      <c r="QG179"/>
      <c r="QH179"/>
      <c r="QI179"/>
      <c r="QJ179"/>
      <c r="QK179"/>
      <c r="QL179"/>
      <c r="QM179"/>
      <c r="QN179"/>
      <c r="QO179"/>
      <c r="QP179"/>
      <c r="QQ179"/>
      <c r="QR179"/>
      <c r="QS179"/>
      <c r="QT179"/>
      <c r="QU179"/>
      <c r="QV179"/>
      <c r="QW179"/>
      <c r="QX179"/>
      <c r="QY179"/>
      <c r="QZ179"/>
      <c r="RA179"/>
      <c r="RB179"/>
      <c r="RC179"/>
      <c r="RD179"/>
      <c r="RE179"/>
      <c r="RF179"/>
      <c r="RG179"/>
      <c r="RH179"/>
      <c r="RI179"/>
      <c r="RJ179"/>
      <c r="RK179"/>
      <c r="RL179"/>
      <c r="RM179"/>
      <c r="RN179"/>
      <c r="RO179"/>
      <c r="RP179"/>
      <c r="RQ179"/>
      <c r="RR179"/>
      <c r="RS179"/>
      <c r="RT179"/>
      <c r="RU179"/>
      <c r="RV179"/>
      <c r="RW179"/>
      <c r="RX179"/>
      <c r="RY179"/>
      <c r="RZ179"/>
      <c r="SA179"/>
      <c r="SB179"/>
      <c r="SC179"/>
      <c r="SD179"/>
      <c r="SE179"/>
      <c r="SF179"/>
      <c r="SG179"/>
      <c r="SH179"/>
      <c r="SI179"/>
      <c r="SJ179"/>
      <c r="SK179"/>
      <c r="SL179"/>
      <c r="SM179"/>
      <c r="SN179"/>
      <c r="SO179"/>
      <c r="SP179"/>
      <c r="SQ179"/>
      <c r="SR179"/>
      <c r="SS179"/>
      <c r="ST179"/>
      <c r="SU179"/>
      <c r="SV179"/>
      <c r="SW179"/>
      <c r="SX179"/>
      <c r="SY179"/>
      <c r="SZ179"/>
      <c r="TA179"/>
      <c r="TB179"/>
      <c r="TC179"/>
      <c r="TD179"/>
      <c r="TE179"/>
      <c r="TF179"/>
      <c r="TG179"/>
      <c r="TH179"/>
    </row>
    <row r="180" spans="3:528" x14ac:dyDescent="0.25">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c r="PC180"/>
      <c r="PD180"/>
      <c r="PE180"/>
      <c r="PF180"/>
      <c r="PG180"/>
      <c r="PH180"/>
      <c r="PI180"/>
      <c r="PJ180"/>
      <c r="PK180"/>
      <c r="PL180"/>
      <c r="PM180"/>
      <c r="PN180"/>
      <c r="PO180"/>
      <c r="PP180"/>
      <c r="PQ180"/>
      <c r="PR180"/>
      <c r="PS180"/>
      <c r="PT180"/>
      <c r="PU180"/>
      <c r="PV180"/>
      <c r="PW180"/>
      <c r="PX180"/>
      <c r="PY180"/>
      <c r="PZ180"/>
      <c r="QA180"/>
      <c r="QB180"/>
      <c r="QC180"/>
      <c r="QD180"/>
      <c r="QE180"/>
      <c r="QF180"/>
      <c r="QG180"/>
      <c r="QH180"/>
      <c r="QI180"/>
      <c r="QJ180"/>
      <c r="QK180"/>
      <c r="QL180"/>
      <c r="QM180"/>
      <c r="QN180"/>
      <c r="QO180"/>
      <c r="QP180"/>
      <c r="QQ180"/>
      <c r="QR180"/>
      <c r="QS180"/>
      <c r="QT180"/>
      <c r="QU180"/>
      <c r="QV180"/>
      <c r="QW180"/>
      <c r="QX180"/>
      <c r="QY180"/>
      <c r="QZ180"/>
      <c r="RA180"/>
      <c r="RB180"/>
      <c r="RC180"/>
      <c r="RD180"/>
      <c r="RE180"/>
      <c r="RF180"/>
      <c r="RG180"/>
      <c r="RH180"/>
      <c r="RI180"/>
      <c r="RJ180"/>
      <c r="RK180"/>
      <c r="RL180"/>
      <c r="RM180"/>
      <c r="RN180"/>
      <c r="RO180"/>
      <c r="RP180"/>
      <c r="RQ180"/>
      <c r="RR180"/>
      <c r="RS180"/>
      <c r="RT180"/>
      <c r="RU180"/>
      <c r="RV180"/>
      <c r="RW180"/>
      <c r="RX180"/>
      <c r="RY180"/>
      <c r="RZ180"/>
      <c r="SA180"/>
      <c r="SB180"/>
      <c r="SC180"/>
      <c r="SD180"/>
      <c r="SE180"/>
      <c r="SF180"/>
      <c r="SG180"/>
      <c r="SH180"/>
      <c r="SI180"/>
      <c r="SJ180"/>
      <c r="SK180"/>
      <c r="SL180"/>
      <c r="SM180"/>
      <c r="SN180"/>
      <c r="SO180"/>
      <c r="SP180"/>
      <c r="SQ180"/>
      <c r="SR180"/>
      <c r="SS180"/>
      <c r="ST180"/>
      <c r="SU180"/>
      <c r="SV180"/>
      <c r="SW180"/>
      <c r="SX180"/>
      <c r="SY180"/>
      <c r="SZ180"/>
      <c r="TA180"/>
      <c r="TB180"/>
      <c r="TC180"/>
      <c r="TD180"/>
      <c r="TE180"/>
      <c r="TF180"/>
      <c r="TG180"/>
      <c r="TH180"/>
    </row>
    <row r="181" spans="3:528" x14ac:dyDescent="0.25">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c r="PC181"/>
      <c r="PD181"/>
      <c r="PE181"/>
      <c r="PF181"/>
      <c r="PG181"/>
      <c r="PH181"/>
      <c r="PI181"/>
      <c r="PJ181"/>
      <c r="PK181"/>
      <c r="PL181"/>
      <c r="PM181"/>
      <c r="PN181"/>
      <c r="PO181"/>
      <c r="PP181"/>
      <c r="PQ181"/>
      <c r="PR181"/>
      <c r="PS181"/>
      <c r="PT181"/>
      <c r="PU181"/>
      <c r="PV181"/>
      <c r="PW181"/>
      <c r="PX181"/>
      <c r="PY181"/>
      <c r="PZ181"/>
      <c r="QA181"/>
      <c r="QB181"/>
      <c r="QC181"/>
      <c r="QD181"/>
      <c r="QE181"/>
      <c r="QF181"/>
      <c r="QG181"/>
      <c r="QH181"/>
      <c r="QI181"/>
      <c r="QJ181"/>
      <c r="QK181"/>
      <c r="QL181"/>
      <c r="QM181"/>
      <c r="QN181"/>
      <c r="QO181"/>
      <c r="QP181"/>
      <c r="QQ181"/>
      <c r="QR181"/>
      <c r="QS181"/>
      <c r="QT181"/>
      <c r="QU181"/>
      <c r="QV181"/>
      <c r="QW181"/>
      <c r="QX181"/>
      <c r="QY181"/>
      <c r="QZ181"/>
      <c r="RA181"/>
      <c r="RB181"/>
      <c r="RC181"/>
      <c r="RD181"/>
      <c r="RE181"/>
      <c r="RF181"/>
      <c r="RG181"/>
      <c r="RH181"/>
      <c r="RI181"/>
      <c r="RJ181"/>
      <c r="RK181"/>
      <c r="RL181"/>
      <c r="RM181"/>
      <c r="RN181"/>
      <c r="RO181"/>
      <c r="RP181"/>
      <c r="RQ181"/>
      <c r="RR181"/>
      <c r="RS181"/>
      <c r="RT181"/>
      <c r="RU181"/>
      <c r="RV181"/>
      <c r="RW181"/>
      <c r="RX181"/>
      <c r="RY181"/>
      <c r="RZ181"/>
      <c r="SA181"/>
      <c r="SB181"/>
      <c r="SC181"/>
      <c r="SD181"/>
      <c r="SE181"/>
      <c r="SF181"/>
      <c r="SG181"/>
      <c r="SH181"/>
      <c r="SI181"/>
      <c r="SJ181"/>
      <c r="SK181"/>
      <c r="SL181"/>
      <c r="SM181"/>
      <c r="SN181"/>
      <c r="SO181"/>
      <c r="SP181"/>
      <c r="SQ181"/>
      <c r="SR181"/>
      <c r="SS181"/>
      <c r="ST181"/>
      <c r="SU181"/>
      <c r="SV181"/>
      <c r="SW181"/>
      <c r="SX181"/>
      <c r="SY181"/>
      <c r="SZ181"/>
      <c r="TA181"/>
      <c r="TB181"/>
      <c r="TC181"/>
      <c r="TD181"/>
      <c r="TE181"/>
      <c r="TF181"/>
      <c r="TG181"/>
      <c r="TH181"/>
    </row>
    <row r="182" spans="3:528" x14ac:dyDescent="0.25">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c r="PC182"/>
      <c r="PD182"/>
      <c r="PE182"/>
      <c r="PF182"/>
      <c r="PG182"/>
      <c r="PH182"/>
      <c r="PI182"/>
      <c r="PJ182"/>
      <c r="PK182"/>
      <c r="PL182"/>
      <c r="PM182"/>
      <c r="PN182"/>
      <c r="PO182"/>
      <c r="PP182"/>
      <c r="PQ182"/>
      <c r="PR182"/>
      <c r="PS182"/>
      <c r="PT182"/>
      <c r="PU182"/>
      <c r="PV182"/>
      <c r="PW182"/>
      <c r="PX182"/>
      <c r="PY182"/>
      <c r="PZ182"/>
      <c r="QA182"/>
      <c r="QB182"/>
      <c r="QC182"/>
      <c r="QD182"/>
      <c r="QE182"/>
      <c r="QF182"/>
      <c r="QG182"/>
      <c r="QH182"/>
      <c r="QI182"/>
      <c r="QJ182"/>
      <c r="QK182"/>
      <c r="QL182"/>
      <c r="QM182"/>
      <c r="QN182"/>
      <c r="QO182"/>
      <c r="QP182"/>
      <c r="QQ182"/>
      <c r="QR182"/>
      <c r="QS182"/>
      <c r="QT182"/>
      <c r="QU182"/>
      <c r="QV182"/>
      <c r="QW182"/>
      <c r="QX182"/>
      <c r="QY182"/>
      <c r="QZ182"/>
      <c r="RA182"/>
      <c r="RB182"/>
      <c r="RC182"/>
      <c r="RD182"/>
      <c r="RE182"/>
      <c r="RF182"/>
      <c r="RG182"/>
      <c r="RH182"/>
      <c r="RI182"/>
      <c r="RJ182"/>
      <c r="RK182"/>
      <c r="RL182"/>
      <c r="RM182"/>
      <c r="RN182"/>
      <c r="RO182"/>
      <c r="RP182"/>
      <c r="RQ182"/>
      <c r="RR182"/>
      <c r="RS182"/>
      <c r="RT182"/>
      <c r="RU182"/>
      <c r="RV182"/>
      <c r="RW182"/>
      <c r="RX182"/>
      <c r="RY182"/>
      <c r="RZ182"/>
      <c r="SA182"/>
      <c r="SB182"/>
      <c r="SC182"/>
      <c r="SD182"/>
      <c r="SE182"/>
      <c r="SF182"/>
      <c r="SG182"/>
      <c r="SH182"/>
      <c r="SI182"/>
      <c r="SJ182"/>
      <c r="SK182"/>
      <c r="SL182"/>
      <c r="SM182"/>
      <c r="SN182"/>
      <c r="SO182"/>
      <c r="SP182"/>
      <c r="SQ182"/>
      <c r="SR182"/>
      <c r="SS182"/>
      <c r="ST182"/>
      <c r="SU182"/>
      <c r="SV182"/>
      <c r="SW182"/>
      <c r="SX182"/>
      <c r="SY182"/>
      <c r="SZ182"/>
      <c r="TA182"/>
      <c r="TB182"/>
      <c r="TC182"/>
      <c r="TD182"/>
      <c r="TE182"/>
      <c r="TF182"/>
      <c r="TG182"/>
      <c r="TH182"/>
    </row>
    <row r="183" spans="3:528" x14ac:dyDescent="0.25">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c r="PC183"/>
      <c r="PD183"/>
      <c r="PE183"/>
      <c r="PF183"/>
      <c r="PG183"/>
      <c r="PH183"/>
      <c r="PI183"/>
      <c r="PJ183"/>
      <c r="PK183"/>
      <c r="PL183"/>
      <c r="PM183"/>
      <c r="PN183"/>
      <c r="PO183"/>
      <c r="PP183"/>
      <c r="PQ183"/>
      <c r="PR183"/>
      <c r="PS183"/>
      <c r="PT183"/>
      <c r="PU183"/>
      <c r="PV183"/>
      <c r="PW183"/>
      <c r="PX183"/>
      <c r="PY183"/>
      <c r="PZ183"/>
      <c r="QA183"/>
      <c r="QB183"/>
      <c r="QC183"/>
      <c r="QD183"/>
      <c r="QE183"/>
      <c r="QF183"/>
      <c r="QG183"/>
      <c r="QH183"/>
      <c r="QI183"/>
      <c r="QJ183"/>
      <c r="QK183"/>
      <c r="QL183"/>
      <c r="QM183"/>
      <c r="QN183"/>
      <c r="QO183"/>
      <c r="QP183"/>
      <c r="QQ183"/>
      <c r="QR183"/>
      <c r="QS183"/>
      <c r="QT183"/>
      <c r="QU183"/>
      <c r="QV183"/>
      <c r="QW183"/>
      <c r="QX183"/>
      <c r="QY183"/>
      <c r="QZ183"/>
      <c r="RA183"/>
      <c r="RB183"/>
      <c r="RC183"/>
      <c r="RD183"/>
      <c r="RE183"/>
      <c r="RF183"/>
      <c r="RG183"/>
      <c r="RH183"/>
      <c r="RI183"/>
      <c r="RJ183"/>
      <c r="RK183"/>
      <c r="RL183"/>
      <c r="RM183"/>
      <c r="RN183"/>
      <c r="RO183"/>
      <c r="RP183"/>
      <c r="RQ183"/>
      <c r="RR183"/>
      <c r="RS183"/>
      <c r="RT183"/>
      <c r="RU183"/>
      <c r="RV183"/>
      <c r="RW183"/>
      <c r="RX183"/>
      <c r="RY183"/>
      <c r="RZ183"/>
      <c r="SA183"/>
      <c r="SB183"/>
      <c r="SC183"/>
      <c r="SD183"/>
      <c r="SE183"/>
      <c r="SF183"/>
      <c r="SG183"/>
      <c r="SH183"/>
      <c r="SI183"/>
      <c r="SJ183"/>
      <c r="SK183"/>
      <c r="SL183"/>
      <c r="SM183"/>
      <c r="SN183"/>
      <c r="SO183"/>
      <c r="SP183"/>
      <c r="SQ183"/>
      <c r="SR183"/>
      <c r="SS183"/>
      <c r="ST183"/>
      <c r="SU183"/>
      <c r="SV183"/>
      <c r="SW183"/>
      <c r="SX183"/>
      <c r="SY183"/>
      <c r="SZ183"/>
      <c r="TA183"/>
      <c r="TB183"/>
      <c r="TC183"/>
      <c r="TD183"/>
      <c r="TE183"/>
      <c r="TF183"/>
      <c r="TG183"/>
      <c r="TH183"/>
    </row>
    <row r="184" spans="3:528" x14ac:dyDescent="0.25">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c r="PC184"/>
      <c r="PD184"/>
      <c r="PE184"/>
      <c r="PF184"/>
      <c r="PG184"/>
      <c r="PH184"/>
      <c r="PI184"/>
      <c r="PJ184"/>
      <c r="PK184"/>
      <c r="PL184"/>
      <c r="PM184"/>
      <c r="PN184"/>
      <c r="PO184"/>
      <c r="PP184"/>
      <c r="PQ184"/>
      <c r="PR184"/>
      <c r="PS184"/>
      <c r="PT184"/>
      <c r="PU184"/>
      <c r="PV184"/>
      <c r="PW184"/>
      <c r="PX184"/>
      <c r="PY184"/>
      <c r="PZ184"/>
      <c r="QA184"/>
      <c r="QB184"/>
      <c r="QC184"/>
      <c r="QD184"/>
      <c r="QE184"/>
      <c r="QF184"/>
      <c r="QG184"/>
      <c r="QH184"/>
      <c r="QI184"/>
      <c r="QJ184"/>
      <c r="QK184"/>
      <c r="QL184"/>
      <c r="QM184"/>
      <c r="QN184"/>
      <c r="QO184"/>
      <c r="QP184"/>
      <c r="QQ184"/>
      <c r="QR184"/>
      <c r="QS184"/>
      <c r="QT184"/>
      <c r="QU184"/>
      <c r="QV184"/>
      <c r="QW184"/>
      <c r="QX184"/>
      <c r="QY184"/>
      <c r="QZ184"/>
      <c r="RA184"/>
      <c r="RB184"/>
      <c r="RC184"/>
      <c r="RD184"/>
      <c r="RE184"/>
      <c r="RF184"/>
      <c r="RG184"/>
      <c r="RH184"/>
      <c r="RI184"/>
      <c r="RJ184"/>
      <c r="RK184"/>
      <c r="RL184"/>
      <c r="RM184"/>
      <c r="RN184"/>
      <c r="RO184"/>
      <c r="RP184"/>
      <c r="RQ184"/>
      <c r="RR184"/>
      <c r="RS184"/>
      <c r="RT184"/>
      <c r="RU184"/>
      <c r="RV184"/>
      <c r="RW184"/>
      <c r="RX184"/>
      <c r="RY184"/>
      <c r="RZ184"/>
      <c r="SA184"/>
      <c r="SB184"/>
      <c r="SC184"/>
      <c r="SD184"/>
      <c r="SE184"/>
      <c r="SF184"/>
      <c r="SG184"/>
      <c r="SH184"/>
      <c r="SI184"/>
      <c r="SJ184"/>
      <c r="SK184"/>
      <c r="SL184"/>
      <c r="SM184"/>
      <c r="SN184"/>
      <c r="SO184"/>
      <c r="SP184"/>
      <c r="SQ184"/>
      <c r="SR184"/>
      <c r="SS184"/>
      <c r="ST184"/>
      <c r="SU184"/>
      <c r="SV184"/>
      <c r="SW184"/>
      <c r="SX184"/>
      <c r="SY184"/>
      <c r="SZ184"/>
      <c r="TA184"/>
      <c r="TB184"/>
      <c r="TC184"/>
      <c r="TD184"/>
      <c r="TE184"/>
      <c r="TF184"/>
      <c r="TG184"/>
      <c r="TH184"/>
    </row>
    <row r="185" spans="3:528" x14ac:dyDescent="0.2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c r="PC185"/>
      <c r="PD185"/>
      <c r="PE185"/>
      <c r="PF185"/>
      <c r="PG185"/>
      <c r="PH185"/>
      <c r="PI185"/>
      <c r="PJ185"/>
      <c r="PK185"/>
      <c r="PL185"/>
      <c r="PM185"/>
      <c r="PN185"/>
      <c r="PO185"/>
      <c r="PP185"/>
      <c r="PQ185"/>
      <c r="PR185"/>
      <c r="PS185"/>
      <c r="PT185"/>
      <c r="PU185"/>
      <c r="PV185"/>
      <c r="PW185"/>
      <c r="PX185"/>
      <c r="PY185"/>
      <c r="PZ185"/>
      <c r="QA185"/>
      <c r="QB185"/>
      <c r="QC185"/>
      <c r="QD185"/>
      <c r="QE185"/>
      <c r="QF185"/>
      <c r="QG185"/>
      <c r="QH185"/>
      <c r="QI185"/>
      <c r="QJ185"/>
      <c r="QK185"/>
      <c r="QL185"/>
      <c r="QM185"/>
      <c r="QN185"/>
      <c r="QO185"/>
      <c r="QP185"/>
      <c r="QQ185"/>
      <c r="QR185"/>
      <c r="QS185"/>
      <c r="QT185"/>
      <c r="QU185"/>
      <c r="QV185"/>
      <c r="QW185"/>
      <c r="QX185"/>
      <c r="QY185"/>
      <c r="QZ185"/>
      <c r="RA185"/>
      <c r="RB185"/>
      <c r="RC185"/>
      <c r="RD185"/>
      <c r="RE185"/>
      <c r="RF185"/>
      <c r="RG185"/>
      <c r="RH185"/>
      <c r="RI185"/>
      <c r="RJ185"/>
      <c r="RK185"/>
      <c r="RL185"/>
      <c r="RM185"/>
      <c r="RN185"/>
      <c r="RO185"/>
      <c r="RP185"/>
      <c r="RQ185"/>
      <c r="RR185"/>
      <c r="RS185"/>
      <c r="RT185"/>
      <c r="RU185"/>
      <c r="RV185"/>
      <c r="RW185"/>
      <c r="RX185"/>
      <c r="RY185"/>
      <c r="RZ185"/>
      <c r="SA185"/>
      <c r="SB185"/>
      <c r="SC185"/>
      <c r="SD185"/>
      <c r="SE185"/>
      <c r="SF185"/>
      <c r="SG185"/>
      <c r="SH185"/>
      <c r="SI185"/>
      <c r="SJ185"/>
      <c r="SK185"/>
      <c r="SL185"/>
      <c r="SM185"/>
      <c r="SN185"/>
      <c r="SO185"/>
      <c r="SP185"/>
      <c r="SQ185"/>
      <c r="SR185"/>
      <c r="SS185"/>
      <c r="ST185"/>
      <c r="SU185"/>
      <c r="SV185"/>
      <c r="SW185"/>
      <c r="SX185"/>
      <c r="SY185"/>
      <c r="SZ185"/>
      <c r="TA185"/>
      <c r="TB185"/>
      <c r="TC185"/>
      <c r="TD185"/>
      <c r="TE185"/>
      <c r="TF185"/>
      <c r="TG185"/>
      <c r="TH185"/>
    </row>
    <row r="186" spans="3:528" x14ac:dyDescent="0.25">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c r="PC186"/>
      <c r="PD186"/>
      <c r="PE186"/>
      <c r="PF186"/>
      <c r="PG186"/>
      <c r="PH186"/>
      <c r="PI186"/>
      <c r="PJ186"/>
      <c r="PK186"/>
      <c r="PL186"/>
      <c r="PM186"/>
      <c r="PN186"/>
      <c r="PO186"/>
      <c r="PP186"/>
      <c r="PQ186"/>
      <c r="PR186"/>
      <c r="PS186"/>
      <c r="PT186"/>
      <c r="PU186"/>
      <c r="PV186"/>
      <c r="PW186"/>
      <c r="PX186"/>
      <c r="PY186"/>
      <c r="PZ186"/>
      <c r="QA186"/>
      <c r="QB186"/>
      <c r="QC186"/>
      <c r="QD186"/>
      <c r="QE186"/>
      <c r="QF186"/>
      <c r="QG186"/>
      <c r="QH186"/>
      <c r="QI186"/>
      <c r="QJ186"/>
      <c r="QK186"/>
      <c r="QL186"/>
      <c r="QM186"/>
      <c r="QN186"/>
      <c r="QO186"/>
      <c r="QP186"/>
      <c r="QQ186"/>
      <c r="QR186"/>
      <c r="QS186"/>
      <c r="QT186"/>
      <c r="QU186"/>
      <c r="QV186"/>
      <c r="QW186"/>
      <c r="QX186"/>
      <c r="QY186"/>
      <c r="QZ186"/>
      <c r="RA186"/>
      <c r="RB186"/>
      <c r="RC186"/>
      <c r="RD186"/>
      <c r="RE186"/>
      <c r="RF186"/>
      <c r="RG186"/>
      <c r="RH186"/>
      <c r="RI186"/>
      <c r="RJ186"/>
      <c r="RK186"/>
      <c r="RL186"/>
      <c r="RM186"/>
      <c r="RN186"/>
      <c r="RO186"/>
      <c r="RP186"/>
      <c r="RQ186"/>
      <c r="RR186"/>
      <c r="RS186"/>
      <c r="RT186"/>
      <c r="RU186"/>
      <c r="RV186"/>
      <c r="RW186"/>
      <c r="RX186"/>
      <c r="RY186"/>
      <c r="RZ186"/>
      <c r="SA186"/>
      <c r="SB186"/>
      <c r="SC186"/>
      <c r="SD186"/>
      <c r="SE186"/>
      <c r="SF186"/>
      <c r="SG186"/>
      <c r="SH186"/>
      <c r="SI186"/>
      <c r="SJ186"/>
      <c r="SK186"/>
      <c r="SL186"/>
      <c r="SM186"/>
      <c r="SN186"/>
      <c r="SO186"/>
      <c r="SP186"/>
      <c r="SQ186"/>
      <c r="SR186"/>
      <c r="SS186"/>
      <c r="ST186"/>
      <c r="SU186"/>
      <c r="SV186"/>
      <c r="SW186"/>
      <c r="SX186"/>
      <c r="SY186"/>
      <c r="SZ186"/>
      <c r="TA186"/>
      <c r="TB186"/>
      <c r="TC186"/>
      <c r="TD186"/>
      <c r="TE186"/>
      <c r="TF186"/>
      <c r="TG186"/>
      <c r="TH186"/>
    </row>
    <row r="187" spans="3:528" x14ac:dyDescent="0.25">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c r="PC187"/>
      <c r="PD187"/>
      <c r="PE187"/>
      <c r="PF187"/>
      <c r="PG187"/>
      <c r="PH187"/>
      <c r="PI187"/>
      <c r="PJ187"/>
      <c r="PK187"/>
      <c r="PL187"/>
      <c r="PM187"/>
      <c r="PN187"/>
      <c r="PO187"/>
      <c r="PP187"/>
      <c r="PQ187"/>
      <c r="PR187"/>
      <c r="PS187"/>
      <c r="PT187"/>
      <c r="PU187"/>
      <c r="PV187"/>
      <c r="PW187"/>
      <c r="PX187"/>
      <c r="PY187"/>
      <c r="PZ187"/>
      <c r="QA187"/>
      <c r="QB187"/>
      <c r="QC187"/>
      <c r="QD187"/>
      <c r="QE187"/>
      <c r="QF187"/>
      <c r="QG187"/>
      <c r="QH187"/>
      <c r="QI187"/>
      <c r="QJ187"/>
      <c r="QK187"/>
      <c r="QL187"/>
      <c r="QM187"/>
      <c r="QN187"/>
      <c r="QO187"/>
      <c r="QP187"/>
      <c r="QQ187"/>
      <c r="QR187"/>
      <c r="QS187"/>
      <c r="QT187"/>
      <c r="QU187"/>
      <c r="QV187"/>
      <c r="QW187"/>
      <c r="QX187"/>
      <c r="QY187"/>
      <c r="QZ187"/>
      <c r="RA187"/>
      <c r="RB187"/>
      <c r="RC187"/>
      <c r="RD187"/>
      <c r="RE187"/>
      <c r="RF187"/>
      <c r="RG187"/>
      <c r="RH187"/>
      <c r="RI187"/>
      <c r="RJ187"/>
      <c r="RK187"/>
      <c r="RL187"/>
      <c r="RM187"/>
      <c r="RN187"/>
      <c r="RO187"/>
      <c r="RP187"/>
      <c r="RQ187"/>
      <c r="RR187"/>
      <c r="RS187"/>
      <c r="RT187"/>
      <c r="RU187"/>
      <c r="RV187"/>
      <c r="RW187"/>
      <c r="RX187"/>
      <c r="RY187"/>
      <c r="RZ187"/>
      <c r="SA187"/>
      <c r="SB187"/>
      <c r="SC187"/>
      <c r="SD187"/>
      <c r="SE187"/>
      <c r="SF187"/>
      <c r="SG187"/>
      <c r="SH187"/>
      <c r="SI187"/>
      <c r="SJ187"/>
      <c r="SK187"/>
      <c r="SL187"/>
      <c r="SM187"/>
      <c r="SN187"/>
      <c r="SO187"/>
      <c r="SP187"/>
      <c r="SQ187"/>
      <c r="SR187"/>
      <c r="SS187"/>
      <c r="ST187"/>
      <c r="SU187"/>
      <c r="SV187"/>
      <c r="SW187"/>
      <c r="SX187"/>
      <c r="SY187"/>
      <c r="SZ187"/>
      <c r="TA187"/>
      <c r="TB187"/>
      <c r="TC187"/>
      <c r="TD187"/>
      <c r="TE187"/>
      <c r="TF187"/>
      <c r="TG187"/>
      <c r="TH187"/>
    </row>
    <row r="188" spans="3:528" x14ac:dyDescent="0.25">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c r="PC188"/>
      <c r="PD188"/>
      <c r="PE188"/>
      <c r="PF188"/>
      <c r="PG188"/>
      <c r="PH188"/>
      <c r="PI188"/>
      <c r="PJ188"/>
      <c r="PK188"/>
      <c r="PL188"/>
      <c r="PM188"/>
      <c r="PN188"/>
      <c r="PO188"/>
      <c r="PP188"/>
      <c r="PQ188"/>
      <c r="PR188"/>
      <c r="PS188"/>
      <c r="PT188"/>
      <c r="PU188"/>
      <c r="PV188"/>
      <c r="PW188"/>
      <c r="PX188"/>
      <c r="PY188"/>
      <c r="PZ188"/>
      <c r="QA188"/>
      <c r="QB188"/>
      <c r="QC188"/>
      <c r="QD188"/>
      <c r="QE188"/>
      <c r="QF188"/>
      <c r="QG188"/>
      <c r="QH188"/>
      <c r="QI188"/>
      <c r="QJ188"/>
      <c r="QK188"/>
      <c r="QL188"/>
      <c r="QM188"/>
      <c r="QN188"/>
      <c r="QO188"/>
      <c r="QP188"/>
      <c r="QQ188"/>
      <c r="QR188"/>
      <c r="QS188"/>
      <c r="QT188"/>
      <c r="QU188"/>
      <c r="QV188"/>
      <c r="QW188"/>
      <c r="QX188"/>
      <c r="QY188"/>
      <c r="QZ188"/>
      <c r="RA188"/>
      <c r="RB188"/>
      <c r="RC188"/>
      <c r="RD188"/>
      <c r="RE188"/>
      <c r="RF188"/>
      <c r="RG188"/>
      <c r="RH188"/>
      <c r="RI188"/>
      <c r="RJ188"/>
      <c r="RK188"/>
      <c r="RL188"/>
      <c r="RM188"/>
      <c r="RN188"/>
      <c r="RO188"/>
      <c r="RP188"/>
      <c r="RQ188"/>
      <c r="RR188"/>
      <c r="RS188"/>
      <c r="RT188"/>
      <c r="RU188"/>
      <c r="RV188"/>
      <c r="RW188"/>
      <c r="RX188"/>
      <c r="RY188"/>
      <c r="RZ188"/>
      <c r="SA188"/>
      <c r="SB188"/>
      <c r="SC188"/>
      <c r="SD188"/>
      <c r="SE188"/>
      <c r="SF188"/>
      <c r="SG188"/>
      <c r="SH188"/>
      <c r="SI188"/>
      <c r="SJ188"/>
      <c r="SK188"/>
      <c r="SL188"/>
      <c r="SM188"/>
      <c r="SN188"/>
      <c r="SO188"/>
      <c r="SP188"/>
      <c r="SQ188"/>
      <c r="SR188"/>
      <c r="SS188"/>
      <c r="ST188"/>
      <c r="SU188"/>
      <c r="SV188"/>
      <c r="SW188"/>
      <c r="SX188"/>
      <c r="SY188"/>
      <c r="SZ188"/>
      <c r="TA188"/>
      <c r="TB188"/>
      <c r="TC188"/>
      <c r="TD188"/>
      <c r="TE188"/>
      <c r="TF188"/>
      <c r="TG188"/>
      <c r="TH188"/>
    </row>
    <row r="189" spans="3:528" x14ac:dyDescent="0.25">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c r="PC189"/>
      <c r="PD189"/>
      <c r="PE189"/>
      <c r="PF189"/>
      <c r="PG189"/>
      <c r="PH189"/>
      <c r="PI189"/>
      <c r="PJ189"/>
      <c r="PK189"/>
      <c r="PL189"/>
      <c r="PM189"/>
      <c r="PN189"/>
      <c r="PO189"/>
      <c r="PP189"/>
      <c r="PQ189"/>
      <c r="PR189"/>
      <c r="PS189"/>
      <c r="PT189"/>
      <c r="PU189"/>
      <c r="PV189"/>
      <c r="PW189"/>
      <c r="PX189"/>
      <c r="PY189"/>
      <c r="PZ189"/>
      <c r="QA189"/>
      <c r="QB189"/>
      <c r="QC189"/>
      <c r="QD189"/>
      <c r="QE189"/>
      <c r="QF189"/>
      <c r="QG189"/>
      <c r="QH189"/>
      <c r="QI189"/>
      <c r="QJ189"/>
      <c r="QK189"/>
      <c r="QL189"/>
      <c r="QM189"/>
      <c r="QN189"/>
      <c r="QO189"/>
      <c r="QP189"/>
      <c r="QQ189"/>
      <c r="QR189"/>
      <c r="QS189"/>
      <c r="QT189"/>
      <c r="QU189"/>
      <c r="QV189"/>
      <c r="QW189"/>
      <c r="QX189"/>
      <c r="QY189"/>
      <c r="QZ189"/>
      <c r="RA189"/>
      <c r="RB189"/>
      <c r="RC189"/>
      <c r="RD189"/>
      <c r="RE189"/>
      <c r="RF189"/>
      <c r="RG189"/>
      <c r="RH189"/>
      <c r="RI189"/>
      <c r="RJ189"/>
      <c r="RK189"/>
      <c r="RL189"/>
      <c r="RM189"/>
      <c r="RN189"/>
      <c r="RO189"/>
      <c r="RP189"/>
      <c r="RQ189"/>
      <c r="RR189"/>
      <c r="RS189"/>
      <c r="RT189"/>
      <c r="RU189"/>
      <c r="RV189"/>
      <c r="RW189"/>
      <c r="RX189"/>
      <c r="RY189"/>
      <c r="RZ189"/>
      <c r="SA189"/>
      <c r="SB189"/>
      <c r="SC189"/>
      <c r="SD189"/>
      <c r="SE189"/>
      <c r="SF189"/>
      <c r="SG189"/>
      <c r="SH189"/>
      <c r="SI189"/>
      <c r="SJ189"/>
      <c r="SK189"/>
      <c r="SL189"/>
      <c r="SM189"/>
      <c r="SN189"/>
      <c r="SO189"/>
      <c r="SP189"/>
      <c r="SQ189"/>
      <c r="SR189"/>
      <c r="SS189"/>
      <c r="ST189"/>
      <c r="SU189"/>
      <c r="SV189"/>
      <c r="SW189"/>
      <c r="SX189"/>
      <c r="SY189"/>
      <c r="SZ189"/>
      <c r="TA189"/>
      <c r="TB189"/>
      <c r="TC189"/>
      <c r="TD189"/>
      <c r="TE189"/>
      <c r="TF189"/>
      <c r="TG189"/>
      <c r="TH189"/>
    </row>
    <row r="190" spans="3:528" x14ac:dyDescent="0.25">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c r="PC190"/>
      <c r="PD190"/>
      <c r="PE190"/>
      <c r="PF190"/>
      <c r="PG190"/>
      <c r="PH190"/>
      <c r="PI190"/>
      <c r="PJ190"/>
      <c r="PK190"/>
      <c r="PL190"/>
      <c r="PM190"/>
      <c r="PN190"/>
      <c r="PO190"/>
      <c r="PP190"/>
      <c r="PQ190"/>
      <c r="PR190"/>
      <c r="PS190"/>
      <c r="PT190"/>
      <c r="PU190"/>
      <c r="PV190"/>
      <c r="PW190"/>
      <c r="PX190"/>
      <c r="PY190"/>
      <c r="PZ190"/>
      <c r="QA190"/>
      <c r="QB190"/>
      <c r="QC190"/>
      <c r="QD190"/>
      <c r="QE190"/>
      <c r="QF190"/>
      <c r="QG190"/>
      <c r="QH190"/>
      <c r="QI190"/>
      <c r="QJ190"/>
      <c r="QK190"/>
      <c r="QL190"/>
      <c r="QM190"/>
      <c r="QN190"/>
      <c r="QO190"/>
      <c r="QP190"/>
      <c r="QQ190"/>
      <c r="QR190"/>
      <c r="QS190"/>
      <c r="QT190"/>
      <c r="QU190"/>
      <c r="QV190"/>
      <c r="QW190"/>
      <c r="QX190"/>
      <c r="QY190"/>
      <c r="QZ190"/>
      <c r="RA190"/>
      <c r="RB190"/>
      <c r="RC190"/>
      <c r="RD190"/>
      <c r="RE190"/>
      <c r="RF190"/>
      <c r="RG190"/>
      <c r="RH190"/>
      <c r="RI190"/>
      <c r="RJ190"/>
      <c r="RK190"/>
      <c r="RL190"/>
      <c r="RM190"/>
      <c r="RN190"/>
      <c r="RO190"/>
      <c r="RP190"/>
      <c r="RQ190"/>
      <c r="RR190"/>
      <c r="RS190"/>
      <c r="RT190"/>
      <c r="RU190"/>
      <c r="RV190"/>
      <c r="RW190"/>
      <c r="RX190"/>
      <c r="RY190"/>
      <c r="RZ190"/>
      <c r="SA190"/>
      <c r="SB190"/>
      <c r="SC190"/>
      <c r="SD190"/>
      <c r="SE190"/>
      <c r="SF190"/>
      <c r="SG190"/>
      <c r="SH190"/>
      <c r="SI190"/>
      <c r="SJ190"/>
      <c r="SK190"/>
      <c r="SL190"/>
      <c r="SM190"/>
      <c r="SN190"/>
      <c r="SO190"/>
      <c r="SP190"/>
      <c r="SQ190"/>
      <c r="SR190"/>
      <c r="SS190"/>
      <c r="ST190"/>
      <c r="SU190"/>
      <c r="SV190"/>
      <c r="SW190"/>
      <c r="SX190"/>
      <c r="SY190"/>
      <c r="SZ190"/>
      <c r="TA190"/>
      <c r="TB190"/>
      <c r="TC190"/>
      <c r="TD190"/>
      <c r="TE190"/>
      <c r="TF190"/>
      <c r="TG190"/>
      <c r="TH190"/>
    </row>
    <row r="191" spans="3:528" x14ac:dyDescent="0.25">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c r="PC191"/>
      <c r="PD191"/>
      <c r="PE191"/>
      <c r="PF191"/>
      <c r="PG191"/>
      <c r="PH191"/>
      <c r="PI191"/>
      <c r="PJ191"/>
      <c r="PK191"/>
      <c r="PL191"/>
      <c r="PM191"/>
      <c r="PN191"/>
      <c r="PO191"/>
      <c r="PP191"/>
      <c r="PQ191"/>
      <c r="PR191"/>
      <c r="PS191"/>
      <c r="PT191"/>
      <c r="PU191"/>
      <c r="PV191"/>
      <c r="PW191"/>
      <c r="PX191"/>
      <c r="PY191"/>
      <c r="PZ191"/>
      <c r="QA191"/>
      <c r="QB191"/>
      <c r="QC191"/>
      <c r="QD191"/>
      <c r="QE191"/>
      <c r="QF191"/>
      <c r="QG191"/>
      <c r="QH191"/>
      <c r="QI191"/>
      <c r="QJ191"/>
      <c r="QK191"/>
      <c r="QL191"/>
      <c r="QM191"/>
      <c r="QN191"/>
      <c r="QO191"/>
      <c r="QP191"/>
      <c r="QQ191"/>
      <c r="QR191"/>
      <c r="QS191"/>
      <c r="QT191"/>
      <c r="QU191"/>
      <c r="QV191"/>
      <c r="QW191"/>
      <c r="QX191"/>
      <c r="QY191"/>
      <c r="QZ191"/>
      <c r="RA191"/>
      <c r="RB191"/>
      <c r="RC191"/>
      <c r="RD191"/>
      <c r="RE191"/>
      <c r="RF191"/>
      <c r="RG191"/>
      <c r="RH191"/>
      <c r="RI191"/>
      <c r="RJ191"/>
      <c r="RK191"/>
      <c r="RL191"/>
      <c r="RM191"/>
      <c r="RN191"/>
      <c r="RO191"/>
      <c r="RP191"/>
      <c r="RQ191"/>
      <c r="RR191"/>
      <c r="RS191"/>
      <c r="RT191"/>
      <c r="RU191"/>
      <c r="RV191"/>
      <c r="RW191"/>
      <c r="RX191"/>
      <c r="RY191"/>
      <c r="RZ191"/>
      <c r="SA191"/>
      <c r="SB191"/>
      <c r="SC191"/>
      <c r="SD191"/>
      <c r="SE191"/>
      <c r="SF191"/>
      <c r="SG191"/>
      <c r="SH191"/>
      <c r="SI191"/>
      <c r="SJ191"/>
      <c r="SK191"/>
      <c r="SL191"/>
      <c r="SM191"/>
      <c r="SN191"/>
      <c r="SO191"/>
      <c r="SP191"/>
      <c r="SQ191"/>
      <c r="SR191"/>
      <c r="SS191"/>
      <c r="ST191"/>
      <c r="SU191"/>
      <c r="SV191"/>
      <c r="SW191"/>
      <c r="SX191"/>
      <c r="SY191"/>
      <c r="SZ191"/>
      <c r="TA191"/>
      <c r="TB191"/>
      <c r="TC191"/>
      <c r="TD191"/>
      <c r="TE191"/>
      <c r="TF191"/>
      <c r="TG191"/>
      <c r="TH191"/>
    </row>
    <row r="192" spans="3:528" x14ac:dyDescent="0.25">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c r="PC192"/>
      <c r="PD192"/>
      <c r="PE192"/>
      <c r="PF192"/>
      <c r="PG192"/>
      <c r="PH192"/>
      <c r="PI192"/>
      <c r="PJ192"/>
      <c r="PK192"/>
      <c r="PL192"/>
      <c r="PM192"/>
      <c r="PN192"/>
      <c r="PO192"/>
      <c r="PP192"/>
      <c r="PQ192"/>
      <c r="PR192"/>
      <c r="PS192"/>
      <c r="PT192"/>
      <c r="PU192"/>
      <c r="PV192"/>
      <c r="PW192"/>
      <c r="PX192"/>
      <c r="PY192"/>
      <c r="PZ192"/>
      <c r="QA192"/>
      <c r="QB192"/>
      <c r="QC192"/>
      <c r="QD192"/>
      <c r="QE192"/>
      <c r="QF192"/>
      <c r="QG192"/>
      <c r="QH192"/>
      <c r="QI192"/>
      <c r="QJ192"/>
      <c r="QK192"/>
      <c r="QL192"/>
      <c r="QM192"/>
      <c r="QN192"/>
      <c r="QO192"/>
      <c r="QP192"/>
      <c r="QQ192"/>
      <c r="QR192"/>
      <c r="QS192"/>
      <c r="QT192"/>
      <c r="QU192"/>
      <c r="QV192"/>
      <c r="QW192"/>
      <c r="QX192"/>
      <c r="QY192"/>
      <c r="QZ192"/>
      <c r="RA192"/>
      <c r="RB192"/>
      <c r="RC192"/>
      <c r="RD192"/>
      <c r="RE192"/>
      <c r="RF192"/>
      <c r="RG192"/>
      <c r="RH192"/>
      <c r="RI192"/>
      <c r="RJ192"/>
      <c r="RK192"/>
      <c r="RL192"/>
      <c r="RM192"/>
      <c r="RN192"/>
      <c r="RO192"/>
      <c r="RP192"/>
      <c r="RQ192"/>
      <c r="RR192"/>
      <c r="RS192"/>
      <c r="RT192"/>
      <c r="RU192"/>
      <c r="RV192"/>
      <c r="RW192"/>
      <c r="RX192"/>
      <c r="RY192"/>
      <c r="RZ192"/>
      <c r="SA192"/>
      <c r="SB192"/>
      <c r="SC192"/>
      <c r="SD192"/>
      <c r="SE192"/>
      <c r="SF192"/>
      <c r="SG192"/>
      <c r="SH192"/>
      <c r="SI192"/>
      <c r="SJ192"/>
      <c r="SK192"/>
      <c r="SL192"/>
      <c r="SM192"/>
      <c r="SN192"/>
      <c r="SO192"/>
      <c r="SP192"/>
      <c r="SQ192"/>
      <c r="SR192"/>
      <c r="SS192"/>
      <c r="ST192"/>
      <c r="SU192"/>
      <c r="SV192"/>
      <c r="SW192"/>
      <c r="SX192"/>
      <c r="SY192"/>
      <c r="SZ192"/>
      <c r="TA192"/>
      <c r="TB192"/>
      <c r="TC192"/>
      <c r="TD192"/>
      <c r="TE192"/>
      <c r="TF192"/>
      <c r="TG192"/>
      <c r="TH192"/>
    </row>
    <row r="193" spans="3:528" x14ac:dyDescent="0.25">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c r="PC193"/>
      <c r="PD193"/>
      <c r="PE193"/>
      <c r="PF193"/>
      <c r="PG193"/>
      <c r="PH193"/>
      <c r="PI193"/>
      <c r="PJ193"/>
      <c r="PK193"/>
      <c r="PL193"/>
      <c r="PM193"/>
      <c r="PN193"/>
      <c r="PO193"/>
      <c r="PP193"/>
      <c r="PQ193"/>
      <c r="PR193"/>
      <c r="PS193"/>
      <c r="PT193"/>
      <c r="PU193"/>
      <c r="PV193"/>
      <c r="PW193"/>
      <c r="PX193"/>
      <c r="PY193"/>
      <c r="PZ193"/>
      <c r="QA193"/>
      <c r="QB193"/>
      <c r="QC193"/>
      <c r="QD193"/>
      <c r="QE193"/>
      <c r="QF193"/>
      <c r="QG193"/>
      <c r="QH193"/>
      <c r="QI193"/>
      <c r="QJ193"/>
      <c r="QK193"/>
      <c r="QL193"/>
      <c r="QM193"/>
      <c r="QN193"/>
      <c r="QO193"/>
      <c r="QP193"/>
      <c r="QQ193"/>
      <c r="QR193"/>
      <c r="QS193"/>
      <c r="QT193"/>
      <c r="QU193"/>
      <c r="QV193"/>
      <c r="QW193"/>
      <c r="QX193"/>
      <c r="QY193"/>
      <c r="QZ193"/>
      <c r="RA193"/>
      <c r="RB193"/>
      <c r="RC193"/>
      <c r="RD193"/>
      <c r="RE193"/>
      <c r="RF193"/>
      <c r="RG193"/>
      <c r="RH193"/>
      <c r="RI193"/>
      <c r="RJ193"/>
      <c r="RK193"/>
      <c r="RL193"/>
      <c r="RM193"/>
      <c r="RN193"/>
      <c r="RO193"/>
      <c r="RP193"/>
      <c r="RQ193"/>
      <c r="RR193"/>
      <c r="RS193"/>
      <c r="RT193"/>
      <c r="RU193"/>
      <c r="RV193"/>
      <c r="RW193"/>
      <c r="RX193"/>
      <c r="RY193"/>
      <c r="RZ193"/>
      <c r="SA193"/>
      <c r="SB193"/>
      <c r="SC193"/>
      <c r="SD193"/>
      <c r="SE193"/>
      <c r="SF193"/>
      <c r="SG193"/>
      <c r="SH193"/>
      <c r="SI193"/>
      <c r="SJ193"/>
      <c r="SK193"/>
      <c r="SL193"/>
      <c r="SM193"/>
      <c r="SN193"/>
      <c r="SO193"/>
      <c r="SP193"/>
      <c r="SQ193"/>
      <c r="SR193"/>
      <c r="SS193"/>
      <c r="ST193"/>
      <c r="SU193"/>
      <c r="SV193"/>
      <c r="SW193"/>
      <c r="SX193"/>
      <c r="SY193"/>
      <c r="SZ193"/>
      <c r="TA193"/>
      <c r="TB193"/>
      <c r="TC193"/>
      <c r="TD193"/>
      <c r="TE193"/>
      <c r="TF193"/>
      <c r="TG193"/>
      <c r="TH193"/>
    </row>
    <row r="194" spans="3:528" x14ac:dyDescent="0.25">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c r="PC194"/>
      <c r="PD194"/>
      <c r="PE194"/>
      <c r="PF194"/>
      <c r="PG194"/>
      <c r="PH194"/>
      <c r="PI194"/>
      <c r="PJ194"/>
      <c r="PK194"/>
      <c r="PL194"/>
      <c r="PM194"/>
      <c r="PN194"/>
      <c r="PO194"/>
      <c r="PP194"/>
      <c r="PQ194"/>
      <c r="PR194"/>
      <c r="PS194"/>
      <c r="PT194"/>
      <c r="PU194"/>
      <c r="PV194"/>
      <c r="PW194"/>
      <c r="PX194"/>
      <c r="PY194"/>
      <c r="PZ194"/>
      <c r="QA194"/>
      <c r="QB194"/>
      <c r="QC194"/>
      <c r="QD194"/>
      <c r="QE194"/>
      <c r="QF194"/>
      <c r="QG194"/>
      <c r="QH194"/>
      <c r="QI194"/>
      <c r="QJ194"/>
      <c r="QK194"/>
      <c r="QL194"/>
      <c r="QM194"/>
      <c r="QN194"/>
      <c r="QO194"/>
      <c r="QP194"/>
      <c r="QQ194"/>
      <c r="QR194"/>
      <c r="QS194"/>
      <c r="QT194"/>
      <c r="QU194"/>
      <c r="QV194"/>
      <c r="QW194"/>
      <c r="QX194"/>
      <c r="QY194"/>
      <c r="QZ194"/>
      <c r="RA194"/>
      <c r="RB194"/>
      <c r="RC194"/>
      <c r="RD194"/>
      <c r="RE194"/>
      <c r="RF194"/>
      <c r="RG194"/>
      <c r="RH194"/>
      <c r="RI194"/>
      <c r="RJ194"/>
      <c r="RK194"/>
      <c r="RL194"/>
      <c r="RM194"/>
      <c r="RN194"/>
      <c r="RO194"/>
      <c r="RP194"/>
      <c r="RQ194"/>
      <c r="RR194"/>
      <c r="RS194"/>
      <c r="RT194"/>
      <c r="RU194"/>
      <c r="RV194"/>
      <c r="RW194"/>
      <c r="RX194"/>
      <c r="RY194"/>
      <c r="RZ194"/>
      <c r="SA194"/>
      <c r="SB194"/>
      <c r="SC194"/>
      <c r="SD194"/>
      <c r="SE194"/>
      <c r="SF194"/>
      <c r="SG194"/>
      <c r="SH194"/>
      <c r="SI194"/>
      <c r="SJ194"/>
      <c r="SK194"/>
      <c r="SL194"/>
      <c r="SM194"/>
      <c r="SN194"/>
      <c r="SO194"/>
      <c r="SP194"/>
      <c r="SQ194"/>
      <c r="SR194"/>
      <c r="SS194"/>
      <c r="ST194"/>
      <c r="SU194"/>
      <c r="SV194"/>
      <c r="SW194"/>
      <c r="SX194"/>
      <c r="SY194"/>
      <c r="SZ194"/>
      <c r="TA194"/>
      <c r="TB194"/>
      <c r="TC194"/>
      <c r="TD194"/>
      <c r="TE194"/>
      <c r="TF194"/>
      <c r="TG194"/>
      <c r="TH194"/>
    </row>
    <row r="195" spans="3:528" x14ac:dyDescent="0.2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c r="PC195"/>
      <c r="PD195"/>
      <c r="PE195"/>
      <c r="PF195"/>
      <c r="PG195"/>
      <c r="PH195"/>
      <c r="PI195"/>
      <c r="PJ195"/>
      <c r="PK195"/>
      <c r="PL195"/>
      <c r="PM195"/>
      <c r="PN195"/>
      <c r="PO195"/>
      <c r="PP195"/>
      <c r="PQ195"/>
      <c r="PR195"/>
      <c r="PS195"/>
      <c r="PT195"/>
      <c r="PU195"/>
      <c r="PV195"/>
      <c r="PW195"/>
      <c r="PX195"/>
      <c r="PY195"/>
      <c r="PZ195"/>
      <c r="QA195"/>
      <c r="QB195"/>
      <c r="QC195"/>
      <c r="QD195"/>
      <c r="QE195"/>
      <c r="QF195"/>
      <c r="QG195"/>
      <c r="QH195"/>
      <c r="QI195"/>
      <c r="QJ195"/>
      <c r="QK195"/>
      <c r="QL195"/>
      <c r="QM195"/>
      <c r="QN195"/>
      <c r="QO195"/>
      <c r="QP195"/>
      <c r="QQ195"/>
      <c r="QR195"/>
      <c r="QS195"/>
      <c r="QT195"/>
      <c r="QU195"/>
      <c r="QV195"/>
      <c r="QW195"/>
      <c r="QX195"/>
      <c r="QY195"/>
      <c r="QZ195"/>
      <c r="RA195"/>
      <c r="RB195"/>
      <c r="RC195"/>
      <c r="RD195"/>
      <c r="RE195"/>
      <c r="RF195"/>
      <c r="RG195"/>
      <c r="RH195"/>
      <c r="RI195"/>
      <c r="RJ195"/>
      <c r="RK195"/>
      <c r="RL195"/>
      <c r="RM195"/>
      <c r="RN195"/>
      <c r="RO195"/>
      <c r="RP195"/>
      <c r="RQ195"/>
      <c r="RR195"/>
      <c r="RS195"/>
      <c r="RT195"/>
      <c r="RU195"/>
      <c r="RV195"/>
      <c r="RW195"/>
      <c r="RX195"/>
      <c r="RY195"/>
      <c r="RZ195"/>
      <c r="SA195"/>
      <c r="SB195"/>
      <c r="SC195"/>
      <c r="SD195"/>
      <c r="SE195"/>
      <c r="SF195"/>
      <c r="SG195"/>
      <c r="SH195"/>
      <c r="SI195"/>
      <c r="SJ195"/>
      <c r="SK195"/>
      <c r="SL195"/>
      <c r="SM195"/>
      <c r="SN195"/>
      <c r="SO195"/>
      <c r="SP195"/>
      <c r="SQ195"/>
      <c r="SR195"/>
      <c r="SS195"/>
      <c r="ST195"/>
      <c r="SU195"/>
      <c r="SV195"/>
      <c r="SW195"/>
      <c r="SX195"/>
      <c r="SY195"/>
      <c r="SZ195"/>
      <c r="TA195"/>
      <c r="TB195"/>
      <c r="TC195"/>
      <c r="TD195"/>
      <c r="TE195"/>
      <c r="TF195"/>
      <c r="TG195"/>
      <c r="TH195"/>
    </row>
    <row r="196" spans="3:528" x14ac:dyDescent="0.25">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c r="PC196"/>
      <c r="PD196"/>
      <c r="PE196"/>
      <c r="PF196"/>
      <c r="PG196"/>
      <c r="PH196"/>
      <c r="PI196"/>
      <c r="PJ196"/>
      <c r="PK196"/>
      <c r="PL196"/>
      <c r="PM196"/>
      <c r="PN196"/>
      <c r="PO196"/>
      <c r="PP196"/>
      <c r="PQ196"/>
      <c r="PR196"/>
      <c r="PS196"/>
      <c r="PT196"/>
      <c r="PU196"/>
      <c r="PV196"/>
      <c r="PW196"/>
      <c r="PX196"/>
      <c r="PY196"/>
      <c r="PZ196"/>
      <c r="QA196"/>
      <c r="QB196"/>
      <c r="QC196"/>
      <c r="QD196"/>
      <c r="QE196"/>
      <c r="QF196"/>
      <c r="QG196"/>
      <c r="QH196"/>
      <c r="QI196"/>
      <c r="QJ196"/>
      <c r="QK196"/>
      <c r="QL196"/>
      <c r="QM196"/>
      <c r="QN196"/>
      <c r="QO196"/>
      <c r="QP196"/>
      <c r="QQ196"/>
      <c r="QR196"/>
      <c r="QS196"/>
      <c r="QT196"/>
      <c r="QU196"/>
      <c r="QV196"/>
      <c r="QW196"/>
      <c r="QX196"/>
      <c r="QY196"/>
      <c r="QZ196"/>
      <c r="RA196"/>
      <c r="RB196"/>
      <c r="RC196"/>
      <c r="RD196"/>
      <c r="RE196"/>
      <c r="RF196"/>
      <c r="RG196"/>
      <c r="RH196"/>
      <c r="RI196"/>
      <c r="RJ196"/>
      <c r="RK196"/>
      <c r="RL196"/>
      <c r="RM196"/>
      <c r="RN196"/>
      <c r="RO196"/>
      <c r="RP196"/>
      <c r="RQ196"/>
      <c r="RR196"/>
      <c r="RS196"/>
      <c r="RT196"/>
      <c r="RU196"/>
      <c r="RV196"/>
      <c r="RW196"/>
      <c r="RX196"/>
      <c r="RY196"/>
      <c r="RZ196"/>
      <c r="SA196"/>
      <c r="SB196"/>
      <c r="SC196"/>
      <c r="SD196"/>
      <c r="SE196"/>
      <c r="SF196"/>
      <c r="SG196"/>
      <c r="SH196"/>
      <c r="SI196"/>
      <c r="SJ196"/>
      <c r="SK196"/>
      <c r="SL196"/>
      <c r="SM196"/>
      <c r="SN196"/>
      <c r="SO196"/>
      <c r="SP196"/>
      <c r="SQ196"/>
      <c r="SR196"/>
      <c r="SS196"/>
      <c r="ST196"/>
      <c r="SU196"/>
      <c r="SV196"/>
      <c r="SW196"/>
      <c r="SX196"/>
      <c r="SY196"/>
      <c r="SZ196"/>
      <c r="TA196"/>
      <c r="TB196"/>
      <c r="TC196"/>
      <c r="TD196"/>
      <c r="TE196"/>
      <c r="TF196"/>
      <c r="TG196"/>
      <c r="TH196"/>
    </row>
    <row r="197" spans="3:528" x14ac:dyDescent="0.25">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c r="PC197"/>
      <c r="PD197"/>
      <c r="PE197"/>
      <c r="PF197"/>
      <c r="PG197"/>
      <c r="PH197"/>
      <c r="PI197"/>
      <c r="PJ197"/>
      <c r="PK197"/>
      <c r="PL197"/>
      <c r="PM197"/>
      <c r="PN197"/>
      <c r="PO197"/>
      <c r="PP197"/>
      <c r="PQ197"/>
      <c r="PR197"/>
      <c r="PS197"/>
      <c r="PT197"/>
      <c r="PU197"/>
      <c r="PV197"/>
      <c r="PW197"/>
      <c r="PX197"/>
      <c r="PY197"/>
      <c r="PZ197"/>
      <c r="QA197"/>
      <c r="QB197"/>
      <c r="QC197"/>
      <c r="QD197"/>
      <c r="QE197"/>
      <c r="QF197"/>
      <c r="QG197"/>
      <c r="QH197"/>
      <c r="QI197"/>
      <c r="QJ197"/>
      <c r="QK197"/>
      <c r="QL197"/>
      <c r="QM197"/>
      <c r="QN197"/>
      <c r="QO197"/>
      <c r="QP197"/>
      <c r="QQ197"/>
      <c r="QR197"/>
      <c r="QS197"/>
      <c r="QT197"/>
      <c r="QU197"/>
      <c r="QV197"/>
      <c r="QW197"/>
      <c r="QX197"/>
      <c r="QY197"/>
      <c r="QZ197"/>
      <c r="RA197"/>
      <c r="RB197"/>
      <c r="RC197"/>
      <c r="RD197"/>
      <c r="RE197"/>
      <c r="RF197"/>
      <c r="RG197"/>
      <c r="RH197"/>
      <c r="RI197"/>
      <c r="RJ197"/>
      <c r="RK197"/>
      <c r="RL197"/>
      <c r="RM197"/>
      <c r="RN197"/>
      <c r="RO197"/>
      <c r="RP197"/>
      <c r="RQ197"/>
      <c r="RR197"/>
      <c r="RS197"/>
      <c r="RT197"/>
      <c r="RU197"/>
      <c r="RV197"/>
      <c r="RW197"/>
      <c r="RX197"/>
      <c r="RY197"/>
      <c r="RZ197"/>
      <c r="SA197"/>
      <c r="SB197"/>
      <c r="SC197"/>
      <c r="SD197"/>
      <c r="SE197"/>
      <c r="SF197"/>
      <c r="SG197"/>
      <c r="SH197"/>
      <c r="SI197"/>
      <c r="SJ197"/>
      <c r="SK197"/>
      <c r="SL197"/>
      <c r="SM197"/>
      <c r="SN197"/>
      <c r="SO197"/>
      <c r="SP197"/>
      <c r="SQ197"/>
      <c r="SR197"/>
      <c r="SS197"/>
      <c r="ST197"/>
      <c r="SU197"/>
      <c r="SV197"/>
      <c r="SW197"/>
      <c r="SX197"/>
      <c r="SY197"/>
      <c r="SZ197"/>
      <c r="TA197"/>
      <c r="TB197"/>
      <c r="TC197"/>
      <c r="TD197"/>
      <c r="TE197"/>
      <c r="TF197"/>
      <c r="TG197"/>
      <c r="TH197"/>
    </row>
    <row r="198" spans="3:528" x14ac:dyDescent="0.25">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c r="PC198"/>
      <c r="PD198"/>
      <c r="PE198"/>
      <c r="PF198"/>
      <c r="PG198"/>
      <c r="PH198"/>
      <c r="PI198"/>
      <c r="PJ198"/>
      <c r="PK198"/>
      <c r="PL198"/>
      <c r="PM198"/>
      <c r="PN198"/>
      <c r="PO198"/>
      <c r="PP198"/>
      <c r="PQ198"/>
      <c r="PR198"/>
      <c r="PS198"/>
      <c r="PT198"/>
      <c r="PU198"/>
      <c r="PV198"/>
      <c r="PW198"/>
      <c r="PX198"/>
      <c r="PY198"/>
      <c r="PZ198"/>
      <c r="QA198"/>
      <c r="QB198"/>
      <c r="QC198"/>
      <c r="QD198"/>
      <c r="QE198"/>
      <c r="QF198"/>
      <c r="QG198"/>
      <c r="QH198"/>
      <c r="QI198"/>
      <c r="QJ198"/>
      <c r="QK198"/>
      <c r="QL198"/>
      <c r="QM198"/>
      <c r="QN198"/>
      <c r="QO198"/>
      <c r="QP198"/>
      <c r="QQ198"/>
      <c r="QR198"/>
      <c r="QS198"/>
      <c r="QT198"/>
      <c r="QU198"/>
      <c r="QV198"/>
      <c r="QW198"/>
      <c r="QX198"/>
      <c r="QY198"/>
      <c r="QZ198"/>
      <c r="RA198"/>
      <c r="RB198"/>
      <c r="RC198"/>
      <c r="RD198"/>
      <c r="RE198"/>
      <c r="RF198"/>
      <c r="RG198"/>
      <c r="RH198"/>
      <c r="RI198"/>
      <c r="RJ198"/>
      <c r="RK198"/>
      <c r="RL198"/>
      <c r="RM198"/>
      <c r="RN198"/>
      <c r="RO198"/>
      <c r="RP198"/>
      <c r="RQ198"/>
      <c r="RR198"/>
      <c r="RS198"/>
      <c r="RT198"/>
      <c r="RU198"/>
      <c r="RV198"/>
      <c r="RW198"/>
      <c r="RX198"/>
      <c r="RY198"/>
      <c r="RZ198"/>
      <c r="SA198"/>
      <c r="SB198"/>
      <c r="SC198"/>
      <c r="SD198"/>
      <c r="SE198"/>
      <c r="SF198"/>
      <c r="SG198"/>
      <c r="SH198"/>
      <c r="SI198"/>
      <c r="SJ198"/>
      <c r="SK198"/>
      <c r="SL198"/>
      <c r="SM198"/>
      <c r="SN198"/>
      <c r="SO198"/>
      <c r="SP198"/>
      <c r="SQ198"/>
      <c r="SR198"/>
      <c r="SS198"/>
      <c r="ST198"/>
      <c r="SU198"/>
      <c r="SV198"/>
      <c r="SW198"/>
      <c r="SX198"/>
      <c r="SY198"/>
      <c r="SZ198"/>
      <c r="TA198"/>
      <c r="TB198"/>
      <c r="TC198"/>
      <c r="TD198"/>
      <c r="TE198"/>
      <c r="TF198"/>
      <c r="TG198"/>
      <c r="TH198"/>
    </row>
    <row r="199" spans="3:528" x14ac:dyDescent="0.25">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c r="PC199"/>
      <c r="PD199"/>
      <c r="PE199"/>
      <c r="PF199"/>
      <c r="PG199"/>
      <c r="PH199"/>
      <c r="PI199"/>
      <c r="PJ199"/>
      <c r="PK199"/>
      <c r="PL199"/>
      <c r="PM199"/>
      <c r="PN199"/>
      <c r="PO199"/>
      <c r="PP199"/>
      <c r="PQ199"/>
      <c r="PR199"/>
      <c r="PS199"/>
      <c r="PT199"/>
      <c r="PU199"/>
      <c r="PV199"/>
      <c r="PW199"/>
      <c r="PX199"/>
      <c r="PY199"/>
      <c r="PZ199"/>
      <c r="QA199"/>
      <c r="QB199"/>
      <c r="QC199"/>
      <c r="QD199"/>
      <c r="QE199"/>
      <c r="QF199"/>
      <c r="QG199"/>
      <c r="QH199"/>
      <c r="QI199"/>
      <c r="QJ199"/>
      <c r="QK199"/>
      <c r="QL199"/>
      <c r="QM199"/>
      <c r="QN199"/>
      <c r="QO199"/>
      <c r="QP199"/>
      <c r="QQ199"/>
      <c r="QR199"/>
      <c r="QS199"/>
      <c r="QT199"/>
      <c r="QU199"/>
      <c r="QV199"/>
      <c r="QW199"/>
      <c r="QX199"/>
      <c r="QY199"/>
      <c r="QZ199"/>
      <c r="RA199"/>
      <c r="RB199"/>
      <c r="RC199"/>
      <c r="RD199"/>
      <c r="RE199"/>
      <c r="RF199"/>
      <c r="RG199"/>
      <c r="RH199"/>
      <c r="RI199"/>
      <c r="RJ199"/>
      <c r="RK199"/>
      <c r="RL199"/>
      <c r="RM199"/>
      <c r="RN199"/>
      <c r="RO199"/>
      <c r="RP199"/>
      <c r="RQ199"/>
      <c r="RR199"/>
      <c r="RS199"/>
      <c r="RT199"/>
      <c r="RU199"/>
      <c r="RV199"/>
      <c r="RW199"/>
      <c r="RX199"/>
      <c r="RY199"/>
      <c r="RZ199"/>
      <c r="SA199"/>
      <c r="SB199"/>
      <c r="SC199"/>
      <c r="SD199"/>
      <c r="SE199"/>
      <c r="SF199"/>
      <c r="SG199"/>
      <c r="SH199"/>
      <c r="SI199"/>
      <c r="SJ199"/>
      <c r="SK199"/>
      <c r="SL199"/>
      <c r="SM199"/>
      <c r="SN199"/>
      <c r="SO199"/>
      <c r="SP199"/>
      <c r="SQ199"/>
      <c r="SR199"/>
      <c r="SS199"/>
      <c r="ST199"/>
      <c r="SU199"/>
      <c r="SV199"/>
      <c r="SW199"/>
      <c r="SX199"/>
      <c r="SY199"/>
      <c r="SZ199"/>
      <c r="TA199"/>
      <c r="TB199"/>
      <c r="TC199"/>
      <c r="TD199"/>
      <c r="TE199"/>
      <c r="TF199"/>
      <c r="TG199"/>
      <c r="TH199"/>
    </row>
    <row r="200" spans="3:528" x14ac:dyDescent="0.25">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c r="PC200"/>
      <c r="PD200"/>
      <c r="PE200"/>
      <c r="PF200"/>
      <c r="PG200"/>
      <c r="PH200"/>
      <c r="PI200"/>
      <c r="PJ200"/>
      <c r="PK200"/>
      <c r="PL200"/>
      <c r="PM200"/>
      <c r="PN200"/>
      <c r="PO200"/>
      <c r="PP200"/>
      <c r="PQ200"/>
      <c r="PR200"/>
      <c r="PS200"/>
      <c r="PT200"/>
      <c r="PU200"/>
      <c r="PV200"/>
      <c r="PW200"/>
      <c r="PX200"/>
      <c r="PY200"/>
      <c r="PZ200"/>
      <c r="QA200"/>
      <c r="QB200"/>
      <c r="QC200"/>
      <c r="QD200"/>
      <c r="QE200"/>
      <c r="QF200"/>
      <c r="QG200"/>
      <c r="QH200"/>
      <c r="QI200"/>
      <c r="QJ200"/>
      <c r="QK200"/>
      <c r="QL200"/>
      <c r="QM200"/>
      <c r="QN200"/>
      <c r="QO200"/>
      <c r="QP200"/>
      <c r="QQ200"/>
      <c r="QR200"/>
      <c r="QS200"/>
      <c r="QT200"/>
      <c r="QU200"/>
      <c r="QV200"/>
      <c r="QW200"/>
      <c r="QX200"/>
      <c r="QY200"/>
      <c r="QZ200"/>
      <c r="RA200"/>
      <c r="RB200"/>
      <c r="RC200"/>
      <c r="RD200"/>
      <c r="RE200"/>
      <c r="RF200"/>
      <c r="RG200"/>
      <c r="RH200"/>
      <c r="RI200"/>
      <c r="RJ200"/>
      <c r="RK200"/>
      <c r="RL200"/>
      <c r="RM200"/>
      <c r="RN200"/>
      <c r="RO200"/>
      <c r="RP200"/>
      <c r="RQ200"/>
      <c r="RR200"/>
      <c r="RS200"/>
      <c r="RT200"/>
      <c r="RU200"/>
      <c r="RV200"/>
      <c r="RW200"/>
      <c r="RX200"/>
      <c r="RY200"/>
      <c r="RZ200"/>
      <c r="SA200"/>
      <c r="SB200"/>
      <c r="SC200"/>
      <c r="SD200"/>
      <c r="SE200"/>
      <c r="SF200"/>
      <c r="SG200"/>
      <c r="SH200"/>
      <c r="SI200"/>
      <c r="SJ200"/>
      <c r="SK200"/>
      <c r="SL200"/>
      <c r="SM200"/>
      <c r="SN200"/>
      <c r="SO200"/>
      <c r="SP200"/>
      <c r="SQ200"/>
      <c r="SR200"/>
      <c r="SS200"/>
      <c r="ST200"/>
      <c r="SU200"/>
      <c r="SV200"/>
      <c r="SW200"/>
      <c r="SX200"/>
      <c r="SY200"/>
      <c r="SZ200"/>
      <c r="TA200"/>
      <c r="TB200"/>
      <c r="TC200"/>
      <c r="TD200"/>
      <c r="TE200"/>
      <c r="TF200"/>
      <c r="TG200"/>
      <c r="TH200"/>
    </row>
    <row r="201" spans="3:528" x14ac:dyDescent="0.25">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c r="PC201"/>
      <c r="PD201"/>
      <c r="PE201"/>
      <c r="PF201"/>
      <c r="PG201"/>
      <c r="PH201"/>
      <c r="PI201"/>
      <c r="PJ201"/>
      <c r="PK201"/>
      <c r="PL201"/>
      <c r="PM201"/>
      <c r="PN201"/>
      <c r="PO201"/>
      <c r="PP201"/>
      <c r="PQ201"/>
      <c r="PR201"/>
      <c r="PS201"/>
      <c r="PT201"/>
      <c r="PU201"/>
      <c r="PV201"/>
      <c r="PW201"/>
      <c r="PX201"/>
      <c r="PY201"/>
      <c r="PZ201"/>
      <c r="QA201"/>
      <c r="QB201"/>
      <c r="QC201"/>
      <c r="QD201"/>
      <c r="QE201"/>
      <c r="QF201"/>
      <c r="QG201"/>
      <c r="QH201"/>
      <c r="QI201"/>
      <c r="QJ201"/>
      <c r="QK201"/>
      <c r="QL201"/>
      <c r="QM201"/>
      <c r="QN201"/>
      <c r="QO201"/>
      <c r="QP201"/>
      <c r="QQ201"/>
      <c r="QR201"/>
      <c r="QS201"/>
      <c r="QT201"/>
      <c r="QU201"/>
      <c r="QV201"/>
      <c r="QW201"/>
      <c r="QX201"/>
      <c r="QY201"/>
      <c r="QZ201"/>
      <c r="RA201"/>
      <c r="RB201"/>
      <c r="RC201"/>
      <c r="RD201"/>
      <c r="RE201"/>
      <c r="RF201"/>
      <c r="RG201"/>
      <c r="RH201"/>
      <c r="RI201"/>
      <c r="RJ201"/>
      <c r="RK201"/>
      <c r="RL201"/>
      <c r="RM201"/>
      <c r="RN201"/>
      <c r="RO201"/>
      <c r="RP201"/>
      <c r="RQ201"/>
      <c r="RR201"/>
      <c r="RS201"/>
      <c r="RT201"/>
      <c r="RU201"/>
      <c r="RV201"/>
      <c r="RW201"/>
      <c r="RX201"/>
      <c r="RY201"/>
      <c r="RZ201"/>
      <c r="SA201"/>
      <c r="SB201"/>
      <c r="SC201"/>
      <c r="SD201"/>
      <c r="SE201"/>
      <c r="SF201"/>
      <c r="SG201"/>
      <c r="SH201"/>
      <c r="SI201"/>
      <c r="SJ201"/>
      <c r="SK201"/>
      <c r="SL201"/>
      <c r="SM201"/>
      <c r="SN201"/>
      <c r="SO201"/>
      <c r="SP201"/>
      <c r="SQ201"/>
      <c r="SR201"/>
      <c r="SS201"/>
      <c r="ST201"/>
      <c r="SU201"/>
      <c r="SV201"/>
      <c r="SW201"/>
      <c r="SX201"/>
      <c r="SY201"/>
      <c r="SZ201"/>
      <c r="TA201"/>
      <c r="TB201"/>
      <c r="TC201"/>
      <c r="TD201"/>
      <c r="TE201"/>
      <c r="TF201"/>
      <c r="TG201"/>
      <c r="TH201"/>
    </row>
    <row r="202" spans="3:528" x14ac:dyDescent="0.25">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c r="PC202"/>
      <c r="PD202"/>
      <c r="PE202"/>
      <c r="PF202"/>
      <c r="PG202"/>
      <c r="PH202"/>
      <c r="PI202"/>
      <c r="PJ202"/>
      <c r="PK202"/>
      <c r="PL202"/>
      <c r="PM202"/>
      <c r="PN202"/>
      <c r="PO202"/>
      <c r="PP202"/>
      <c r="PQ202"/>
      <c r="PR202"/>
      <c r="PS202"/>
      <c r="PT202"/>
      <c r="PU202"/>
      <c r="PV202"/>
      <c r="PW202"/>
      <c r="PX202"/>
      <c r="PY202"/>
      <c r="PZ202"/>
      <c r="QA202"/>
      <c r="QB202"/>
      <c r="QC202"/>
      <c r="QD202"/>
      <c r="QE202"/>
      <c r="QF202"/>
      <c r="QG202"/>
      <c r="QH202"/>
      <c r="QI202"/>
      <c r="QJ202"/>
      <c r="QK202"/>
      <c r="QL202"/>
      <c r="QM202"/>
      <c r="QN202"/>
      <c r="QO202"/>
      <c r="QP202"/>
      <c r="QQ202"/>
      <c r="QR202"/>
      <c r="QS202"/>
      <c r="QT202"/>
      <c r="QU202"/>
      <c r="QV202"/>
      <c r="QW202"/>
      <c r="QX202"/>
      <c r="QY202"/>
      <c r="QZ202"/>
      <c r="RA202"/>
      <c r="RB202"/>
      <c r="RC202"/>
      <c r="RD202"/>
      <c r="RE202"/>
      <c r="RF202"/>
      <c r="RG202"/>
      <c r="RH202"/>
      <c r="RI202"/>
      <c r="RJ202"/>
      <c r="RK202"/>
      <c r="RL202"/>
      <c r="RM202"/>
      <c r="RN202"/>
      <c r="RO202"/>
      <c r="RP202"/>
      <c r="RQ202"/>
      <c r="RR202"/>
      <c r="RS202"/>
      <c r="RT202"/>
      <c r="RU202"/>
      <c r="RV202"/>
      <c r="RW202"/>
      <c r="RX202"/>
      <c r="RY202"/>
      <c r="RZ202"/>
      <c r="SA202"/>
      <c r="SB202"/>
      <c r="SC202"/>
      <c r="SD202"/>
      <c r="SE202"/>
      <c r="SF202"/>
      <c r="SG202"/>
      <c r="SH202"/>
      <c r="SI202"/>
      <c r="SJ202"/>
      <c r="SK202"/>
      <c r="SL202"/>
      <c r="SM202"/>
      <c r="SN202"/>
      <c r="SO202"/>
      <c r="SP202"/>
      <c r="SQ202"/>
      <c r="SR202"/>
      <c r="SS202"/>
      <c r="ST202"/>
      <c r="SU202"/>
      <c r="SV202"/>
      <c r="SW202"/>
      <c r="SX202"/>
      <c r="SY202"/>
      <c r="SZ202"/>
      <c r="TA202"/>
      <c r="TB202"/>
      <c r="TC202"/>
      <c r="TD202"/>
      <c r="TE202"/>
      <c r="TF202"/>
      <c r="TG202"/>
      <c r="TH202"/>
    </row>
    <row r="203" spans="3:528" x14ac:dyDescent="0.25">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c r="PC203"/>
      <c r="PD203"/>
      <c r="PE203"/>
      <c r="PF203"/>
      <c r="PG203"/>
      <c r="PH203"/>
      <c r="PI203"/>
      <c r="PJ203"/>
      <c r="PK203"/>
      <c r="PL203"/>
      <c r="PM203"/>
      <c r="PN203"/>
      <c r="PO203"/>
      <c r="PP203"/>
      <c r="PQ203"/>
      <c r="PR203"/>
      <c r="PS203"/>
      <c r="PT203"/>
      <c r="PU203"/>
      <c r="PV203"/>
      <c r="PW203"/>
      <c r="PX203"/>
      <c r="PY203"/>
      <c r="PZ203"/>
      <c r="QA203"/>
      <c r="QB203"/>
      <c r="QC203"/>
      <c r="QD203"/>
      <c r="QE203"/>
      <c r="QF203"/>
      <c r="QG203"/>
      <c r="QH203"/>
      <c r="QI203"/>
      <c r="QJ203"/>
      <c r="QK203"/>
      <c r="QL203"/>
      <c r="QM203"/>
      <c r="QN203"/>
      <c r="QO203"/>
      <c r="QP203"/>
      <c r="QQ203"/>
      <c r="QR203"/>
      <c r="QS203"/>
      <c r="QT203"/>
      <c r="QU203"/>
      <c r="QV203"/>
      <c r="QW203"/>
      <c r="QX203"/>
      <c r="QY203"/>
      <c r="QZ203"/>
      <c r="RA203"/>
      <c r="RB203"/>
      <c r="RC203"/>
      <c r="RD203"/>
      <c r="RE203"/>
      <c r="RF203"/>
      <c r="RG203"/>
      <c r="RH203"/>
      <c r="RI203"/>
      <c r="RJ203"/>
      <c r="RK203"/>
      <c r="RL203"/>
      <c r="RM203"/>
      <c r="RN203"/>
      <c r="RO203"/>
      <c r="RP203"/>
      <c r="RQ203"/>
      <c r="RR203"/>
      <c r="RS203"/>
      <c r="RT203"/>
      <c r="RU203"/>
      <c r="RV203"/>
      <c r="RW203"/>
      <c r="RX203"/>
      <c r="RY203"/>
      <c r="RZ203"/>
      <c r="SA203"/>
      <c r="SB203"/>
      <c r="SC203"/>
      <c r="SD203"/>
      <c r="SE203"/>
      <c r="SF203"/>
      <c r="SG203"/>
      <c r="SH203"/>
      <c r="SI203"/>
      <c r="SJ203"/>
      <c r="SK203"/>
      <c r="SL203"/>
      <c r="SM203"/>
      <c r="SN203"/>
      <c r="SO203"/>
      <c r="SP203"/>
      <c r="SQ203"/>
      <c r="SR203"/>
      <c r="SS203"/>
      <c r="ST203"/>
      <c r="SU203"/>
      <c r="SV203"/>
      <c r="SW203"/>
      <c r="SX203"/>
      <c r="SY203"/>
      <c r="SZ203"/>
      <c r="TA203"/>
      <c r="TB203"/>
      <c r="TC203"/>
      <c r="TD203"/>
      <c r="TE203"/>
      <c r="TF203"/>
      <c r="TG203"/>
      <c r="TH203"/>
    </row>
    <row r="204" spans="3:528" x14ac:dyDescent="0.25">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c r="PC204"/>
      <c r="PD204"/>
      <c r="PE204"/>
      <c r="PF204"/>
      <c r="PG204"/>
      <c r="PH204"/>
      <c r="PI204"/>
      <c r="PJ204"/>
      <c r="PK204"/>
      <c r="PL204"/>
      <c r="PM204"/>
      <c r="PN204"/>
      <c r="PO204"/>
      <c r="PP204"/>
      <c r="PQ204"/>
      <c r="PR204"/>
      <c r="PS204"/>
      <c r="PT204"/>
      <c r="PU204"/>
      <c r="PV204"/>
      <c r="PW204"/>
      <c r="PX204"/>
      <c r="PY204"/>
      <c r="PZ204"/>
      <c r="QA204"/>
      <c r="QB204"/>
      <c r="QC204"/>
      <c r="QD204"/>
      <c r="QE204"/>
      <c r="QF204"/>
      <c r="QG204"/>
      <c r="QH204"/>
      <c r="QI204"/>
      <c r="QJ204"/>
      <c r="QK204"/>
      <c r="QL204"/>
      <c r="QM204"/>
      <c r="QN204"/>
      <c r="QO204"/>
      <c r="QP204"/>
      <c r="QQ204"/>
      <c r="QR204"/>
      <c r="QS204"/>
      <c r="QT204"/>
      <c r="QU204"/>
      <c r="QV204"/>
      <c r="QW204"/>
      <c r="QX204"/>
      <c r="QY204"/>
      <c r="QZ204"/>
      <c r="RA204"/>
      <c r="RB204"/>
      <c r="RC204"/>
      <c r="RD204"/>
      <c r="RE204"/>
      <c r="RF204"/>
      <c r="RG204"/>
      <c r="RH204"/>
      <c r="RI204"/>
      <c r="RJ204"/>
      <c r="RK204"/>
      <c r="RL204"/>
      <c r="RM204"/>
      <c r="RN204"/>
      <c r="RO204"/>
      <c r="RP204"/>
      <c r="RQ204"/>
      <c r="RR204"/>
      <c r="RS204"/>
      <c r="RT204"/>
      <c r="RU204"/>
      <c r="RV204"/>
      <c r="RW204"/>
      <c r="RX204"/>
      <c r="RY204"/>
      <c r="RZ204"/>
      <c r="SA204"/>
      <c r="SB204"/>
      <c r="SC204"/>
      <c r="SD204"/>
      <c r="SE204"/>
      <c r="SF204"/>
      <c r="SG204"/>
      <c r="SH204"/>
      <c r="SI204"/>
      <c r="SJ204"/>
      <c r="SK204"/>
      <c r="SL204"/>
      <c r="SM204"/>
      <c r="SN204"/>
      <c r="SO204"/>
      <c r="SP204"/>
      <c r="SQ204"/>
      <c r="SR204"/>
      <c r="SS204"/>
      <c r="ST204"/>
      <c r="SU204"/>
      <c r="SV204"/>
      <c r="SW204"/>
      <c r="SX204"/>
      <c r="SY204"/>
      <c r="SZ204"/>
      <c r="TA204"/>
      <c r="TB204"/>
      <c r="TC204"/>
      <c r="TD204"/>
      <c r="TE204"/>
      <c r="TF204"/>
      <c r="TG204"/>
      <c r="TH204"/>
    </row>
    <row r="205" spans="3:528" x14ac:dyDescent="0.2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c r="PC205"/>
      <c r="PD205"/>
      <c r="PE205"/>
      <c r="PF205"/>
      <c r="PG205"/>
      <c r="PH205"/>
      <c r="PI205"/>
      <c r="PJ205"/>
      <c r="PK205"/>
      <c r="PL205"/>
      <c r="PM205"/>
      <c r="PN205"/>
      <c r="PO205"/>
      <c r="PP205"/>
      <c r="PQ205"/>
      <c r="PR205"/>
      <c r="PS205"/>
      <c r="PT205"/>
      <c r="PU205"/>
      <c r="PV205"/>
      <c r="PW205"/>
      <c r="PX205"/>
      <c r="PY205"/>
      <c r="PZ205"/>
      <c r="QA205"/>
      <c r="QB205"/>
      <c r="QC205"/>
      <c r="QD205"/>
      <c r="QE205"/>
      <c r="QF205"/>
      <c r="QG205"/>
      <c r="QH205"/>
      <c r="QI205"/>
      <c r="QJ205"/>
      <c r="QK205"/>
      <c r="QL205"/>
      <c r="QM205"/>
      <c r="QN205"/>
      <c r="QO205"/>
      <c r="QP205"/>
      <c r="QQ205"/>
      <c r="QR205"/>
      <c r="QS205"/>
      <c r="QT205"/>
      <c r="QU205"/>
      <c r="QV205"/>
      <c r="QW205"/>
      <c r="QX205"/>
      <c r="QY205"/>
      <c r="QZ205"/>
      <c r="RA205"/>
      <c r="RB205"/>
      <c r="RC205"/>
      <c r="RD205"/>
      <c r="RE205"/>
      <c r="RF205"/>
      <c r="RG205"/>
      <c r="RH205"/>
      <c r="RI205"/>
      <c r="RJ205"/>
      <c r="RK205"/>
      <c r="RL205"/>
      <c r="RM205"/>
      <c r="RN205"/>
      <c r="RO205"/>
      <c r="RP205"/>
      <c r="RQ205"/>
      <c r="RR205"/>
      <c r="RS205"/>
      <c r="RT205"/>
      <c r="RU205"/>
      <c r="RV205"/>
      <c r="RW205"/>
      <c r="RX205"/>
      <c r="RY205"/>
      <c r="RZ205"/>
      <c r="SA205"/>
      <c r="SB205"/>
      <c r="SC205"/>
      <c r="SD205"/>
      <c r="SE205"/>
      <c r="SF205"/>
      <c r="SG205"/>
      <c r="SH205"/>
      <c r="SI205"/>
      <c r="SJ205"/>
      <c r="SK205"/>
      <c r="SL205"/>
      <c r="SM205"/>
      <c r="SN205"/>
      <c r="SO205"/>
      <c r="SP205"/>
      <c r="SQ205"/>
      <c r="SR205"/>
      <c r="SS205"/>
      <c r="ST205"/>
      <c r="SU205"/>
      <c r="SV205"/>
      <c r="SW205"/>
      <c r="SX205"/>
      <c r="SY205"/>
      <c r="SZ205"/>
      <c r="TA205"/>
      <c r="TB205"/>
      <c r="TC205"/>
      <c r="TD205"/>
      <c r="TE205"/>
      <c r="TF205"/>
      <c r="TG205"/>
      <c r="TH205"/>
    </row>
    <row r="206" spans="3:528" x14ac:dyDescent="0.25">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c r="PC206"/>
      <c r="PD206"/>
      <c r="PE206"/>
      <c r="PF206"/>
      <c r="PG206"/>
      <c r="PH206"/>
      <c r="PI206"/>
      <c r="PJ206"/>
      <c r="PK206"/>
      <c r="PL206"/>
      <c r="PM206"/>
      <c r="PN206"/>
      <c r="PO206"/>
      <c r="PP206"/>
      <c r="PQ206"/>
      <c r="PR206"/>
      <c r="PS206"/>
      <c r="PT206"/>
      <c r="PU206"/>
      <c r="PV206"/>
      <c r="PW206"/>
      <c r="PX206"/>
      <c r="PY206"/>
      <c r="PZ206"/>
      <c r="QA206"/>
      <c r="QB206"/>
      <c r="QC206"/>
      <c r="QD206"/>
      <c r="QE206"/>
      <c r="QF206"/>
      <c r="QG206"/>
      <c r="QH206"/>
      <c r="QI206"/>
      <c r="QJ206"/>
      <c r="QK206"/>
      <c r="QL206"/>
      <c r="QM206"/>
      <c r="QN206"/>
      <c r="QO206"/>
      <c r="QP206"/>
      <c r="QQ206"/>
      <c r="QR206"/>
      <c r="QS206"/>
      <c r="QT206"/>
      <c r="QU206"/>
      <c r="QV206"/>
      <c r="QW206"/>
      <c r="QX206"/>
      <c r="QY206"/>
      <c r="QZ206"/>
      <c r="RA206"/>
      <c r="RB206"/>
      <c r="RC206"/>
      <c r="RD206"/>
      <c r="RE206"/>
      <c r="RF206"/>
      <c r="RG206"/>
      <c r="RH206"/>
      <c r="RI206"/>
      <c r="RJ206"/>
      <c r="RK206"/>
      <c r="RL206"/>
      <c r="RM206"/>
      <c r="RN206"/>
      <c r="RO206"/>
      <c r="RP206"/>
      <c r="RQ206"/>
      <c r="RR206"/>
      <c r="RS206"/>
      <c r="RT206"/>
      <c r="RU206"/>
      <c r="RV206"/>
      <c r="RW206"/>
      <c r="RX206"/>
      <c r="RY206"/>
      <c r="RZ206"/>
      <c r="SA206"/>
      <c r="SB206"/>
      <c r="SC206"/>
      <c r="SD206"/>
      <c r="SE206"/>
      <c r="SF206"/>
      <c r="SG206"/>
      <c r="SH206"/>
      <c r="SI206"/>
      <c r="SJ206"/>
      <c r="SK206"/>
      <c r="SL206"/>
      <c r="SM206"/>
      <c r="SN206"/>
      <c r="SO206"/>
      <c r="SP206"/>
      <c r="SQ206"/>
      <c r="SR206"/>
      <c r="SS206"/>
      <c r="ST206"/>
      <c r="SU206"/>
      <c r="SV206"/>
      <c r="SW206"/>
      <c r="SX206"/>
      <c r="SY206"/>
      <c r="SZ206"/>
      <c r="TA206"/>
      <c r="TB206"/>
      <c r="TC206"/>
      <c r="TD206"/>
      <c r="TE206"/>
      <c r="TF206"/>
      <c r="TG206"/>
      <c r="TH206"/>
    </row>
    <row r="207" spans="3:528" x14ac:dyDescent="0.25">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c r="PC207"/>
      <c r="PD207"/>
      <c r="PE207"/>
      <c r="PF207"/>
      <c r="PG207"/>
      <c r="PH207"/>
      <c r="PI207"/>
      <c r="PJ207"/>
      <c r="PK207"/>
      <c r="PL207"/>
      <c r="PM207"/>
      <c r="PN207"/>
      <c r="PO207"/>
      <c r="PP207"/>
      <c r="PQ207"/>
      <c r="PR207"/>
      <c r="PS207"/>
      <c r="PT207"/>
      <c r="PU207"/>
      <c r="PV207"/>
      <c r="PW207"/>
      <c r="PX207"/>
      <c r="PY207"/>
      <c r="PZ207"/>
      <c r="QA207"/>
      <c r="QB207"/>
      <c r="QC207"/>
      <c r="QD207"/>
      <c r="QE207"/>
      <c r="QF207"/>
      <c r="QG207"/>
      <c r="QH207"/>
      <c r="QI207"/>
      <c r="QJ207"/>
      <c r="QK207"/>
      <c r="QL207"/>
      <c r="QM207"/>
      <c r="QN207"/>
      <c r="QO207"/>
      <c r="QP207"/>
      <c r="QQ207"/>
      <c r="QR207"/>
      <c r="QS207"/>
      <c r="QT207"/>
      <c r="QU207"/>
      <c r="QV207"/>
      <c r="QW207"/>
      <c r="QX207"/>
      <c r="QY207"/>
      <c r="QZ207"/>
      <c r="RA207"/>
      <c r="RB207"/>
      <c r="RC207"/>
      <c r="RD207"/>
      <c r="RE207"/>
      <c r="RF207"/>
      <c r="RG207"/>
      <c r="RH207"/>
      <c r="RI207"/>
      <c r="RJ207"/>
      <c r="RK207"/>
      <c r="RL207"/>
      <c r="RM207"/>
      <c r="RN207"/>
      <c r="RO207"/>
      <c r="RP207"/>
      <c r="RQ207"/>
      <c r="RR207"/>
      <c r="RS207"/>
      <c r="RT207"/>
      <c r="RU207"/>
      <c r="RV207"/>
      <c r="RW207"/>
      <c r="RX207"/>
      <c r="RY207"/>
      <c r="RZ207"/>
      <c r="SA207"/>
      <c r="SB207"/>
      <c r="SC207"/>
      <c r="SD207"/>
      <c r="SE207"/>
      <c r="SF207"/>
      <c r="SG207"/>
      <c r="SH207"/>
      <c r="SI207"/>
      <c r="SJ207"/>
      <c r="SK207"/>
      <c r="SL207"/>
      <c r="SM207"/>
      <c r="SN207"/>
      <c r="SO207"/>
      <c r="SP207"/>
      <c r="SQ207"/>
      <c r="SR207"/>
      <c r="SS207"/>
      <c r="ST207"/>
      <c r="SU207"/>
      <c r="SV207"/>
      <c r="SW207"/>
      <c r="SX207"/>
      <c r="SY207"/>
      <c r="SZ207"/>
      <c r="TA207"/>
      <c r="TB207"/>
      <c r="TC207"/>
      <c r="TD207"/>
      <c r="TE207"/>
      <c r="TF207"/>
      <c r="TG207"/>
      <c r="TH207"/>
    </row>
    <row r="208" spans="3:528" x14ac:dyDescent="0.25">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c r="PC208"/>
      <c r="PD208"/>
      <c r="PE208"/>
      <c r="PF208"/>
      <c r="PG208"/>
      <c r="PH208"/>
      <c r="PI208"/>
      <c r="PJ208"/>
      <c r="PK208"/>
      <c r="PL208"/>
      <c r="PM208"/>
      <c r="PN208"/>
      <c r="PO208"/>
      <c r="PP208"/>
      <c r="PQ208"/>
      <c r="PR208"/>
      <c r="PS208"/>
      <c r="PT208"/>
      <c r="PU208"/>
      <c r="PV208"/>
      <c r="PW208"/>
      <c r="PX208"/>
      <c r="PY208"/>
      <c r="PZ208"/>
      <c r="QA208"/>
      <c r="QB208"/>
      <c r="QC208"/>
      <c r="QD208"/>
      <c r="QE208"/>
      <c r="QF208"/>
      <c r="QG208"/>
      <c r="QH208"/>
      <c r="QI208"/>
      <c r="QJ208"/>
      <c r="QK208"/>
      <c r="QL208"/>
      <c r="QM208"/>
      <c r="QN208"/>
      <c r="QO208"/>
      <c r="QP208"/>
      <c r="QQ208"/>
      <c r="QR208"/>
      <c r="QS208"/>
      <c r="QT208"/>
      <c r="QU208"/>
      <c r="QV208"/>
      <c r="QW208"/>
      <c r="QX208"/>
      <c r="QY208"/>
      <c r="QZ208"/>
      <c r="RA208"/>
      <c r="RB208"/>
      <c r="RC208"/>
      <c r="RD208"/>
      <c r="RE208"/>
      <c r="RF208"/>
      <c r="RG208"/>
      <c r="RH208"/>
      <c r="RI208"/>
      <c r="RJ208"/>
      <c r="RK208"/>
      <c r="RL208"/>
      <c r="RM208"/>
      <c r="RN208"/>
      <c r="RO208"/>
      <c r="RP208"/>
      <c r="RQ208"/>
      <c r="RR208"/>
      <c r="RS208"/>
      <c r="RT208"/>
      <c r="RU208"/>
      <c r="RV208"/>
      <c r="RW208"/>
      <c r="RX208"/>
      <c r="RY208"/>
      <c r="RZ208"/>
      <c r="SA208"/>
      <c r="SB208"/>
      <c r="SC208"/>
      <c r="SD208"/>
      <c r="SE208"/>
      <c r="SF208"/>
      <c r="SG208"/>
      <c r="SH208"/>
      <c r="SI208"/>
      <c r="SJ208"/>
      <c r="SK208"/>
      <c r="SL208"/>
      <c r="SM208"/>
      <c r="SN208"/>
      <c r="SO208"/>
      <c r="SP208"/>
      <c r="SQ208"/>
      <c r="SR208"/>
      <c r="SS208"/>
      <c r="ST208"/>
      <c r="SU208"/>
      <c r="SV208"/>
      <c r="SW208"/>
      <c r="SX208"/>
      <c r="SY208"/>
      <c r="SZ208"/>
      <c r="TA208"/>
      <c r="TB208"/>
      <c r="TC208"/>
      <c r="TD208"/>
      <c r="TE208"/>
      <c r="TF208"/>
      <c r="TG208"/>
      <c r="TH208"/>
    </row>
    <row r="209" spans="3:528" x14ac:dyDescent="0.25">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c r="PC209"/>
      <c r="PD209"/>
      <c r="PE209"/>
      <c r="PF209"/>
      <c r="PG209"/>
      <c r="PH209"/>
      <c r="PI209"/>
      <c r="PJ209"/>
      <c r="PK209"/>
      <c r="PL209"/>
      <c r="PM209"/>
      <c r="PN209"/>
      <c r="PO209"/>
      <c r="PP209"/>
      <c r="PQ209"/>
      <c r="PR209"/>
      <c r="PS209"/>
      <c r="PT209"/>
      <c r="PU209"/>
      <c r="PV209"/>
      <c r="PW209"/>
      <c r="PX209"/>
      <c r="PY209"/>
      <c r="PZ209"/>
      <c r="QA209"/>
      <c r="QB209"/>
      <c r="QC209"/>
      <c r="QD209"/>
      <c r="QE209"/>
      <c r="QF209"/>
      <c r="QG209"/>
      <c r="QH209"/>
      <c r="QI209"/>
      <c r="QJ209"/>
      <c r="QK209"/>
      <c r="QL209"/>
      <c r="QM209"/>
      <c r="QN209"/>
      <c r="QO209"/>
      <c r="QP209"/>
      <c r="QQ209"/>
      <c r="QR209"/>
      <c r="QS209"/>
      <c r="QT209"/>
      <c r="QU209"/>
      <c r="QV209"/>
      <c r="QW209"/>
      <c r="QX209"/>
      <c r="QY209"/>
      <c r="QZ209"/>
      <c r="RA209"/>
      <c r="RB209"/>
      <c r="RC209"/>
      <c r="RD209"/>
      <c r="RE209"/>
      <c r="RF209"/>
      <c r="RG209"/>
      <c r="RH209"/>
      <c r="RI209"/>
      <c r="RJ209"/>
      <c r="RK209"/>
      <c r="RL209"/>
      <c r="RM209"/>
      <c r="RN209"/>
      <c r="RO209"/>
      <c r="RP209"/>
      <c r="RQ209"/>
      <c r="RR209"/>
      <c r="RS209"/>
      <c r="RT209"/>
      <c r="RU209"/>
      <c r="RV209"/>
      <c r="RW209"/>
      <c r="RX209"/>
      <c r="RY209"/>
      <c r="RZ209"/>
      <c r="SA209"/>
      <c r="SB209"/>
      <c r="SC209"/>
      <c r="SD209"/>
      <c r="SE209"/>
      <c r="SF209"/>
      <c r="SG209"/>
      <c r="SH209"/>
      <c r="SI209"/>
      <c r="SJ209"/>
      <c r="SK209"/>
      <c r="SL209"/>
      <c r="SM209"/>
      <c r="SN209"/>
      <c r="SO209"/>
      <c r="SP209"/>
      <c r="SQ209"/>
      <c r="SR209"/>
      <c r="SS209"/>
      <c r="ST209"/>
      <c r="SU209"/>
      <c r="SV209"/>
      <c r="SW209"/>
      <c r="SX209"/>
      <c r="SY209"/>
      <c r="SZ209"/>
      <c r="TA209"/>
      <c r="TB209"/>
      <c r="TC209"/>
      <c r="TD209"/>
      <c r="TE209"/>
      <c r="TF209"/>
      <c r="TG209"/>
      <c r="TH209"/>
    </row>
    <row r="210" spans="3:528" x14ac:dyDescent="0.25">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c r="PC210"/>
      <c r="PD210"/>
      <c r="PE210"/>
      <c r="PF210"/>
      <c r="PG210"/>
      <c r="PH210"/>
      <c r="PI210"/>
      <c r="PJ210"/>
      <c r="PK210"/>
      <c r="PL210"/>
      <c r="PM210"/>
      <c r="PN210"/>
      <c r="PO210"/>
      <c r="PP210"/>
      <c r="PQ210"/>
      <c r="PR210"/>
      <c r="PS210"/>
      <c r="PT210"/>
      <c r="PU210"/>
      <c r="PV210"/>
      <c r="PW210"/>
      <c r="PX210"/>
      <c r="PY210"/>
      <c r="PZ210"/>
      <c r="QA210"/>
      <c r="QB210"/>
      <c r="QC210"/>
      <c r="QD210"/>
      <c r="QE210"/>
      <c r="QF210"/>
      <c r="QG210"/>
      <c r="QH210"/>
      <c r="QI210"/>
      <c r="QJ210"/>
      <c r="QK210"/>
      <c r="QL210"/>
      <c r="QM210"/>
      <c r="QN210"/>
      <c r="QO210"/>
      <c r="QP210"/>
      <c r="QQ210"/>
      <c r="QR210"/>
      <c r="QS210"/>
      <c r="QT210"/>
      <c r="QU210"/>
      <c r="QV210"/>
      <c r="QW210"/>
      <c r="QX210"/>
      <c r="QY210"/>
      <c r="QZ210"/>
      <c r="RA210"/>
      <c r="RB210"/>
      <c r="RC210"/>
      <c r="RD210"/>
      <c r="RE210"/>
      <c r="RF210"/>
      <c r="RG210"/>
      <c r="RH210"/>
      <c r="RI210"/>
      <c r="RJ210"/>
      <c r="RK210"/>
      <c r="RL210"/>
      <c r="RM210"/>
      <c r="RN210"/>
      <c r="RO210"/>
      <c r="RP210"/>
      <c r="RQ210"/>
      <c r="RR210"/>
      <c r="RS210"/>
      <c r="RT210"/>
      <c r="RU210"/>
      <c r="RV210"/>
      <c r="RW210"/>
      <c r="RX210"/>
      <c r="RY210"/>
      <c r="RZ210"/>
      <c r="SA210"/>
      <c r="SB210"/>
      <c r="SC210"/>
      <c r="SD210"/>
      <c r="SE210"/>
      <c r="SF210"/>
      <c r="SG210"/>
      <c r="SH210"/>
      <c r="SI210"/>
      <c r="SJ210"/>
      <c r="SK210"/>
      <c r="SL210"/>
      <c r="SM210"/>
      <c r="SN210"/>
      <c r="SO210"/>
      <c r="SP210"/>
      <c r="SQ210"/>
      <c r="SR210"/>
      <c r="SS210"/>
      <c r="ST210"/>
      <c r="SU210"/>
      <c r="SV210"/>
      <c r="SW210"/>
      <c r="SX210"/>
      <c r="SY210"/>
      <c r="SZ210"/>
      <c r="TA210"/>
      <c r="TB210"/>
      <c r="TC210"/>
      <c r="TD210"/>
      <c r="TE210"/>
      <c r="TF210"/>
      <c r="TG210"/>
      <c r="TH210"/>
    </row>
    <row r="211" spans="3:528" x14ac:dyDescent="0.25">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c r="PC211"/>
      <c r="PD211"/>
      <c r="PE211"/>
      <c r="PF211"/>
      <c r="PG211"/>
      <c r="PH211"/>
      <c r="PI211"/>
      <c r="PJ211"/>
      <c r="PK211"/>
      <c r="PL211"/>
      <c r="PM211"/>
      <c r="PN211"/>
      <c r="PO211"/>
      <c r="PP211"/>
      <c r="PQ211"/>
      <c r="PR211"/>
      <c r="PS211"/>
      <c r="PT211"/>
      <c r="PU211"/>
      <c r="PV211"/>
      <c r="PW211"/>
      <c r="PX211"/>
      <c r="PY211"/>
      <c r="PZ211"/>
      <c r="QA211"/>
      <c r="QB211"/>
      <c r="QC211"/>
      <c r="QD211"/>
      <c r="QE211"/>
      <c r="QF211"/>
      <c r="QG211"/>
      <c r="QH211"/>
      <c r="QI211"/>
      <c r="QJ211"/>
      <c r="QK211"/>
      <c r="QL211"/>
      <c r="QM211"/>
      <c r="QN211"/>
      <c r="QO211"/>
      <c r="QP211"/>
      <c r="QQ211"/>
      <c r="QR211"/>
      <c r="QS211"/>
      <c r="QT211"/>
      <c r="QU211"/>
      <c r="QV211"/>
      <c r="QW211"/>
      <c r="QX211"/>
      <c r="QY211"/>
      <c r="QZ211"/>
      <c r="RA211"/>
      <c r="RB211"/>
      <c r="RC211"/>
      <c r="RD211"/>
      <c r="RE211"/>
      <c r="RF211"/>
      <c r="RG211"/>
      <c r="RH211"/>
      <c r="RI211"/>
      <c r="RJ211"/>
      <c r="RK211"/>
      <c r="RL211"/>
      <c r="RM211"/>
      <c r="RN211"/>
      <c r="RO211"/>
      <c r="RP211"/>
      <c r="RQ211"/>
      <c r="RR211"/>
      <c r="RS211"/>
      <c r="RT211"/>
      <c r="RU211"/>
      <c r="RV211"/>
      <c r="RW211"/>
      <c r="RX211"/>
      <c r="RY211"/>
      <c r="RZ211"/>
      <c r="SA211"/>
      <c r="SB211"/>
      <c r="SC211"/>
      <c r="SD211"/>
      <c r="SE211"/>
      <c r="SF211"/>
      <c r="SG211"/>
      <c r="SH211"/>
      <c r="SI211"/>
      <c r="SJ211"/>
      <c r="SK211"/>
      <c r="SL211"/>
      <c r="SM211"/>
      <c r="SN211"/>
      <c r="SO211"/>
      <c r="SP211"/>
      <c r="SQ211"/>
      <c r="SR211"/>
      <c r="SS211"/>
      <c r="ST211"/>
      <c r="SU211"/>
      <c r="SV211"/>
      <c r="SW211"/>
      <c r="SX211"/>
      <c r="SY211"/>
      <c r="SZ211"/>
      <c r="TA211"/>
      <c r="TB211"/>
      <c r="TC211"/>
      <c r="TD211"/>
      <c r="TE211"/>
      <c r="TF211"/>
      <c r="TG211"/>
      <c r="TH211"/>
    </row>
    <row r="212" spans="3:528" x14ac:dyDescent="0.25">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c r="PC212"/>
      <c r="PD212"/>
      <c r="PE212"/>
      <c r="PF212"/>
      <c r="PG212"/>
      <c r="PH212"/>
      <c r="PI212"/>
      <c r="PJ212"/>
      <c r="PK212"/>
      <c r="PL212"/>
      <c r="PM212"/>
      <c r="PN212"/>
      <c r="PO212"/>
      <c r="PP212"/>
      <c r="PQ212"/>
      <c r="PR212"/>
      <c r="PS212"/>
      <c r="PT212"/>
      <c r="PU212"/>
      <c r="PV212"/>
      <c r="PW212"/>
      <c r="PX212"/>
      <c r="PY212"/>
      <c r="PZ212"/>
      <c r="QA212"/>
      <c r="QB212"/>
      <c r="QC212"/>
      <c r="QD212"/>
      <c r="QE212"/>
      <c r="QF212"/>
      <c r="QG212"/>
      <c r="QH212"/>
      <c r="QI212"/>
      <c r="QJ212"/>
      <c r="QK212"/>
      <c r="QL212"/>
      <c r="QM212"/>
      <c r="QN212"/>
      <c r="QO212"/>
      <c r="QP212"/>
      <c r="QQ212"/>
      <c r="QR212"/>
      <c r="QS212"/>
      <c r="QT212"/>
      <c r="QU212"/>
      <c r="QV212"/>
      <c r="QW212"/>
      <c r="QX212"/>
      <c r="QY212"/>
      <c r="QZ212"/>
      <c r="RA212"/>
      <c r="RB212"/>
      <c r="RC212"/>
      <c r="RD212"/>
      <c r="RE212"/>
      <c r="RF212"/>
      <c r="RG212"/>
      <c r="RH212"/>
      <c r="RI212"/>
      <c r="RJ212"/>
      <c r="RK212"/>
      <c r="RL212"/>
      <c r="RM212"/>
      <c r="RN212"/>
      <c r="RO212"/>
      <c r="RP212"/>
      <c r="RQ212"/>
      <c r="RR212"/>
      <c r="RS212"/>
      <c r="RT212"/>
      <c r="RU212"/>
      <c r="RV212"/>
      <c r="RW212"/>
      <c r="RX212"/>
      <c r="RY212"/>
      <c r="RZ212"/>
      <c r="SA212"/>
      <c r="SB212"/>
      <c r="SC212"/>
      <c r="SD212"/>
      <c r="SE212"/>
      <c r="SF212"/>
      <c r="SG212"/>
      <c r="SH212"/>
      <c r="SI212"/>
      <c r="SJ212"/>
      <c r="SK212"/>
      <c r="SL212"/>
      <c r="SM212"/>
      <c r="SN212"/>
      <c r="SO212"/>
      <c r="SP212"/>
      <c r="SQ212"/>
      <c r="SR212"/>
      <c r="SS212"/>
      <c r="ST212"/>
      <c r="SU212"/>
      <c r="SV212"/>
      <c r="SW212"/>
      <c r="SX212"/>
      <c r="SY212"/>
      <c r="SZ212"/>
      <c r="TA212"/>
      <c r="TB212"/>
      <c r="TC212"/>
      <c r="TD212"/>
      <c r="TE212"/>
      <c r="TF212"/>
      <c r="TG212"/>
      <c r="TH212"/>
    </row>
    <row r="213" spans="3:528" x14ac:dyDescent="0.25">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c r="PC213"/>
      <c r="PD213"/>
      <c r="PE213"/>
      <c r="PF213"/>
      <c r="PG213"/>
      <c r="PH213"/>
      <c r="PI213"/>
      <c r="PJ213"/>
      <c r="PK213"/>
      <c r="PL213"/>
      <c r="PM213"/>
      <c r="PN213"/>
      <c r="PO213"/>
      <c r="PP213"/>
      <c r="PQ213"/>
      <c r="PR213"/>
      <c r="PS213"/>
      <c r="PT213"/>
      <c r="PU213"/>
      <c r="PV213"/>
      <c r="PW213"/>
      <c r="PX213"/>
      <c r="PY213"/>
      <c r="PZ213"/>
      <c r="QA213"/>
      <c r="QB213"/>
      <c r="QC213"/>
      <c r="QD213"/>
      <c r="QE213"/>
      <c r="QF213"/>
      <c r="QG213"/>
      <c r="QH213"/>
      <c r="QI213"/>
      <c r="QJ213"/>
      <c r="QK213"/>
      <c r="QL213"/>
      <c r="QM213"/>
      <c r="QN213"/>
      <c r="QO213"/>
      <c r="QP213"/>
      <c r="QQ213"/>
      <c r="QR213"/>
      <c r="QS213"/>
      <c r="QT213"/>
      <c r="QU213"/>
      <c r="QV213"/>
      <c r="QW213"/>
      <c r="QX213"/>
      <c r="QY213"/>
      <c r="QZ213"/>
      <c r="RA213"/>
      <c r="RB213"/>
      <c r="RC213"/>
      <c r="RD213"/>
      <c r="RE213"/>
      <c r="RF213"/>
      <c r="RG213"/>
      <c r="RH213"/>
      <c r="RI213"/>
      <c r="RJ213"/>
      <c r="RK213"/>
      <c r="RL213"/>
      <c r="RM213"/>
      <c r="RN213"/>
      <c r="RO213"/>
      <c r="RP213"/>
      <c r="RQ213"/>
      <c r="RR213"/>
      <c r="RS213"/>
      <c r="RT213"/>
      <c r="RU213"/>
      <c r="RV213"/>
      <c r="RW213"/>
      <c r="RX213"/>
      <c r="RY213"/>
      <c r="RZ213"/>
      <c r="SA213"/>
      <c r="SB213"/>
      <c r="SC213"/>
      <c r="SD213"/>
      <c r="SE213"/>
      <c r="SF213"/>
      <c r="SG213"/>
      <c r="SH213"/>
      <c r="SI213"/>
      <c r="SJ213"/>
      <c r="SK213"/>
      <c r="SL213"/>
      <c r="SM213"/>
      <c r="SN213"/>
      <c r="SO213"/>
      <c r="SP213"/>
      <c r="SQ213"/>
      <c r="SR213"/>
      <c r="SS213"/>
      <c r="ST213"/>
      <c r="SU213"/>
      <c r="SV213"/>
      <c r="SW213"/>
      <c r="SX213"/>
      <c r="SY213"/>
      <c r="SZ213"/>
      <c r="TA213"/>
      <c r="TB213"/>
      <c r="TC213"/>
      <c r="TD213"/>
      <c r="TE213"/>
      <c r="TF213"/>
      <c r="TG213"/>
      <c r="TH213"/>
    </row>
    <row r="214" spans="3:528" x14ac:dyDescent="0.25">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row>
    <row r="215" spans="3:528" x14ac:dyDescent="0.2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c r="PC215"/>
      <c r="PD215"/>
      <c r="PE215"/>
      <c r="PF215"/>
      <c r="PG215"/>
      <c r="PH215"/>
      <c r="PI215"/>
      <c r="PJ215"/>
      <c r="PK215"/>
      <c r="PL215"/>
      <c r="PM215"/>
      <c r="PN215"/>
      <c r="PO215"/>
      <c r="PP215"/>
      <c r="PQ215"/>
      <c r="PR215"/>
      <c r="PS215"/>
      <c r="PT215"/>
      <c r="PU215"/>
      <c r="PV215"/>
      <c r="PW215"/>
      <c r="PX215"/>
      <c r="PY215"/>
      <c r="PZ215"/>
      <c r="QA215"/>
      <c r="QB215"/>
      <c r="QC215"/>
      <c r="QD215"/>
      <c r="QE215"/>
      <c r="QF215"/>
      <c r="QG215"/>
      <c r="QH215"/>
      <c r="QI215"/>
      <c r="QJ215"/>
      <c r="QK215"/>
      <c r="QL215"/>
      <c r="QM215"/>
      <c r="QN215"/>
      <c r="QO215"/>
      <c r="QP215"/>
      <c r="QQ215"/>
      <c r="QR215"/>
      <c r="QS215"/>
      <c r="QT215"/>
      <c r="QU215"/>
      <c r="QV215"/>
      <c r="QW215"/>
      <c r="QX215"/>
      <c r="QY215"/>
      <c r="QZ215"/>
      <c r="RA215"/>
      <c r="RB215"/>
      <c r="RC215"/>
      <c r="RD215"/>
      <c r="RE215"/>
      <c r="RF215"/>
      <c r="RG215"/>
      <c r="RH215"/>
      <c r="RI215"/>
      <c r="RJ215"/>
      <c r="RK215"/>
      <c r="RL215"/>
      <c r="RM215"/>
      <c r="RN215"/>
      <c r="RO215"/>
      <c r="RP215"/>
      <c r="RQ215"/>
      <c r="RR215"/>
      <c r="RS215"/>
      <c r="RT215"/>
      <c r="RU215"/>
      <c r="RV215"/>
      <c r="RW215"/>
      <c r="RX215"/>
      <c r="RY215"/>
      <c r="RZ215"/>
      <c r="SA215"/>
      <c r="SB215"/>
      <c r="SC215"/>
      <c r="SD215"/>
      <c r="SE215"/>
      <c r="SF215"/>
      <c r="SG215"/>
      <c r="SH215"/>
      <c r="SI215"/>
      <c r="SJ215"/>
      <c r="SK215"/>
      <c r="SL215"/>
      <c r="SM215"/>
      <c r="SN215"/>
      <c r="SO215"/>
      <c r="SP215"/>
      <c r="SQ215"/>
      <c r="SR215"/>
      <c r="SS215"/>
      <c r="ST215"/>
      <c r="SU215"/>
      <c r="SV215"/>
      <c r="SW215"/>
      <c r="SX215"/>
      <c r="SY215"/>
      <c r="SZ215"/>
      <c r="TA215"/>
      <c r="TB215"/>
      <c r="TC215"/>
      <c r="TD215"/>
      <c r="TE215"/>
      <c r="TF215"/>
      <c r="TG215"/>
      <c r="TH215"/>
    </row>
    <row r="216" spans="3:528" x14ac:dyDescent="0.25">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c r="PC216"/>
      <c r="PD216"/>
      <c r="PE216"/>
      <c r="PF216"/>
      <c r="PG216"/>
      <c r="PH216"/>
      <c r="PI216"/>
      <c r="PJ216"/>
      <c r="PK216"/>
      <c r="PL216"/>
      <c r="PM216"/>
      <c r="PN216"/>
      <c r="PO216"/>
      <c r="PP216"/>
      <c r="PQ216"/>
      <c r="PR216"/>
      <c r="PS216"/>
      <c r="PT216"/>
      <c r="PU216"/>
      <c r="PV216"/>
      <c r="PW216"/>
      <c r="PX216"/>
      <c r="PY216"/>
      <c r="PZ216"/>
      <c r="QA216"/>
      <c r="QB216"/>
      <c r="QC216"/>
      <c r="QD216"/>
      <c r="QE216"/>
      <c r="QF216"/>
      <c r="QG216"/>
      <c r="QH216"/>
      <c r="QI216"/>
      <c r="QJ216"/>
      <c r="QK216"/>
      <c r="QL216"/>
      <c r="QM216"/>
      <c r="QN216"/>
      <c r="QO216"/>
      <c r="QP216"/>
      <c r="QQ216"/>
      <c r="QR216"/>
      <c r="QS216"/>
      <c r="QT216"/>
      <c r="QU216"/>
      <c r="QV216"/>
      <c r="QW216"/>
      <c r="QX216"/>
      <c r="QY216"/>
      <c r="QZ216"/>
      <c r="RA216"/>
      <c r="RB216"/>
      <c r="RC216"/>
      <c r="RD216"/>
      <c r="RE216"/>
      <c r="RF216"/>
      <c r="RG216"/>
      <c r="RH216"/>
      <c r="RI216"/>
      <c r="RJ216"/>
      <c r="RK216"/>
      <c r="RL216"/>
      <c r="RM216"/>
      <c r="RN216"/>
      <c r="RO216"/>
      <c r="RP216"/>
      <c r="RQ216"/>
      <c r="RR216"/>
      <c r="RS216"/>
      <c r="RT216"/>
      <c r="RU216"/>
      <c r="RV216"/>
      <c r="RW216"/>
      <c r="RX216"/>
      <c r="RY216"/>
      <c r="RZ216"/>
      <c r="SA216"/>
      <c r="SB216"/>
      <c r="SC216"/>
      <c r="SD216"/>
      <c r="SE216"/>
      <c r="SF216"/>
      <c r="SG216"/>
      <c r="SH216"/>
      <c r="SI216"/>
      <c r="SJ216"/>
      <c r="SK216"/>
      <c r="SL216"/>
      <c r="SM216"/>
      <c r="SN216"/>
      <c r="SO216"/>
      <c r="SP216"/>
      <c r="SQ216"/>
      <c r="SR216"/>
      <c r="SS216"/>
      <c r="ST216"/>
      <c r="SU216"/>
      <c r="SV216"/>
      <c r="SW216"/>
      <c r="SX216"/>
      <c r="SY216"/>
      <c r="SZ216"/>
      <c r="TA216"/>
      <c r="TB216"/>
      <c r="TC216"/>
      <c r="TD216"/>
      <c r="TE216"/>
      <c r="TF216"/>
      <c r="TG216"/>
      <c r="TH216"/>
    </row>
    <row r="217" spans="3:528" x14ac:dyDescent="0.25">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c r="PC217"/>
      <c r="PD217"/>
      <c r="PE217"/>
      <c r="PF217"/>
      <c r="PG217"/>
      <c r="PH217"/>
      <c r="PI217"/>
      <c r="PJ217"/>
      <c r="PK217"/>
      <c r="PL217"/>
      <c r="PM217"/>
      <c r="PN217"/>
      <c r="PO217"/>
      <c r="PP217"/>
      <c r="PQ217"/>
      <c r="PR217"/>
      <c r="PS217"/>
      <c r="PT217"/>
      <c r="PU217"/>
      <c r="PV217"/>
      <c r="PW217"/>
      <c r="PX217"/>
      <c r="PY217"/>
      <c r="PZ217"/>
      <c r="QA217"/>
      <c r="QB217"/>
      <c r="QC217"/>
      <c r="QD217"/>
      <c r="QE217"/>
      <c r="QF217"/>
      <c r="QG217"/>
      <c r="QH217"/>
      <c r="QI217"/>
      <c r="QJ217"/>
      <c r="QK217"/>
      <c r="QL217"/>
      <c r="QM217"/>
      <c r="QN217"/>
      <c r="QO217"/>
      <c r="QP217"/>
      <c r="QQ217"/>
      <c r="QR217"/>
      <c r="QS217"/>
      <c r="QT217"/>
      <c r="QU217"/>
      <c r="QV217"/>
      <c r="QW217"/>
      <c r="QX217"/>
      <c r="QY217"/>
      <c r="QZ217"/>
      <c r="RA217"/>
      <c r="RB217"/>
      <c r="RC217"/>
      <c r="RD217"/>
      <c r="RE217"/>
      <c r="RF217"/>
      <c r="RG217"/>
      <c r="RH217"/>
      <c r="RI217"/>
      <c r="RJ217"/>
      <c r="RK217"/>
      <c r="RL217"/>
      <c r="RM217"/>
      <c r="RN217"/>
      <c r="RO217"/>
      <c r="RP217"/>
      <c r="RQ217"/>
      <c r="RR217"/>
      <c r="RS217"/>
      <c r="RT217"/>
      <c r="RU217"/>
      <c r="RV217"/>
      <c r="RW217"/>
      <c r="RX217"/>
      <c r="RY217"/>
      <c r="RZ217"/>
      <c r="SA217"/>
      <c r="SB217"/>
      <c r="SC217"/>
      <c r="SD217"/>
      <c r="SE217"/>
      <c r="SF217"/>
      <c r="SG217"/>
      <c r="SH217"/>
      <c r="SI217"/>
      <c r="SJ217"/>
      <c r="SK217"/>
      <c r="SL217"/>
      <c r="SM217"/>
      <c r="SN217"/>
      <c r="SO217"/>
      <c r="SP217"/>
      <c r="SQ217"/>
      <c r="SR217"/>
      <c r="SS217"/>
      <c r="ST217"/>
      <c r="SU217"/>
      <c r="SV217"/>
      <c r="SW217"/>
      <c r="SX217"/>
      <c r="SY217"/>
      <c r="SZ217"/>
      <c r="TA217"/>
      <c r="TB217"/>
      <c r="TC217"/>
      <c r="TD217"/>
      <c r="TE217"/>
      <c r="TF217"/>
      <c r="TG217"/>
      <c r="TH217"/>
    </row>
    <row r="218" spans="3:528" x14ac:dyDescent="0.25">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c r="PC218"/>
      <c r="PD218"/>
      <c r="PE218"/>
      <c r="PF218"/>
      <c r="PG218"/>
      <c r="PH218"/>
      <c r="PI218"/>
      <c r="PJ218"/>
      <c r="PK218"/>
      <c r="PL218"/>
      <c r="PM218"/>
      <c r="PN218"/>
      <c r="PO218"/>
      <c r="PP218"/>
      <c r="PQ218"/>
      <c r="PR218"/>
      <c r="PS218"/>
      <c r="PT218"/>
      <c r="PU218"/>
      <c r="PV218"/>
      <c r="PW218"/>
      <c r="PX218"/>
      <c r="PY218"/>
      <c r="PZ218"/>
      <c r="QA218"/>
      <c r="QB218"/>
      <c r="QC218"/>
      <c r="QD218"/>
      <c r="QE218"/>
      <c r="QF218"/>
      <c r="QG218"/>
      <c r="QH218"/>
      <c r="QI218"/>
      <c r="QJ218"/>
      <c r="QK218"/>
      <c r="QL218"/>
      <c r="QM218"/>
      <c r="QN218"/>
      <c r="QO218"/>
      <c r="QP218"/>
      <c r="QQ218"/>
      <c r="QR218"/>
      <c r="QS218"/>
      <c r="QT218"/>
      <c r="QU218"/>
      <c r="QV218"/>
      <c r="QW218"/>
      <c r="QX218"/>
      <c r="QY218"/>
      <c r="QZ218"/>
      <c r="RA218"/>
      <c r="RB218"/>
      <c r="RC218"/>
      <c r="RD218"/>
      <c r="RE218"/>
      <c r="RF218"/>
      <c r="RG218"/>
      <c r="RH218"/>
      <c r="RI218"/>
      <c r="RJ218"/>
      <c r="RK218"/>
      <c r="RL218"/>
      <c r="RM218"/>
      <c r="RN218"/>
      <c r="RO218"/>
      <c r="RP218"/>
      <c r="RQ218"/>
      <c r="RR218"/>
      <c r="RS218"/>
      <c r="RT218"/>
      <c r="RU218"/>
      <c r="RV218"/>
      <c r="RW218"/>
      <c r="RX218"/>
      <c r="RY218"/>
      <c r="RZ218"/>
      <c r="SA218"/>
      <c r="SB218"/>
      <c r="SC218"/>
      <c r="SD218"/>
      <c r="SE218"/>
      <c r="SF218"/>
      <c r="SG218"/>
      <c r="SH218"/>
      <c r="SI218"/>
      <c r="SJ218"/>
      <c r="SK218"/>
      <c r="SL218"/>
      <c r="SM218"/>
      <c r="SN218"/>
      <c r="SO218"/>
      <c r="SP218"/>
      <c r="SQ218"/>
      <c r="SR218"/>
      <c r="SS218"/>
      <c r="ST218"/>
      <c r="SU218"/>
      <c r="SV218"/>
      <c r="SW218"/>
      <c r="SX218"/>
      <c r="SY218"/>
      <c r="SZ218"/>
      <c r="TA218"/>
      <c r="TB218"/>
      <c r="TC218"/>
      <c r="TD218"/>
      <c r="TE218"/>
      <c r="TF218"/>
      <c r="TG218"/>
      <c r="TH218"/>
    </row>
    <row r="219" spans="3:528" x14ac:dyDescent="0.25">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c r="PC219"/>
      <c r="PD219"/>
      <c r="PE219"/>
      <c r="PF219"/>
      <c r="PG219"/>
      <c r="PH219"/>
      <c r="PI219"/>
      <c r="PJ219"/>
      <c r="PK219"/>
      <c r="PL219"/>
      <c r="PM219"/>
      <c r="PN219"/>
      <c r="PO219"/>
      <c r="PP219"/>
      <c r="PQ219"/>
      <c r="PR219"/>
      <c r="PS219"/>
      <c r="PT219"/>
      <c r="PU219"/>
      <c r="PV219"/>
      <c r="PW219"/>
      <c r="PX219"/>
      <c r="PY219"/>
      <c r="PZ219"/>
      <c r="QA219"/>
      <c r="QB219"/>
      <c r="QC219"/>
      <c r="QD219"/>
      <c r="QE219"/>
      <c r="QF219"/>
      <c r="QG219"/>
      <c r="QH219"/>
      <c r="QI219"/>
      <c r="QJ219"/>
      <c r="QK219"/>
      <c r="QL219"/>
      <c r="QM219"/>
      <c r="QN219"/>
      <c r="QO219"/>
      <c r="QP219"/>
      <c r="QQ219"/>
      <c r="QR219"/>
      <c r="QS219"/>
      <c r="QT219"/>
      <c r="QU219"/>
      <c r="QV219"/>
      <c r="QW219"/>
      <c r="QX219"/>
      <c r="QY219"/>
      <c r="QZ219"/>
      <c r="RA219"/>
      <c r="RB219"/>
      <c r="RC219"/>
      <c r="RD219"/>
      <c r="RE219"/>
      <c r="RF219"/>
      <c r="RG219"/>
      <c r="RH219"/>
      <c r="RI219"/>
      <c r="RJ219"/>
      <c r="RK219"/>
      <c r="RL219"/>
      <c r="RM219"/>
      <c r="RN219"/>
      <c r="RO219"/>
      <c r="RP219"/>
      <c r="RQ219"/>
      <c r="RR219"/>
      <c r="RS219"/>
      <c r="RT219"/>
      <c r="RU219"/>
      <c r="RV219"/>
      <c r="RW219"/>
      <c r="RX219"/>
      <c r="RY219"/>
      <c r="RZ219"/>
      <c r="SA219"/>
      <c r="SB219"/>
      <c r="SC219"/>
      <c r="SD219"/>
      <c r="SE219"/>
      <c r="SF219"/>
      <c r="SG219"/>
      <c r="SH219"/>
      <c r="SI219"/>
      <c r="SJ219"/>
      <c r="SK219"/>
      <c r="SL219"/>
      <c r="SM219"/>
      <c r="SN219"/>
      <c r="SO219"/>
      <c r="SP219"/>
      <c r="SQ219"/>
      <c r="SR219"/>
      <c r="SS219"/>
      <c r="ST219"/>
      <c r="SU219"/>
      <c r="SV219"/>
      <c r="SW219"/>
      <c r="SX219"/>
      <c r="SY219"/>
      <c r="SZ219"/>
      <c r="TA219"/>
      <c r="TB219"/>
      <c r="TC219"/>
      <c r="TD219"/>
      <c r="TE219"/>
      <c r="TF219"/>
      <c r="TG219"/>
      <c r="TH219"/>
    </row>
    <row r="220" spans="3:528" x14ac:dyDescent="0.25">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c r="PC220"/>
      <c r="PD220"/>
      <c r="PE220"/>
      <c r="PF220"/>
      <c r="PG220"/>
      <c r="PH220"/>
      <c r="PI220"/>
      <c r="PJ220"/>
      <c r="PK220"/>
      <c r="PL220"/>
      <c r="PM220"/>
      <c r="PN220"/>
      <c r="PO220"/>
      <c r="PP220"/>
      <c r="PQ220"/>
      <c r="PR220"/>
      <c r="PS220"/>
      <c r="PT220"/>
      <c r="PU220"/>
      <c r="PV220"/>
      <c r="PW220"/>
      <c r="PX220"/>
      <c r="PY220"/>
      <c r="PZ220"/>
      <c r="QA220"/>
      <c r="QB220"/>
      <c r="QC220"/>
      <c r="QD220"/>
      <c r="QE220"/>
      <c r="QF220"/>
      <c r="QG220"/>
      <c r="QH220"/>
      <c r="QI220"/>
      <c r="QJ220"/>
      <c r="QK220"/>
      <c r="QL220"/>
      <c r="QM220"/>
      <c r="QN220"/>
      <c r="QO220"/>
      <c r="QP220"/>
      <c r="QQ220"/>
      <c r="QR220"/>
      <c r="QS220"/>
      <c r="QT220"/>
      <c r="QU220"/>
      <c r="QV220"/>
      <c r="QW220"/>
      <c r="QX220"/>
      <c r="QY220"/>
      <c r="QZ220"/>
      <c r="RA220"/>
      <c r="RB220"/>
      <c r="RC220"/>
      <c r="RD220"/>
      <c r="RE220"/>
      <c r="RF220"/>
      <c r="RG220"/>
      <c r="RH220"/>
      <c r="RI220"/>
      <c r="RJ220"/>
      <c r="RK220"/>
      <c r="RL220"/>
      <c r="RM220"/>
      <c r="RN220"/>
      <c r="RO220"/>
      <c r="RP220"/>
      <c r="RQ220"/>
      <c r="RR220"/>
      <c r="RS220"/>
      <c r="RT220"/>
      <c r="RU220"/>
      <c r="RV220"/>
      <c r="RW220"/>
      <c r="RX220"/>
      <c r="RY220"/>
      <c r="RZ220"/>
      <c r="SA220"/>
      <c r="SB220"/>
      <c r="SC220"/>
      <c r="SD220"/>
      <c r="SE220"/>
      <c r="SF220"/>
      <c r="SG220"/>
      <c r="SH220"/>
      <c r="SI220"/>
      <c r="SJ220"/>
      <c r="SK220"/>
      <c r="SL220"/>
      <c r="SM220"/>
      <c r="SN220"/>
      <c r="SO220"/>
      <c r="SP220"/>
      <c r="SQ220"/>
      <c r="SR220"/>
      <c r="SS220"/>
      <c r="ST220"/>
      <c r="SU220"/>
      <c r="SV220"/>
      <c r="SW220"/>
      <c r="SX220"/>
      <c r="SY220"/>
      <c r="SZ220"/>
      <c r="TA220"/>
      <c r="TB220"/>
      <c r="TC220"/>
      <c r="TD220"/>
      <c r="TE220"/>
      <c r="TF220"/>
      <c r="TG220"/>
      <c r="TH220"/>
    </row>
    <row r="221" spans="3:528" x14ac:dyDescent="0.25">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c r="PC221"/>
      <c r="PD221"/>
      <c r="PE221"/>
      <c r="PF221"/>
      <c r="PG221"/>
      <c r="PH221"/>
      <c r="PI221"/>
      <c r="PJ221"/>
      <c r="PK221"/>
      <c r="PL221"/>
      <c r="PM221"/>
      <c r="PN221"/>
      <c r="PO221"/>
      <c r="PP221"/>
      <c r="PQ221"/>
      <c r="PR221"/>
      <c r="PS221"/>
      <c r="PT221"/>
      <c r="PU221"/>
      <c r="PV221"/>
      <c r="PW221"/>
      <c r="PX221"/>
      <c r="PY221"/>
      <c r="PZ221"/>
      <c r="QA221"/>
      <c r="QB221"/>
      <c r="QC221"/>
      <c r="QD221"/>
      <c r="QE221"/>
      <c r="QF221"/>
      <c r="QG221"/>
      <c r="QH221"/>
      <c r="QI221"/>
      <c r="QJ221"/>
      <c r="QK221"/>
      <c r="QL221"/>
      <c r="QM221"/>
      <c r="QN221"/>
      <c r="QO221"/>
      <c r="QP221"/>
      <c r="QQ221"/>
      <c r="QR221"/>
      <c r="QS221"/>
      <c r="QT221"/>
      <c r="QU221"/>
      <c r="QV221"/>
      <c r="QW221"/>
      <c r="QX221"/>
      <c r="QY221"/>
      <c r="QZ221"/>
      <c r="RA221"/>
      <c r="RB221"/>
      <c r="RC221"/>
      <c r="RD221"/>
      <c r="RE221"/>
      <c r="RF221"/>
      <c r="RG221"/>
      <c r="RH221"/>
      <c r="RI221"/>
      <c r="RJ221"/>
      <c r="RK221"/>
      <c r="RL221"/>
      <c r="RM221"/>
      <c r="RN221"/>
      <c r="RO221"/>
      <c r="RP221"/>
      <c r="RQ221"/>
      <c r="RR221"/>
      <c r="RS221"/>
      <c r="RT221"/>
      <c r="RU221"/>
      <c r="RV221"/>
      <c r="RW221"/>
      <c r="RX221"/>
      <c r="RY221"/>
      <c r="RZ221"/>
      <c r="SA221"/>
      <c r="SB221"/>
      <c r="SC221"/>
      <c r="SD221"/>
      <c r="SE221"/>
      <c r="SF221"/>
      <c r="SG221"/>
      <c r="SH221"/>
      <c r="SI221"/>
      <c r="SJ221"/>
      <c r="SK221"/>
      <c r="SL221"/>
      <c r="SM221"/>
      <c r="SN221"/>
      <c r="SO221"/>
      <c r="SP221"/>
      <c r="SQ221"/>
      <c r="SR221"/>
      <c r="SS221"/>
      <c r="ST221"/>
      <c r="SU221"/>
      <c r="SV221"/>
      <c r="SW221"/>
      <c r="SX221"/>
      <c r="SY221"/>
      <c r="SZ221"/>
      <c r="TA221"/>
      <c r="TB221"/>
      <c r="TC221"/>
      <c r="TD221"/>
      <c r="TE221"/>
      <c r="TF221"/>
      <c r="TG221"/>
      <c r="TH221"/>
    </row>
    <row r="222" spans="3:528" x14ac:dyDescent="0.25">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c r="PC222"/>
      <c r="PD222"/>
      <c r="PE222"/>
      <c r="PF222"/>
      <c r="PG222"/>
      <c r="PH222"/>
      <c r="PI222"/>
      <c r="PJ222"/>
      <c r="PK222"/>
      <c r="PL222"/>
      <c r="PM222"/>
      <c r="PN222"/>
      <c r="PO222"/>
      <c r="PP222"/>
      <c r="PQ222"/>
      <c r="PR222"/>
      <c r="PS222"/>
      <c r="PT222"/>
      <c r="PU222"/>
      <c r="PV222"/>
      <c r="PW222"/>
      <c r="PX222"/>
      <c r="PY222"/>
      <c r="PZ222"/>
      <c r="QA222"/>
      <c r="QB222"/>
      <c r="QC222"/>
      <c r="QD222"/>
      <c r="QE222"/>
      <c r="QF222"/>
      <c r="QG222"/>
      <c r="QH222"/>
      <c r="QI222"/>
      <c r="QJ222"/>
      <c r="QK222"/>
      <c r="QL222"/>
      <c r="QM222"/>
      <c r="QN222"/>
      <c r="QO222"/>
      <c r="QP222"/>
      <c r="QQ222"/>
      <c r="QR222"/>
      <c r="QS222"/>
      <c r="QT222"/>
      <c r="QU222"/>
      <c r="QV222"/>
      <c r="QW222"/>
      <c r="QX222"/>
      <c r="QY222"/>
      <c r="QZ222"/>
      <c r="RA222"/>
      <c r="RB222"/>
      <c r="RC222"/>
      <c r="RD222"/>
      <c r="RE222"/>
      <c r="RF222"/>
      <c r="RG222"/>
      <c r="RH222"/>
      <c r="RI222"/>
      <c r="RJ222"/>
      <c r="RK222"/>
      <c r="RL222"/>
      <c r="RM222"/>
      <c r="RN222"/>
      <c r="RO222"/>
      <c r="RP222"/>
      <c r="RQ222"/>
      <c r="RR222"/>
      <c r="RS222"/>
      <c r="RT222"/>
      <c r="RU222"/>
      <c r="RV222"/>
      <c r="RW222"/>
      <c r="RX222"/>
      <c r="RY222"/>
      <c r="RZ222"/>
      <c r="SA222"/>
      <c r="SB222"/>
      <c r="SC222"/>
      <c r="SD222"/>
      <c r="SE222"/>
      <c r="SF222"/>
      <c r="SG222"/>
      <c r="SH222"/>
      <c r="SI222"/>
      <c r="SJ222"/>
      <c r="SK222"/>
      <c r="SL222"/>
      <c r="SM222"/>
      <c r="SN222"/>
      <c r="SO222"/>
      <c r="SP222"/>
      <c r="SQ222"/>
      <c r="SR222"/>
      <c r="SS222"/>
      <c r="ST222"/>
      <c r="SU222"/>
      <c r="SV222"/>
      <c r="SW222"/>
      <c r="SX222"/>
      <c r="SY222"/>
      <c r="SZ222"/>
      <c r="TA222"/>
      <c r="TB222"/>
      <c r="TC222"/>
      <c r="TD222"/>
      <c r="TE222"/>
      <c r="TF222"/>
      <c r="TG222"/>
      <c r="TH222"/>
    </row>
    <row r="223" spans="3:528" x14ac:dyDescent="0.25">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c r="PC223"/>
      <c r="PD223"/>
      <c r="PE223"/>
      <c r="PF223"/>
      <c r="PG223"/>
      <c r="PH223"/>
      <c r="PI223"/>
      <c r="PJ223"/>
      <c r="PK223"/>
      <c r="PL223"/>
      <c r="PM223"/>
      <c r="PN223"/>
      <c r="PO223"/>
      <c r="PP223"/>
      <c r="PQ223"/>
      <c r="PR223"/>
      <c r="PS223"/>
      <c r="PT223"/>
      <c r="PU223"/>
      <c r="PV223"/>
      <c r="PW223"/>
      <c r="PX223"/>
      <c r="PY223"/>
      <c r="PZ223"/>
      <c r="QA223"/>
      <c r="QB223"/>
      <c r="QC223"/>
      <c r="QD223"/>
      <c r="QE223"/>
      <c r="QF223"/>
      <c r="QG223"/>
      <c r="QH223"/>
      <c r="QI223"/>
      <c r="QJ223"/>
      <c r="QK223"/>
      <c r="QL223"/>
      <c r="QM223"/>
      <c r="QN223"/>
      <c r="QO223"/>
      <c r="QP223"/>
      <c r="QQ223"/>
      <c r="QR223"/>
      <c r="QS223"/>
      <c r="QT223"/>
      <c r="QU223"/>
      <c r="QV223"/>
      <c r="QW223"/>
      <c r="QX223"/>
      <c r="QY223"/>
      <c r="QZ223"/>
      <c r="RA223"/>
      <c r="RB223"/>
      <c r="RC223"/>
      <c r="RD223"/>
      <c r="RE223"/>
      <c r="RF223"/>
      <c r="RG223"/>
      <c r="RH223"/>
      <c r="RI223"/>
      <c r="RJ223"/>
      <c r="RK223"/>
      <c r="RL223"/>
      <c r="RM223"/>
      <c r="RN223"/>
      <c r="RO223"/>
      <c r="RP223"/>
      <c r="RQ223"/>
      <c r="RR223"/>
      <c r="RS223"/>
      <c r="RT223"/>
      <c r="RU223"/>
      <c r="RV223"/>
      <c r="RW223"/>
      <c r="RX223"/>
      <c r="RY223"/>
      <c r="RZ223"/>
      <c r="SA223"/>
      <c r="SB223"/>
      <c r="SC223"/>
      <c r="SD223"/>
      <c r="SE223"/>
      <c r="SF223"/>
      <c r="SG223"/>
      <c r="SH223"/>
      <c r="SI223"/>
      <c r="SJ223"/>
      <c r="SK223"/>
      <c r="SL223"/>
      <c r="SM223"/>
      <c r="SN223"/>
      <c r="SO223"/>
      <c r="SP223"/>
      <c r="SQ223"/>
      <c r="SR223"/>
      <c r="SS223"/>
      <c r="ST223"/>
      <c r="SU223"/>
      <c r="SV223"/>
      <c r="SW223"/>
      <c r="SX223"/>
      <c r="SY223"/>
      <c r="SZ223"/>
      <c r="TA223"/>
      <c r="TB223"/>
      <c r="TC223"/>
      <c r="TD223"/>
      <c r="TE223"/>
      <c r="TF223"/>
      <c r="TG223"/>
      <c r="TH223"/>
    </row>
    <row r="224" spans="3:528" x14ac:dyDescent="0.25">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c r="PC224"/>
      <c r="PD224"/>
      <c r="PE224"/>
      <c r="PF224"/>
      <c r="PG224"/>
      <c r="PH224"/>
      <c r="PI224"/>
      <c r="PJ224"/>
      <c r="PK224"/>
      <c r="PL224"/>
      <c r="PM224"/>
      <c r="PN224"/>
      <c r="PO224"/>
      <c r="PP224"/>
      <c r="PQ224"/>
      <c r="PR224"/>
      <c r="PS224"/>
      <c r="PT224"/>
      <c r="PU224"/>
      <c r="PV224"/>
      <c r="PW224"/>
      <c r="PX224"/>
      <c r="PY224"/>
      <c r="PZ224"/>
      <c r="QA224"/>
      <c r="QB224"/>
      <c r="QC224"/>
      <c r="QD224"/>
      <c r="QE224"/>
      <c r="QF224"/>
      <c r="QG224"/>
      <c r="QH224"/>
      <c r="QI224"/>
      <c r="QJ224"/>
      <c r="QK224"/>
      <c r="QL224"/>
      <c r="QM224"/>
      <c r="QN224"/>
      <c r="QO224"/>
      <c r="QP224"/>
      <c r="QQ224"/>
      <c r="QR224"/>
      <c r="QS224"/>
      <c r="QT224"/>
      <c r="QU224"/>
      <c r="QV224"/>
      <c r="QW224"/>
      <c r="QX224"/>
      <c r="QY224"/>
      <c r="QZ224"/>
      <c r="RA224"/>
      <c r="RB224"/>
      <c r="RC224"/>
      <c r="RD224"/>
      <c r="RE224"/>
      <c r="RF224"/>
      <c r="RG224"/>
      <c r="RH224"/>
      <c r="RI224"/>
      <c r="RJ224"/>
      <c r="RK224"/>
      <c r="RL224"/>
      <c r="RM224"/>
      <c r="RN224"/>
      <c r="RO224"/>
      <c r="RP224"/>
      <c r="RQ224"/>
      <c r="RR224"/>
      <c r="RS224"/>
      <c r="RT224"/>
      <c r="RU224"/>
      <c r="RV224"/>
      <c r="RW224"/>
      <c r="RX224"/>
      <c r="RY224"/>
      <c r="RZ224"/>
      <c r="SA224"/>
      <c r="SB224"/>
      <c r="SC224"/>
      <c r="SD224"/>
      <c r="SE224"/>
      <c r="SF224"/>
      <c r="SG224"/>
      <c r="SH224"/>
      <c r="SI224"/>
      <c r="SJ224"/>
      <c r="SK224"/>
      <c r="SL224"/>
      <c r="SM224"/>
      <c r="SN224"/>
      <c r="SO224"/>
      <c r="SP224"/>
      <c r="SQ224"/>
      <c r="SR224"/>
      <c r="SS224"/>
      <c r="ST224"/>
      <c r="SU224"/>
      <c r="SV224"/>
      <c r="SW224"/>
      <c r="SX224"/>
      <c r="SY224"/>
      <c r="SZ224"/>
      <c r="TA224"/>
      <c r="TB224"/>
      <c r="TC224"/>
      <c r="TD224"/>
      <c r="TE224"/>
      <c r="TF224"/>
      <c r="TG224"/>
      <c r="TH224"/>
    </row>
    <row r="225" spans="3:528" x14ac:dyDescent="0.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c r="PC225"/>
      <c r="PD225"/>
      <c r="PE225"/>
      <c r="PF225"/>
      <c r="PG225"/>
      <c r="PH225"/>
      <c r="PI225"/>
      <c r="PJ225"/>
      <c r="PK225"/>
      <c r="PL225"/>
      <c r="PM225"/>
      <c r="PN225"/>
      <c r="PO225"/>
      <c r="PP225"/>
      <c r="PQ225"/>
      <c r="PR225"/>
      <c r="PS225"/>
      <c r="PT225"/>
      <c r="PU225"/>
      <c r="PV225"/>
      <c r="PW225"/>
      <c r="PX225"/>
      <c r="PY225"/>
      <c r="PZ225"/>
      <c r="QA225"/>
      <c r="QB225"/>
      <c r="QC225"/>
      <c r="QD225"/>
      <c r="QE225"/>
      <c r="QF225"/>
      <c r="QG225"/>
      <c r="QH225"/>
      <c r="QI225"/>
      <c r="QJ225"/>
      <c r="QK225"/>
      <c r="QL225"/>
      <c r="QM225"/>
      <c r="QN225"/>
      <c r="QO225"/>
      <c r="QP225"/>
      <c r="QQ225"/>
      <c r="QR225"/>
      <c r="QS225"/>
      <c r="QT225"/>
      <c r="QU225"/>
      <c r="QV225"/>
      <c r="QW225"/>
      <c r="QX225"/>
      <c r="QY225"/>
      <c r="QZ225"/>
      <c r="RA225"/>
      <c r="RB225"/>
      <c r="RC225"/>
      <c r="RD225"/>
      <c r="RE225"/>
      <c r="RF225"/>
      <c r="RG225"/>
      <c r="RH225"/>
      <c r="RI225"/>
      <c r="RJ225"/>
      <c r="RK225"/>
      <c r="RL225"/>
      <c r="RM225"/>
      <c r="RN225"/>
      <c r="RO225"/>
      <c r="RP225"/>
      <c r="RQ225"/>
      <c r="RR225"/>
      <c r="RS225"/>
      <c r="RT225"/>
      <c r="RU225"/>
      <c r="RV225"/>
      <c r="RW225"/>
      <c r="RX225"/>
      <c r="RY225"/>
      <c r="RZ225"/>
      <c r="SA225"/>
      <c r="SB225"/>
      <c r="SC225"/>
      <c r="SD225"/>
      <c r="SE225"/>
      <c r="SF225"/>
      <c r="SG225"/>
      <c r="SH225"/>
      <c r="SI225"/>
      <c r="SJ225"/>
      <c r="SK225"/>
      <c r="SL225"/>
      <c r="SM225"/>
      <c r="SN225"/>
      <c r="SO225"/>
      <c r="SP225"/>
      <c r="SQ225"/>
      <c r="SR225"/>
      <c r="SS225"/>
      <c r="ST225"/>
      <c r="SU225"/>
      <c r="SV225"/>
      <c r="SW225"/>
      <c r="SX225"/>
      <c r="SY225"/>
      <c r="SZ225"/>
      <c r="TA225"/>
      <c r="TB225"/>
      <c r="TC225"/>
      <c r="TD225"/>
      <c r="TE225"/>
      <c r="TF225"/>
      <c r="TG225"/>
      <c r="TH225"/>
    </row>
    <row r="226" spans="3:528" x14ac:dyDescent="0.25">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c r="PC226"/>
      <c r="PD226"/>
      <c r="PE226"/>
      <c r="PF226"/>
      <c r="PG226"/>
      <c r="PH226"/>
      <c r="PI226"/>
      <c r="PJ226"/>
      <c r="PK226"/>
      <c r="PL226"/>
      <c r="PM226"/>
      <c r="PN226"/>
      <c r="PO226"/>
      <c r="PP226"/>
      <c r="PQ226"/>
      <c r="PR226"/>
      <c r="PS226"/>
      <c r="PT226"/>
      <c r="PU226"/>
      <c r="PV226"/>
      <c r="PW226"/>
      <c r="PX226"/>
      <c r="PY226"/>
      <c r="PZ226"/>
      <c r="QA226"/>
      <c r="QB226"/>
      <c r="QC226"/>
      <c r="QD226"/>
      <c r="QE226"/>
      <c r="QF226"/>
      <c r="QG226"/>
      <c r="QH226"/>
      <c r="QI226"/>
      <c r="QJ226"/>
      <c r="QK226"/>
      <c r="QL226"/>
      <c r="QM226"/>
      <c r="QN226"/>
      <c r="QO226"/>
      <c r="QP226"/>
      <c r="QQ226"/>
      <c r="QR226"/>
      <c r="QS226"/>
      <c r="QT226"/>
      <c r="QU226"/>
      <c r="QV226"/>
      <c r="QW226"/>
      <c r="QX226"/>
      <c r="QY226"/>
      <c r="QZ226"/>
      <c r="RA226"/>
      <c r="RB226"/>
      <c r="RC226"/>
      <c r="RD226"/>
      <c r="RE226"/>
      <c r="RF226"/>
      <c r="RG226"/>
      <c r="RH226"/>
      <c r="RI226"/>
      <c r="RJ226"/>
      <c r="RK226"/>
      <c r="RL226"/>
      <c r="RM226"/>
      <c r="RN226"/>
      <c r="RO226"/>
      <c r="RP226"/>
      <c r="RQ226"/>
      <c r="RR226"/>
      <c r="RS226"/>
      <c r="RT226"/>
      <c r="RU226"/>
      <c r="RV226"/>
      <c r="RW226"/>
      <c r="RX226"/>
      <c r="RY226"/>
      <c r="RZ226"/>
      <c r="SA226"/>
      <c r="SB226"/>
      <c r="SC226"/>
      <c r="SD226"/>
      <c r="SE226"/>
      <c r="SF226"/>
      <c r="SG226"/>
      <c r="SH226"/>
      <c r="SI226"/>
      <c r="SJ226"/>
      <c r="SK226"/>
      <c r="SL226"/>
      <c r="SM226"/>
      <c r="SN226"/>
      <c r="SO226"/>
      <c r="SP226"/>
      <c r="SQ226"/>
      <c r="SR226"/>
      <c r="SS226"/>
      <c r="ST226"/>
      <c r="SU226"/>
      <c r="SV226"/>
      <c r="SW226"/>
      <c r="SX226"/>
      <c r="SY226"/>
      <c r="SZ226"/>
      <c r="TA226"/>
      <c r="TB226"/>
      <c r="TC226"/>
      <c r="TD226"/>
      <c r="TE226"/>
      <c r="TF226"/>
      <c r="TG226"/>
      <c r="TH226"/>
    </row>
    <row r="227" spans="3:528" x14ac:dyDescent="0.25">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c r="PC227"/>
      <c r="PD227"/>
      <c r="PE227"/>
      <c r="PF227"/>
      <c r="PG227"/>
      <c r="PH227"/>
      <c r="PI227"/>
      <c r="PJ227"/>
      <c r="PK227"/>
      <c r="PL227"/>
      <c r="PM227"/>
      <c r="PN227"/>
      <c r="PO227"/>
      <c r="PP227"/>
      <c r="PQ227"/>
      <c r="PR227"/>
      <c r="PS227"/>
      <c r="PT227"/>
      <c r="PU227"/>
      <c r="PV227"/>
      <c r="PW227"/>
      <c r="PX227"/>
      <c r="PY227"/>
      <c r="PZ227"/>
      <c r="QA227"/>
      <c r="QB227"/>
      <c r="QC227"/>
      <c r="QD227"/>
      <c r="QE227"/>
      <c r="QF227"/>
      <c r="QG227"/>
      <c r="QH227"/>
      <c r="QI227"/>
      <c r="QJ227"/>
      <c r="QK227"/>
      <c r="QL227"/>
      <c r="QM227"/>
      <c r="QN227"/>
      <c r="QO227"/>
      <c r="QP227"/>
      <c r="QQ227"/>
      <c r="QR227"/>
      <c r="QS227"/>
      <c r="QT227"/>
      <c r="QU227"/>
      <c r="QV227"/>
      <c r="QW227"/>
      <c r="QX227"/>
      <c r="QY227"/>
      <c r="QZ227"/>
      <c r="RA227"/>
      <c r="RB227"/>
      <c r="RC227"/>
      <c r="RD227"/>
      <c r="RE227"/>
      <c r="RF227"/>
      <c r="RG227"/>
      <c r="RH227"/>
      <c r="RI227"/>
      <c r="RJ227"/>
      <c r="RK227"/>
      <c r="RL227"/>
      <c r="RM227"/>
      <c r="RN227"/>
      <c r="RO227"/>
      <c r="RP227"/>
      <c r="RQ227"/>
      <c r="RR227"/>
      <c r="RS227"/>
      <c r="RT227"/>
      <c r="RU227"/>
      <c r="RV227"/>
      <c r="RW227"/>
      <c r="RX227"/>
      <c r="RY227"/>
      <c r="RZ227"/>
      <c r="SA227"/>
      <c r="SB227"/>
      <c r="SC227"/>
      <c r="SD227"/>
      <c r="SE227"/>
      <c r="SF227"/>
      <c r="SG227"/>
      <c r="SH227"/>
      <c r="SI227"/>
      <c r="SJ227"/>
      <c r="SK227"/>
      <c r="SL227"/>
      <c r="SM227"/>
      <c r="SN227"/>
      <c r="SO227"/>
      <c r="SP227"/>
      <c r="SQ227"/>
      <c r="SR227"/>
      <c r="SS227"/>
      <c r="ST227"/>
      <c r="SU227"/>
      <c r="SV227"/>
      <c r="SW227"/>
      <c r="SX227"/>
      <c r="SY227"/>
      <c r="SZ227"/>
      <c r="TA227"/>
      <c r="TB227"/>
      <c r="TC227"/>
      <c r="TD227"/>
      <c r="TE227"/>
      <c r="TF227"/>
      <c r="TG227"/>
      <c r="TH227"/>
    </row>
    <row r="228" spans="3:528" x14ac:dyDescent="0.25">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c r="PC228"/>
      <c r="PD228"/>
      <c r="PE228"/>
      <c r="PF228"/>
      <c r="PG228"/>
      <c r="PH228"/>
      <c r="PI228"/>
      <c r="PJ228"/>
      <c r="PK228"/>
      <c r="PL228"/>
      <c r="PM228"/>
      <c r="PN228"/>
      <c r="PO228"/>
      <c r="PP228"/>
      <c r="PQ228"/>
      <c r="PR228"/>
      <c r="PS228"/>
      <c r="PT228"/>
      <c r="PU228"/>
      <c r="PV228"/>
      <c r="PW228"/>
      <c r="PX228"/>
      <c r="PY228"/>
      <c r="PZ228"/>
      <c r="QA228"/>
      <c r="QB228"/>
      <c r="QC228"/>
      <c r="QD228"/>
      <c r="QE228"/>
      <c r="QF228"/>
      <c r="QG228"/>
      <c r="QH228"/>
      <c r="QI228"/>
      <c r="QJ228"/>
      <c r="QK228"/>
      <c r="QL228"/>
      <c r="QM228"/>
      <c r="QN228"/>
      <c r="QO228"/>
      <c r="QP228"/>
      <c r="QQ228"/>
      <c r="QR228"/>
      <c r="QS228"/>
      <c r="QT228"/>
      <c r="QU228"/>
      <c r="QV228"/>
      <c r="QW228"/>
      <c r="QX228"/>
      <c r="QY228"/>
      <c r="QZ228"/>
      <c r="RA228"/>
      <c r="RB228"/>
      <c r="RC228"/>
      <c r="RD228"/>
      <c r="RE228"/>
      <c r="RF228"/>
      <c r="RG228"/>
      <c r="RH228"/>
      <c r="RI228"/>
      <c r="RJ228"/>
      <c r="RK228"/>
      <c r="RL228"/>
      <c r="RM228"/>
      <c r="RN228"/>
      <c r="RO228"/>
      <c r="RP228"/>
      <c r="RQ228"/>
      <c r="RR228"/>
      <c r="RS228"/>
      <c r="RT228"/>
      <c r="RU228"/>
      <c r="RV228"/>
      <c r="RW228"/>
      <c r="RX228"/>
      <c r="RY228"/>
      <c r="RZ228"/>
      <c r="SA228"/>
      <c r="SB228"/>
      <c r="SC228"/>
      <c r="SD228"/>
      <c r="SE228"/>
      <c r="SF228"/>
      <c r="SG228"/>
      <c r="SH228"/>
      <c r="SI228"/>
      <c r="SJ228"/>
      <c r="SK228"/>
      <c r="SL228"/>
      <c r="SM228"/>
      <c r="SN228"/>
      <c r="SO228"/>
      <c r="SP228"/>
      <c r="SQ228"/>
      <c r="SR228"/>
      <c r="SS228"/>
      <c r="ST228"/>
      <c r="SU228"/>
      <c r="SV228"/>
      <c r="SW228"/>
      <c r="SX228"/>
      <c r="SY228"/>
      <c r="SZ228"/>
      <c r="TA228"/>
      <c r="TB228"/>
      <c r="TC228"/>
      <c r="TD228"/>
      <c r="TE228"/>
      <c r="TF228"/>
      <c r="TG228"/>
      <c r="TH228"/>
    </row>
    <row r="229" spans="3:528" x14ac:dyDescent="0.25">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c r="PC229"/>
      <c r="PD229"/>
      <c r="PE229"/>
      <c r="PF229"/>
      <c r="PG229"/>
      <c r="PH229"/>
      <c r="PI229"/>
      <c r="PJ229"/>
      <c r="PK229"/>
      <c r="PL229"/>
      <c r="PM229"/>
      <c r="PN229"/>
      <c r="PO229"/>
      <c r="PP229"/>
      <c r="PQ229"/>
      <c r="PR229"/>
      <c r="PS229"/>
      <c r="PT229"/>
      <c r="PU229"/>
      <c r="PV229"/>
      <c r="PW229"/>
      <c r="PX229"/>
      <c r="PY229"/>
      <c r="PZ229"/>
      <c r="QA229"/>
      <c r="QB229"/>
      <c r="QC229"/>
      <c r="QD229"/>
      <c r="QE229"/>
      <c r="QF229"/>
      <c r="QG229"/>
      <c r="QH229"/>
      <c r="QI229"/>
      <c r="QJ229"/>
      <c r="QK229"/>
      <c r="QL229"/>
      <c r="QM229"/>
      <c r="QN229"/>
      <c r="QO229"/>
      <c r="QP229"/>
      <c r="QQ229"/>
      <c r="QR229"/>
      <c r="QS229"/>
      <c r="QT229"/>
      <c r="QU229"/>
      <c r="QV229"/>
      <c r="QW229"/>
      <c r="QX229"/>
      <c r="QY229"/>
      <c r="QZ229"/>
      <c r="RA229"/>
      <c r="RB229"/>
      <c r="RC229"/>
      <c r="RD229"/>
      <c r="RE229"/>
      <c r="RF229"/>
      <c r="RG229"/>
      <c r="RH229"/>
      <c r="RI229"/>
      <c r="RJ229"/>
      <c r="RK229"/>
      <c r="RL229"/>
      <c r="RM229"/>
      <c r="RN229"/>
      <c r="RO229"/>
      <c r="RP229"/>
      <c r="RQ229"/>
      <c r="RR229"/>
      <c r="RS229"/>
      <c r="RT229"/>
      <c r="RU229"/>
      <c r="RV229"/>
      <c r="RW229"/>
      <c r="RX229"/>
      <c r="RY229"/>
      <c r="RZ229"/>
      <c r="SA229"/>
      <c r="SB229"/>
      <c r="SC229"/>
      <c r="SD229"/>
      <c r="SE229"/>
      <c r="SF229"/>
      <c r="SG229"/>
      <c r="SH229"/>
      <c r="SI229"/>
      <c r="SJ229"/>
      <c r="SK229"/>
      <c r="SL229"/>
      <c r="SM229"/>
      <c r="SN229"/>
      <c r="SO229"/>
      <c r="SP229"/>
      <c r="SQ229"/>
      <c r="SR229"/>
      <c r="SS229"/>
      <c r="ST229"/>
      <c r="SU229"/>
      <c r="SV229"/>
      <c r="SW229"/>
      <c r="SX229"/>
      <c r="SY229"/>
      <c r="SZ229"/>
      <c r="TA229"/>
      <c r="TB229"/>
      <c r="TC229"/>
      <c r="TD229"/>
      <c r="TE229"/>
      <c r="TF229"/>
      <c r="TG229"/>
      <c r="TH229"/>
    </row>
    <row r="230" spans="3:528" x14ac:dyDescent="0.25">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c r="PC230"/>
      <c r="PD230"/>
      <c r="PE230"/>
      <c r="PF230"/>
      <c r="PG230"/>
      <c r="PH230"/>
      <c r="PI230"/>
      <c r="PJ230"/>
      <c r="PK230"/>
      <c r="PL230"/>
      <c r="PM230"/>
      <c r="PN230"/>
      <c r="PO230"/>
      <c r="PP230"/>
      <c r="PQ230"/>
      <c r="PR230"/>
      <c r="PS230"/>
      <c r="PT230"/>
      <c r="PU230"/>
      <c r="PV230"/>
      <c r="PW230"/>
      <c r="PX230"/>
      <c r="PY230"/>
      <c r="PZ230"/>
      <c r="QA230"/>
      <c r="QB230"/>
      <c r="QC230"/>
      <c r="QD230"/>
      <c r="QE230"/>
      <c r="QF230"/>
      <c r="QG230"/>
      <c r="QH230"/>
      <c r="QI230"/>
      <c r="QJ230"/>
      <c r="QK230"/>
      <c r="QL230"/>
      <c r="QM230"/>
      <c r="QN230"/>
      <c r="QO230"/>
      <c r="QP230"/>
      <c r="QQ230"/>
      <c r="QR230"/>
      <c r="QS230"/>
      <c r="QT230"/>
      <c r="QU230"/>
      <c r="QV230"/>
      <c r="QW230"/>
      <c r="QX230"/>
      <c r="QY230"/>
      <c r="QZ230"/>
      <c r="RA230"/>
      <c r="RB230"/>
      <c r="RC230"/>
      <c r="RD230"/>
      <c r="RE230"/>
      <c r="RF230"/>
      <c r="RG230"/>
      <c r="RH230"/>
      <c r="RI230"/>
      <c r="RJ230"/>
      <c r="RK230"/>
      <c r="RL230"/>
      <c r="RM230"/>
      <c r="RN230"/>
      <c r="RO230"/>
      <c r="RP230"/>
      <c r="RQ230"/>
      <c r="RR230"/>
      <c r="RS230"/>
      <c r="RT230"/>
      <c r="RU230"/>
      <c r="RV230"/>
      <c r="RW230"/>
      <c r="RX230"/>
      <c r="RY230"/>
      <c r="RZ230"/>
      <c r="SA230"/>
      <c r="SB230"/>
      <c r="SC230"/>
      <c r="SD230"/>
      <c r="SE230"/>
      <c r="SF230"/>
      <c r="SG230"/>
      <c r="SH230"/>
      <c r="SI230"/>
      <c r="SJ230"/>
      <c r="SK230"/>
      <c r="SL230"/>
      <c r="SM230"/>
      <c r="SN230"/>
      <c r="SO230"/>
      <c r="SP230"/>
      <c r="SQ230"/>
      <c r="SR230"/>
      <c r="SS230"/>
      <c r="ST230"/>
      <c r="SU230"/>
      <c r="SV230"/>
      <c r="SW230"/>
      <c r="SX230"/>
      <c r="SY230"/>
      <c r="SZ230"/>
      <c r="TA230"/>
      <c r="TB230"/>
      <c r="TC230"/>
      <c r="TD230"/>
      <c r="TE230"/>
      <c r="TF230"/>
      <c r="TG230"/>
      <c r="TH230"/>
    </row>
    <row r="231" spans="3:528" x14ac:dyDescent="0.25">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row>
    <row r="232" spans="3:528" x14ac:dyDescent="0.25">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c r="KT232"/>
      <c r="KU232"/>
      <c r="KV232"/>
      <c r="KW232"/>
      <c r="KX232"/>
      <c r="KY232"/>
      <c r="KZ232"/>
      <c r="LA232"/>
      <c r="LB232"/>
      <c r="LC232"/>
      <c r="LD232"/>
      <c r="LE232"/>
      <c r="LF232"/>
      <c r="LG232"/>
      <c r="LH232"/>
      <c r="LI232"/>
      <c r="LJ232"/>
      <c r="LK232"/>
      <c r="LL232"/>
      <c r="LM232"/>
      <c r="LN232"/>
      <c r="LO232"/>
      <c r="LP232"/>
      <c r="LQ232"/>
      <c r="LR232"/>
      <c r="LS232"/>
      <c r="LT232"/>
      <c r="LU232"/>
      <c r="LV232"/>
      <c r="LW232"/>
      <c r="LX232"/>
      <c r="LY232"/>
      <c r="LZ232"/>
      <c r="MA232"/>
      <c r="MB232"/>
      <c r="MC232"/>
      <c r="MD232"/>
      <c r="ME232"/>
      <c r="MF232"/>
      <c r="MG232"/>
      <c r="MH232"/>
      <c r="MI232"/>
      <c r="MJ232"/>
      <c r="MK232"/>
      <c r="ML232"/>
      <c r="MM232"/>
      <c r="MN232"/>
      <c r="MO232"/>
      <c r="MP232"/>
      <c r="MQ232"/>
      <c r="MR232"/>
      <c r="MS232"/>
      <c r="MT232"/>
      <c r="MU232"/>
      <c r="MV232"/>
      <c r="MW232"/>
      <c r="MX232"/>
      <c r="MY232"/>
      <c r="MZ232"/>
      <c r="NA232"/>
      <c r="NB232"/>
      <c r="NC232"/>
      <c r="ND232"/>
      <c r="NE232"/>
      <c r="NF232"/>
      <c r="NG232"/>
      <c r="NH232"/>
      <c r="NI232"/>
      <c r="NJ232"/>
      <c r="NK232"/>
      <c r="NL232"/>
      <c r="NM232"/>
      <c r="NN232"/>
      <c r="NO232"/>
      <c r="NP232"/>
      <c r="NQ232"/>
      <c r="NR232"/>
      <c r="NS232"/>
      <c r="NT232"/>
      <c r="NU232"/>
      <c r="NV232"/>
      <c r="NW232"/>
      <c r="NX232"/>
      <c r="NY232"/>
      <c r="NZ232"/>
      <c r="OA232"/>
      <c r="OB232"/>
      <c r="OC232"/>
      <c r="OD232"/>
      <c r="OE232"/>
      <c r="OF232"/>
      <c r="OG232"/>
      <c r="OH232"/>
      <c r="OI232"/>
      <c r="OJ232"/>
      <c r="OK232"/>
      <c r="OL232"/>
      <c r="OM232"/>
      <c r="ON232"/>
      <c r="OO232"/>
      <c r="OP232"/>
      <c r="OQ232"/>
      <c r="OR232"/>
      <c r="OS232"/>
      <c r="OT232"/>
      <c r="OU232"/>
      <c r="OV232"/>
      <c r="OW232"/>
      <c r="OX232"/>
      <c r="OY232"/>
      <c r="OZ232"/>
      <c r="PA232"/>
      <c r="PB232"/>
      <c r="PC232"/>
      <c r="PD232"/>
      <c r="PE232"/>
      <c r="PF232"/>
      <c r="PG232"/>
      <c r="PH232"/>
      <c r="PI232"/>
      <c r="PJ232"/>
      <c r="PK232"/>
      <c r="PL232"/>
      <c r="PM232"/>
      <c r="PN232"/>
      <c r="PO232"/>
      <c r="PP232"/>
      <c r="PQ232"/>
      <c r="PR232"/>
      <c r="PS232"/>
      <c r="PT232"/>
      <c r="PU232"/>
      <c r="PV232"/>
      <c r="PW232"/>
      <c r="PX232"/>
      <c r="PY232"/>
      <c r="PZ232"/>
      <c r="QA232"/>
      <c r="QB232"/>
      <c r="QC232"/>
      <c r="QD232"/>
      <c r="QE232"/>
      <c r="QF232"/>
      <c r="QG232"/>
      <c r="QH232"/>
      <c r="QI232"/>
      <c r="QJ232"/>
      <c r="QK232"/>
      <c r="QL232"/>
      <c r="QM232"/>
      <c r="QN232"/>
      <c r="QO232"/>
      <c r="QP232"/>
      <c r="QQ232"/>
      <c r="QR232"/>
      <c r="QS232"/>
      <c r="QT232"/>
      <c r="QU232"/>
      <c r="QV232"/>
      <c r="QW232"/>
      <c r="QX232"/>
      <c r="QY232"/>
      <c r="QZ232"/>
      <c r="RA232"/>
      <c r="RB232"/>
      <c r="RC232"/>
      <c r="RD232"/>
      <c r="RE232"/>
      <c r="RF232"/>
      <c r="RG232"/>
      <c r="RH232"/>
      <c r="RI232"/>
      <c r="RJ232"/>
      <c r="RK232"/>
      <c r="RL232"/>
      <c r="RM232"/>
      <c r="RN232"/>
      <c r="RO232"/>
      <c r="RP232"/>
      <c r="RQ232"/>
      <c r="RR232"/>
      <c r="RS232"/>
      <c r="RT232"/>
      <c r="RU232"/>
      <c r="RV232"/>
      <c r="RW232"/>
      <c r="RX232"/>
      <c r="RY232"/>
      <c r="RZ232"/>
      <c r="SA232"/>
      <c r="SB232"/>
      <c r="SC232"/>
      <c r="SD232"/>
      <c r="SE232"/>
      <c r="SF232"/>
      <c r="SG232"/>
      <c r="SH232"/>
      <c r="SI232"/>
      <c r="SJ232"/>
      <c r="SK232"/>
      <c r="SL232"/>
      <c r="SM232"/>
      <c r="SN232"/>
      <c r="SO232"/>
      <c r="SP232"/>
      <c r="SQ232"/>
      <c r="SR232"/>
      <c r="SS232"/>
      <c r="ST232"/>
      <c r="SU232"/>
      <c r="SV232"/>
      <c r="SW232"/>
      <c r="SX232"/>
      <c r="SY232"/>
      <c r="SZ232"/>
      <c r="TA232"/>
      <c r="TB232"/>
      <c r="TC232"/>
      <c r="TD232"/>
      <c r="TE232"/>
      <c r="TF232"/>
      <c r="TG232"/>
      <c r="TH232"/>
    </row>
    <row r="233" spans="3:528" x14ac:dyDescent="0.25">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c r="KT233"/>
      <c r="KU233"/>
      <c r="KV233"/>
      <c r="KW233"/>
      <c r="KX233"/>
      <c r="KY233"/>
      <c r="KZ233"/>
      <c r="LA233"/>
      <c r="LB233"/>
      <c r="LC233"/>
      <c r="LD233"/>
      <c r="LE233"/>
      <c r="LF233"/>
      <c r="LG233"/>
      <c r="LH233"/>
      <c r="LI233"/>
      <c r="LJ233"/>
      <c r="LK233"/>
      <c r="LL233"/>
      <c r="LM233"/>
      <c r="LN233"/>
      <c r="LO233"/>
      <c r="LP233"/>
      <c r="LQ233"/>
      <c r="LR233"/>
      <c r="LS233"/>
      <c r="LT233"/>
      <c r="LU233"/>
      <c r="LV233"/>
      <c r="LW233"/>
      <c r="LX233"/>
      <c r="LY233"/>
      <c r="LZ233"/>
      <c r="MA233"/>
      <c r="MB233"/>
      <c r="MC233"/>
      <c r="MD233"/>
      <c r="ME233"/>
      <c r="MF233"/>
      <c r="MG233"/>
      <c r="MH233"/>
      <c r="MI233"/>
      <c r="MJ233"/>
      <c r="MK233"/>
      <c r="ML233"/>
      <c r="MM233"/>
      <c r="MN233"/>
      <c r="MO233"/>
      <c r="MP233"/>
      <c r="MQ233"/>
      <c r="MR233"/>
      <c r="MS233"/>
      <c r="MT233"/>
      <c r="MU233"/>
      <c r="MV233"/>
      <c r="MW233"/>
      <c r="MX233"/>
      <c r="MY233"/>
      <c r="MZ233"/>
      <c r="NA233"/>
      <c r="NB233"/>
      <c r="NC233"/>
      <c r="ND233"/>
      <c r="NE233"/>
      <c r="NF233"/>
      <c r="NG233"/>
      <c r="NH233"/>
      <c r="NI233"/>
      <c r="NJ233"/>
      <c r="NK233"/>
      <c r="NL233"/>
      <c r="NM233"/>
      <c r="NN233"/>
      <c r="NO233"/>
      <c r="NP233"/>
      <c r="NQ233"/>
      <c r="NR233"/>
      <c r="NS233"/>
      <c r="NT233"/>
      <c r="NU233"/>
      <c r="NV233"/>
      <c r="NW233"/>
      <c r="NX233"/>
      <c r="NY233"/>
      <c r="NZ233"/>
      <c r="OA233"/>
      <c r="OB233"/>
      <c r="OC233"/>
      <c r="OD233"/>
      <c r="OE233"/>
      <c r="OF233"/>
      <c r="OG233"/>
      <c r="OH233"/>
      <c r="OI233"/>
      <c r="OJ233"/>
      <c r="OK233"/>
      <c r="OL233"/>
      <c r="OM233"/>
      <c r="ON233"/>
      <c r="OO233"/>
      <c r="OP233"/>
      <c r="OQ233"/>
      <c r="OR233"/>
      <c r="OS233"/>
      <c r="OT233"/>
      <c r="OU233"/>
      <c r="OV233"/>
      <c r="OW233"/>
      <c r="OX233"/>
      <c r="OY233"/>
      <c r="OZ233"/>
      <c r="PA233"/>
      <c r="PB233"/>
      <c r="PC233"/>
      <c r="PD233"/>
      <c r="PE233"/>
      <c r="PF233"/>
      <c r="PG233"/>
      <c r="PH233"/>
      <c r="PI233"/>
      <c r="PJ233"/>
      <c r="PK233"/>
      <c r="PL233"/>
      <c r="PM233"/>
      <c r="PN233"/>
      <c r="PO233"/>
      <c r="PP233"/>
      <c r="PQ233"/>
      <c r="PR233"/>
      <c r="PS233"/>
      <c r="PT233"/>
      <c r="PU233"/>
      <c r="PV233"/>
      <c r="PW233"/>
      <c r="PX233"/>
      <c r="PY233"/>
      <c r="PZ233"/>
      <c r="QA233"/>
      <c r="QB233"/>
      <c r="QC233"/>
      <c r="QD233"/>
      <c r="QE233"/>
      <c r="QF233"/>
      <c r="QG233"/>
      <c r="QH233"/>
      <c r="QI233"/>
      <c r="QJ233"/>
      <c r="QK233"/>
      <c r="QL233"/>
      <c r="QM233"/>
      <c r="QN233"/>
      <c r="QO233"/>
      <c r="QP233"/>
      <c r="QQ233"/>
      <c r="QR233"/>
      <c r="QS233"/>
      <c r="QT233"/>
      <c r="QU233"/>
      <c r="QV233"/>
      <c r="QW233"/>
      <c r="QX233"/>
      <c r="QY233"/>
      <c r="QZ233"/>
      <c r="RA233"/>
      <c r="RB233"/>
      <c r="RC233"/>
      <c r="RD233"/>
      <c r="RE233"/>
      <c r="RF233"/>
      <c r="RG233"/>
      <c r="RH233"/>
      <c r="RI233"/>
      <c r="RJ233"/>
      <c r="RK233"/>
      <c r="RL233"/>
      <c r="RM233"/>
      <c r="RN233"/>
      <c r="RO233"/>
      <c r="RP233"/>
      <c r="RQ233"/>
      <c r="RR233"/>
      <c r="RS233"/>
      <c r="RT233"/>
      <c r="RU233"/>
      <c r="RV233"/>
      <c r="RW233"/>
      <c r="RX233"/>
      <c r="RY233"/>
      <c r="RZ233"/>
      <c r="SA233"/>
      <c r="SB233"/>
      <c r="SC233"/>
      <c r="SD233"/>
      <c r="SE233"/>
      <c r="SF233"/>
      <c r="SG233"/>
      <c r="SH233"/>
      <c r="SI233"/>
      <c r="SJ233"/>
      <c r="SK233"/>
      <c r="SL233"/>
      <c r="SM233"/>
      <c r="SN233"/>
      <c r="SO233"/>
      <c r="SP233"/>
      <c r="SQ233"/>
      <c r="SR233"/>
      <c r="SS233"/>
      <c r="ST233"/>
      <c r="SU233"/>
      <c r="SV233"/>
      <c r="SW233"/>
      <c r="SX233"/>
      <c r="SY233"/>
      <c r="SZ233"/>
      <c r="TA233"/>
      <c r="TB233"/>
      <c r="TC233"/>
      <c r="TD233"/>
      <c r="TE233"/>
      <c r="TF233"/>
      <c r="TG233"/>
      <c r="TH233"/>
    </row>
    <row r="234" spans="3:528" x14ac:dyDescent="0.25">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c r="KT234"/>
      <c r="KU234"/>
      <c r="KV234"/>
      <c r="KW234"/>
      <c r="KX234"/>
      <c r="KY234"/>
      <c r="KZ234"/>
      <c r="LA234"/>
      <c r="LB234"/>
      <c r="LC234"/>
      <c r="LD234"/>
      <c r="LE234"/>
      <c r="LF234"/>
      <c r="LG234"/>
      <c r="LH234"/>
      <c r="LI234"/>
      <c r="LJ234"/>
      <c r="LK234"/>
      <c r="LL234"/>
      <c r="LM234"/>
      <c r="LN234"/>
      <c r="LO234"/>
      <c r="LP234"/>
      <c r="LQ234"/>
      <c r="LR234"/>
      <c r="LS234"/>
      <c r="LT234"/>
      <c r="LU234"/>
      <c r="LV234"/>
      <c r="LW234"/>
      <c r="LX234"/>
      <c r="LY234"/>
      <c r="LZ234"/>
      <c r="MA234"/>
      <c r="MB234"/>
      <c r="MC234"/>
      <c r="MD234"/>
      <c r="ME234"/>
      <c r="MF234"/>
      <c r="MG234"/>
      <c r="MH234"/>
      <c r="MI234"/>
      <c r="MJ234"/>
      <c r="MK234"/>
      <c r="ML234"/>
      <c r="MM234"/>
      <c r="MN234"/>
      <c r="MO234"/>
      <c r="MP234"/>
      <c r="MQ234"/>
      <c r="MR234"/>
      <c r="MS234"/>
      <c r="MT234"/>
      <c r="MU234"/>
      <c r="MV234"/>
      <c r="MW234"/>
      <c r="MX234"/>
      <c r="MY234"/>
      <c r="MZ234"/>
      <c r="NA234"/>
      <c r="NB234"/>
      <c r="NC234"/>
      <c r="ND234"/>
      <c r="NE234"/>
      <c r="NF234"/>
      <c r="NG234"/>
      <c r="NH234"/>
      <c r="NI234"/>
      <c r="NJ234"/>
      <c r="NK234"/>
      <c r="NL234"/>
      <c r="NM234"/>
      <c r="NN234"/>
      <c r="NO234"/>
      <c r="NP234"/>
      <c r="NQ234"/>
      <c r="NR234"/>
      <c r="NS234"/>
      <c r="NT234"/>
      <c r="NU234"/>
      <c r="NV234"/>
      <c r="NW234"/>
      <c r="NX234"/>
      <c r="NY234"/>
      <c r="NZ234"/>
      <c r="OA234"/>
      <c r="OB234"/>
      <c r="OC234"/>
      <c r="OD234"/>
      <c r="OE234"/>
      <c r="OF234"/>
      <c r="OG234"/>
      <c r="OH234"/>
      <c r="OI234"/>
      <c r="OJ234"/>
      <c r="OK234"/>
      <c r="OL234"/>
      <c r="OM234"/>
      <c r="ON234"/>
      <c r="OO234"/>
      <c r="OP234"/>
      <c r="OQ234"/>
      <c r="OR234"/>
      <c r="OS234"/>
      <c r="OT234"/>
      <c r="OU234"/>
      <c r="OV234"/>
      <c r="OW234"/>
      <c r="OX234"/>
      <c r="OY234"/>
      <c r="OZ234"/>
      <c r="PA234"/>
      <c r="PB234"/>
      <c r="PC234"/>
      <c r="PD234"/>
      <c r="PE234"/>
      <c r="PF234"/>
      <c r="PG234"/>
      <c r="PH234"/>
      <c r="PI234"/>
      <c r="PJ234"/>
      <c r="PK234"/>
      <c r="PL234"/>
      <c r="PM234"/>
      <c r="PN234"/>
      <c r="PO234"/>
      <c r="PP234"/>
      <c r="PQ234"/>
      <c r="PR234"/>
      <c r="PS234"/>
      <c r="PT234"/>
      <c r="PU234"/>
      <c r="PV234"/>
      <c r="PW234"/>
      <c r="PX234"/>
      <c r="PY234"/>
      <c r="PZ234"/>
      <c r="QA234"/>
      <c r="QB234"/>
      <c r="QC234"/>
      <c r="QD234"/>
      <c r="QE234"/>
      <c r="QF234"/>
      <c r="QG234"/>
      <c r="QH234"/>
      <c r="QI234"/>
      <c r="QJ234"/>
      <c r="QK234"/>
      <c r="QL234"/>
      <c r="QM234"/>
      <c r="QN234"/>
      <c r="QO234"/>
      <c r="QP234"/>
      <c r="QQ234"/>
      <c r="QR234"/>
      <c r="QS234"/>
      <c r="QT234"/>
      <c r="QU234"/>
      <c r="QV234"/>
      <c r="QW234"/>
      <c r="QX234"/>
      <c r="QY234"/>
      <c r="QZ234"/>
      <c r="RA234"/>
      <c r="RB234"/>
      <c r="RC234"/>
      <c r="RD234"/>
      <c r="RE234"/>
      <c r="RF234"/>
      <c r="RG234"/>
      <c r="RH234"/>
      <c r="RI234"/>
      <c r="RJ234"/>
      <c r="RK234"/>
      <c r="RL234"/>
      <c r="RM234"/>
      <c r="RN234"/>
      <c r="RO234"/>
      <c r="RP234"/>
      <c r="RQ234"/>
      <c r="RR234"/>
      <c r="RS234"/>
      <c r="RT234"/>
      <c r="RU234"/>
      <c r="RV234"/>
      <c r="RW234"/>
      <c r="RX234"/>
      <c r="RY234"/>
      <c r="RZ234"/>
      <c r="SA234"/>
      <c r="SB234"/>
      <c r="SC234"/>
      <c r="SD234"/>
      <c r="SE234"/>
      <c r="SF234"/>
      <c r="SG234"/>
      <c r="SH234"/>
      <c r="SI234"/>
      <c r="SJ234"/>
      <c r="SK234"/>
      <c r="SL234"/>
      <c r="SM234"/>
      <c r="SN234"/>
      <c r="SO234"/>
      <c r="SP234"/>
      <c r="SQ234"/>
      <c r="SR234"/>
      <c r="SS234"/>
      <c r="ST234"/>
      <c r="SU234"/>
      <c r="SV234"/>
      <c r="SW234"/>
      <c r="SX234"/>
      <c r="SY234"/>
      <c r="SZ234"/>
      <c r="TA234"/>
      <c r="TB234"/>
      <c r="TC234"/>
      <c r="TD234"/>
      <c r="TE234"/>
      <c r="TF234"/>
      <c r="TG234"/>
      <c r="TH234"/>
    </row>
    <row r="235" spans="3:528" x14ac:dyDescent="0.2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c r="KT235"/>
      <c r="KU235"/>
      <c r="KV235"/>
      <c r="KW235"/>
      <c r="KX235"/>
      <c r="KY235"/>
      <c r="KZ235"/>
      <c r="LA235"/>
      <c r="LB235"/>
      <c r="LC235"/>
      <c r="LD235"/>
      <c r="LE235"/>
      <c r="LF235"/>
      <c r="LG235"/>
      <c r="LH235"/>
      <c r="LI235"/>
      <c r="LJ235"/>
      <c r="LK235"/>
      <c r="LL235"/>
      <c r="LM235"/>
      <c r="LN235"/>
      <c r="LO235"/>
      <c r="LP235"/>
      <c r="LQ235"/>
      <c r="LR235"/>
      <c r="LS235"/>
      <c r="LT235"/>
      <c r="LU235"/>
      <c r="LV235"/>
      <c r="LW235"/>
      <c r="LX235"/>
      <c r="LY235"/>
      <c r="LZ235"/>
      <c r="MA235"/>
      <c r="MB235"/>
      <c r="MC235"/>
      <c r="MD235"/>
      <c r="ME235"/>
      <c r="MF235"/>
      <c r="MG235"/>
      <c r="MH235"/>
      <c r="MI235"/>
      <c r="MJ235"/>
      <c r="MK235"/>
      <c r="ML235"/>
      <c r="MM235"/>
      <c r="MN235"/>
      <c r="MO235"/>
      <c r="MP235"/>
      <c r="MQ235"/>
      <c r="MR235"/>
      <c r="MS235"/>
      <c r="MT235"/>
      <c r="MU235"/>
      <c r="MV235"/>
      <c r="MW235"/>
      <c r="MX235"/>
      <c r="MY235"/>
      <c r="MZ235"/>
      <c r="NA235"/>
      <c r="NB235"/>
      <c r="NC235"/>
      <c r="ND235"/>
      <c r="NE235"/>
      <c r="NF235"/>
      <c r="NG235"/>
      <c r="NH235"/>
      <c r="NI235"/>
      <c r="NJ235"/>
      <c r="NK235"/>
      <c r="NL235"/>
      <c r="NM235"/>
      <c r="NN235"/>
      <c r="NO235"/>
      <c r="NP235"/>
      <c r="NQ235"/>
      <c r="NR235"/>
      <c r="NS235"/>
      <c r="NT235"/>
      <c r="NU235"/>
      <c r="NV235"/>
      <c r="NW235"/>
      <c r="NX235"/>
      <c r="NY235"/>
      <c r="NZ235"/>
      <c r="OA235"/>
      <c r="OB235"/>
      <c r="OC235"/>
      <c r="OD235"/>
      <c r="OE235"/>
      <c r="OF235"/>
      <c r="OG235"/>
      <c r="OH235"/>
      <c r="OI235"/>
      <c r="OJ235"/>
      <c r="OK235"/>
      <c r="OL235"/>
      <c r="OM235"/>
      <c r="ON235"/>
      <c r="OO235"/>
      <c r="OP235"/>
      <c r="OQ235"/>
      <c r="OR235"/>
      <c r="OS235"/>
      <c r="OT235"/>
      <c r="OU235"/>
      <c r="OV235"/>
      <c r="OW235"/>
      <c r="OX235"/>
      <c r="OY235"/>
      <c r="OZ235"/>
      <c r="PA235"/>
      <c r="PB235"/>
      <c r="PC235"/>
      <c r="PD235"/>
      <c r="PE235"/>
      <c r="PF235"/>
      <c r="PG235"/>
      <c r="PH235"/>
      <c r="PI235"/>
      <c r="PJ235"/>
      <c r="PK235"/>
      <c r="PL235"/>
      <c r="PM235"/>
      <c r="PN235"/>
      <c r="PO235"/>
      <c r="PP235"/>
      <c r="PQ235"/>
      <c r="PR235"/>
      <c r="PS235"/>
      <c r="PT235"/>
      <c r="PU235"/>
      <c r="PV235"/>
      <c r="PW235"/>
      <c r="PX235"/>
      <c r="PY235"/>
      <c r="PZ235"/>
      <c r="QA235"/>
      <c r="QB235"/>
      <c r="QC235"/>
      <c r="QD235"/>
      <c r="QE235"/>
      <c r="QF235"/>
      <c r="QG235"/>
      <c r="QH235"/>
      <c r="QI235"/>
      <c r="QJ235"/>
      <c r="QK235"/>
      <c r="QL235"/>
      <c r="QM235"/>
      <c r="QN235"/>
      <c r="QO235"/>
      <c r="QP235"/>
      <c r="QQ235"/>
      <c r="QR235"/>
      <c r="QS235"/>
      <c r="QT235"/>
      <c r="QU235"/>
      <c r="QV235"/>
      <c r="QW235"/>
      <c r="QX235"/>
      <c r="QY235"/>
      <c r="QZ235"/>
      <c r="RA235"/>
      <c r="RB235"/>
      <c r="RC235"/>
      <c r="RD235"/>
      <c r="RE235"/>
      <c r="RF235"/>
      <c r="RG235"/>
      <c r="RH235"/>
      <c r="RI235"/>
      <c r="RJ235"/>
      <c r="RK235"/>
      <c r="RL235"/>
      <c r="RM235"/>
      <c r="RN235"/>
      <c r="RO235"/>
      <c r="RP235"/>
      <c r="RQ235"/>
      <c r="RR235"/>
      <c r="RS235"/>
      <c r="RT235"/>
      <c r="RU235"/>
      <c r="RV235"/>
      <c r="RW235"/>
      <c r="RX235"/>
      <c r="RY235"/>
      <c r="RZ235"/>
      <c r="SA235"/>
      <c r="SB235"/>
      <c r="SC235"/>
      <c r="SD235"/>
      <c r="SE235"/>
      <c r="SF235"/>
      <c r="SG235"/>
      <c r="SH235"/>
      <c r="SI235"/>
      <c r="SJ235"/>
      <c r="SK235"/>
      <c r="SL235"/>
      <c r="SM235"/>
      <c r="SN235"/>
      <c r="SO235"/>
      <c r="SP235"/>
      <c r="SQ235"/>
      <c r="SR235"/>
      <c r="SS235"/>
      <c r="ST235"/>
      <c r="SU235"/>
      <c r="SV235"/>
      <c r="SW235"/>
      <c r="SX235"/>
      <c r="SY235"/>
      <c r="SZ235"/>
      <c r="TA235"/>
      <c r="TB235"/>
      <c r="TC235"/>
      <c r="TD235"/>
      <c r="TE235"/>
      <c r="TF235"/>
      <c r="TG235"/>
      <c r="TH235"/>
    </row>
    <row r="236" spans="3:528" x14ac:dyDescent="0.25">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c r="KT236"/>
      <c r="KU236"/>
      <c r="KV236"/>
      <c r="KW236"/>
      <c r="KX236"/>
      <c r="KY236"/>
      <c r="KZ236"/>
      <c r="LA236"/>
      <c r="LB236"/>
      <c r="LC236"/>
      <c r="LD236"/>
      <c r="LE236"/>
      <c r="LF236"/>
      <c r="LG236"/>
      <c r="LH236"/>
      <c r="LI236"/>
      <c r="LJ236"/>
      <c r="LK236"/>
      <c r="LL236"/>
      <c r="LM236"/>
      <c r="LN236"/>
      <c r="LO236"/>
      <c r="LP236"/>
      <c r="LQ236"/>
      <c r="LR236"/>
      <c r="LS236"/>
      <c r="LT236"/>
      <c r="LU236"/>
      <c r="LV236"/>
      <c r="LW236"/>
      <c r="LX236"/>
      <c r="LY236"/>
      <c r="LZ236"/>
      <c r="MA236"/>
      <c r="MB236"/>
      <c r="MC236"/>
      <c r="MD236"/>
      <c r="ME236"/>
      <c r="MF236"/>
      <c r="MG236"/>
      <c r="MH236"/>
      <c r="MI236"/>
      <c r="MJ236"/>
      <c r="MK236"/>
      <c r="ML236"/>
      <c r="MM236"/>
      <c r="MN236"/>
      <c r="MO236"/>
      <c r="MP236"/>
      <c r="MQ236"/>
      <c r="MR236"/>
      <c r="MS236"/>
      <c r="MT236"/>
      <c r="MU236"/>
      <c r="MV236"/>
      <c r="MW236"/>
      <c r="MX236"/>
      <c r="MY236"/>
      <c r="MZ236"/>
      <c r="NA236"/>
      <c r="NB236"/>
      <c r="NC236"/>
      <c r="ND236"/>
      <c r="NE236"/>
      <c r="NF236"/>
      <c r="NG236"/>
      <c r="NH236"/>
      <c r="NI236"/>
      <c r="NJ236"/>
      <c r="NK236"/>
      <c r="NL236"/>
      <c r="NM236"/>
      <c r="NN236"/>
      <c r="NO236"/>
      <c r="NP236"/>
      <c r="NQ236"/>
      <c r="NR236"/>
      <c r="NS236"/>
      <c r="NT236"/>
      <c r="NU236"/>
      <c r="NV236"/>
      <c r="NW236"/>
      <c r="NX236"/>
      <c r="NY236"/>
      <c r="NZ236"/>
      <c r="OA236"/>
      <c r="OB236"/>
      <c r="OC236"/>
      <c r="OD236"/>
      <c r="OE236"/>
      <c r="OF236"/>
      <c r="OG236"/>
      <c r="OH236"/>
      <c r="OI236"/>
      <c r="OJ236"/>
      <c r="OK236"/>
      <c r="OL236"/>
      <c r="OM236"/>
      <c r="ON236"/>
      <c r="OO236"/>
      <c r="OP236"/>
      <c r="OQ236"/>
      <c r="OR236"/>
      <c r="OS236"/>
      <c r="OT236"/>
      <c r="OU236"/>
      <c r="OV236"/>
      <c r="OW236"/>
      <c r="OX236"/>
      <c r="OY236"/>
      <c r="OZ236"/>
      <c r="PA236"/>
      <c r="PB236"/>
      <c r="PC236"/>
      <c r="PD236"/>
      <c r="PE236"/>
      <c r="PF236"/>
      <c r="PG236"/>
      <c r="PH236"/>
      <c r="PI236"/>
      <c r="PJ236"/>
      <c r="PK236"/>
      <c r="PL236"/>
      <c r="PM236"/>
      <c r="PN236"/>
      <c r="PO236"/>
      <c r="PP236"/>
      <c r="PQ236"/>
      <c r="PR236"/>
      <c r="PS236"/>
      <c r="PT236"/>
      <c r="PU236"/>
      <c r="PV236"/>
      <c r="PW236"/>
      <c r="PX236"/>
      <c r="PY236"/>
      <c r="PZ236"/>
      <c r="QA236"/>
      <c r="QB236"/>
      <c r="QC236"/>
      <c r="QD236"/>
      <c r="QE236"/>
      <c r="QF236"/>
      <c r="QG236"/>
      <c r="QH236"/>
      <c r="QI236"/>
      <c r="QJ236"/>
      <c r="QK236"/>
      <c r="QL236"/>
      <c r="QM236"/>
      <c r="QN236"/>
      <c r="QO236"/>
      <c r="QP236"/>
      <c r="QQ236"/>
      <c r="QR236"/>
      <c r="QS236"/>
      <c r="QT236"/>
      <c r="QU236"/>
      <c r="QV236"/>
      <c r="QW236"/>
      <c r="QX236"/>
      <c r="QY236"/>
      <c r="QZ236"/>
      <c r="RA236"/>
      <c r="RB236"/>
      <c r="RC236"/>
      <c r="RD236"/>
      <c r="RE236"/>
      <c r="RF236"/>
      <c r="RG236"/>
      <c r="RH236"/>
      <c r="RI236"/>
      <c r="RJ236"/>
      <c r="RK236"/>
      <c r="RL236"/>
      <c r="RM236"/>
      <c r="RN236"/>
      <c r="RO236"/>
      <c r="RP236"/>
      <c r="RQ236"/>
      <c r="RR236"/>
      <c r="RS236"/>
      <c r="RT236"/>
      <c r="RU236"/>
      <c r="RV236"/>
      <c r="RW236"/>
      <c r="RX236"/>
      <c r="RY236"/>
      <c r="RZ236"/>
      <c r="SA236"/>
      <c r="SB236"/>
      <c r="SC236"/>
      <c r="SD236"/>
      <c r="SE236"/>
      <c r="SF236"/>
      <c r="SG236"/>
      <c r="SH236"/>
      <c r="SI236"/>
      <c r="SJ236"/>
      <c r="SK236"/>
      <c r="SL236"/>
      <c r="SM236"/>
      <c r="SN236"/>
      <c r="SO236"/>
      <c r="SP236"/>
      <c r="SQ236"/>
      <c r="SR236"/>
      <c r="SS236"/>
      <c r="ST236"/>
      <c r="SU236"/>
      <c r="SV236"/>
      <c r="SW236"/>
      <c r="SX236"/>
      <c r="SY236"/>
      <c r="SZ236"/>
      <c r="TA236"/>
      <c r="TB236"/>
      <c r="TC236"/>
      <c r="TD236"/>
      <c r="TE236"/>
      <c r="TF236"/>
      <c r="TG236"/>
      <c r="TH236"/>
    </row>
    <row r="237" spans="3:528" x14ac:dyDescent="0.25">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c r="KT237"/>
      <c r="KU237"/>
      <c r="KV237"/>
      <c r="KW237"/>
      <c r="KX237"/>
      <c r="KY237"/>
      <c r="KZ237"/>
      <c r="LA237"/>
      <c r="LB237"/>
      <c r="LC237"/>
      <c r="LD237"/>
      <c r="LE237"/>
      <c r="LF237"/>
      <c r="LG237"/>
      <c r="LH237"/>
      <c r="LI237"/>
      <c r="LJ237"/>
      <c r="LK237"/>
      <c r="LL237"/>
      <c r="LM237"/>
      <c r="LN237"/>
      <c r="LO237"/>
      <c r="LP237"/>
      <c r="LQ237"/>
      <c r="LR237"/>
      <c r="LS237"/>
      <c r="LT237"/>
      <c r="LU237"/>
      <c r="LV237"/>
      <c r="LW237"/>
      <c r="LX237"/>
      <c r="LY237"/>
      <c r="LZ237"/>
      <c r="MA237"/>
      <c r="MB237"/>
      <c r="MC237"/>
      <c r="MD237"/>
      <c r="ME237"/>
      <c r="MF237"/>
      <c r="MG237"/>
      <c r="MH237"/>
      <c r="MI237"/>
      <c r="MJ237"/>
      <c r="MK237"/>
      <c r="ML237"/>
      <c r="MM237"/>
      <c r="MN237"/>
      <c r="MO237"/>
      <c r="MP237"/>
      <c r="MQ237"/>
      <c r="MR237"/>
      <c r="MS237"/>
      <c r="MT237"/>
      <c r="MU237"/>
      <c r="MV237"/>
      <c r="MW237"/>
      <c r="MX237"/>
      <c r="MY237"/>
      <c r="MZ237"/>
      <c r="NA237"/>
      <c r="NB237"/>
      <c r="NC237"/>
      <c r="ND237"/>
      <c r="NE237"/>
      <c r="NF237"/>
      <c r="NG237"/>
      <c r="NH237"/>
      <c r="NI237"/>
      <c r="NJ237"/>
      <c r="NK237"/>
      <c r="NL237"/>
      <c r="NM237"/>
      <c r="NN237"/>
      <c r="NO237"/>
      <c r="NP237"/>
      <c r="NQ237"/>
      <c r="NR237"/>
      <c r="NS237"/>
      <c r="NT237"/>
      <c r="NU237"/>
      <c r="NV237"/>
      <c r="NW237"/>
      <c r="NX237"/>
      <c r="NY237"/>
      <c r="NZ237"/>
      <c r="OA237"/>
      <c r="OB237"/>
      <c r="OC237"/>
      <c r="OD237"/>
      <c r="OE237"/>
      <c r="OF237"/>
      <c r="OG237"/>
      <c r="OH237"/>
      <c r="OI237"/>
      <c r="OJ237"/>
      <c r="OK237"/>
      <c r="OL237"/>
      <c r="OM237"/>
      <c r="ON237"/>
      <c r="OO237"/>
      <c r="OP237"/>
      <c r="OQ237"/>
      <c r="OR237"/>
      <c r="OS237"/>
      <c r="OT237"/>
      <c r="OU237"/>
      <c r="OV237"/>
      <c r="OW237"/>
      <c r="OX237"/>
      <c r="OY237"/>
      <c r="OZ237"/>
      <c r="PA237"/>
      <c r="PB237"/>
      <c r="PC237"/>
      <c r="PD237"/>
      <c r="PE237"/>
      <c r="PF237"/>
      <c r="PG237"/>
      <c r="PH237"/>
      <c r="PI237"/>
      <c r="PJ237"/>
      <c r="PK237"/>
      <c r="PL237"/>
      <c r="PM237"/>
      <c r="PN237"/>
      <c r="PO237"/>
      <c r="PP237"/>
      <c r="PQ237"/>
      <c r="PR237"/>
      <c r="PS237"/>
      <c r="PT237"/>
      <c r="PU237"/>
      <c r="PV237"/>
      <c r="PW237"/>
      <c r="PX237"/>
      <c r="PY237"/>
      <c r="PZ237"/>
      <c r="QA237"/>
      <c r="QB237"/>
      <c r="QC237"/>
      <c r="QD237"/>
      <c r="QE237"/>
      <c r="QF237"/>
      <c r="QG237"/>
      <c r="QH237"/>
      <c r="QI237"/>
      <c r="QJ237"/>
      <c r="QK237"/>
      <c r="QL237"/>
      <c r="QM237"/>
      <c r="QN237"/>
      <c r="QO237"/>
      <c r="QP237"/>
      <c r="QQ237"/>
      <c r="QR237"/>
      <c r="QS237"/>
      <c r="QT237"/>
      <c r="QU237"/>
      <c r="QV237"/>
      <c r="QW237"/>
      <c r="QX237"/>
      <c r="QY237"/>
      <c r="QZ237"/>
      <c r="RA237"/>
      <c r="RB237"/>
      <c r="RC237"/>
      <c r="RD237"/>
      <c r="RE237"/>
      <c r="RF237"/>
      <c r="RG237"/>
      <c r="RH237"/>
      <c r="RI237"/>
      <c r="RJ237"/>
      <c r="RK237"/>
      <c r="RL237"/>
      <c r="RM237"/>
      <c r="RN237"/>
      <c r="RO237"/>
      <c r="RP237"/>
      <c r="RQ237"/>
      <c r="RR237"/>
      <c r="RS237"/>
      <c r="RT237"/>
      <c r="RU237"/>
      <c r="RV237"/>
      <c r="RW237"/>
      <c r="RX237"/>
      <c r="RY237"/>
      <c r="RZ237"/>
      <c r="SA237"/>
      <c r="SB237"/>
      <c r="SC237"/>
      <c r="SD237"/>
      <c r="SE237"/>
      <c r="SF237"/>
      <c r="SG237"/>
      <c r="SH237"/>
      <c r="SI237"/>
      <c r="SJ237"/>
      <c r="SK237"/>
      <c r="SL237"/>
      <c r="SM237"/>
      <c r="SN237"/>
      <c r="SO237"/>
      <c r="SP237"/>
      <c r="SQ237"/>
      <c r="SR237"/>
      <c r="SS237"/>
      <c r="ST237"/>
      <c r="SU237"/>
      <c r="SV237"/>
      <c r="SW237"/>
      <c r="SX237"/>
      <c r="SY237"/>
      <c r="SZ237"/>
      <c r="TA237"/>
      <c r="TB237"/>
      <c r="TC237"/>
      <c r="TD237"/>
      <c r="TE237"/>
      <c r="TF237"/>
      <c r="TG237"/>
      <c r="TH237"/>
    </row>
    <row r="238" spans="3:528" x14ac:dyDescent="0.25">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c r="PC238"/>
      <c r="PD238"/>
      <c r="PE238"/>
      <c r="PF238"/>
      <c r="PG238"/>
      <c r="PH238"/>
      <c r="PI238"/>
      <c r="PJ238"/>
      <c r="PK238"/>
      <c r="PL238"/>
      <c r="PM238"/>
      <c r="PN238"/>
      <c r="PO238"/>
      <c r="PP238"/>
      <c r="PQ238"/>
      <c r="PR238"/>
      <c r="PS238"/>
      <c r="PT238"/>
      <c r="PU238"/>
      <c r="PV238"/>
      <c r="PW238"/>
      <c r="PX238"/>
      <c r="PY238"/>
      <c r="PZ238"/>
      <c r="QA238"/>
      <c r="QB238"/>
      <c r="QC238"/>
      <c r="QD238"/>
      <c r="QE238"/>
      <c r="QF238"/>
      <c r="QG238"/>
      <c r="QH238"/>
      <c r="QI238"/>
      <c r="QJ238"/>
      <c r="QK238"/>
      <c r="QL238"/>
      <c r="QM238"/>
      <c r="QN238"/>
      <c r="QO238"/>
      <c r="QP238"/>
      <c r="QQ238"/>
      <c r="QR238"/>
      <c r="QS238"/>
      <c r="QT238"/>
      <c r="QU238"/>
      <c r="QV238"/>
      <c r="QW238"/>
      <c r="QX238"/>
      <c r="QY238"/>
      <c r="QZ238"/>
      <c r="RA238"/>
      <c r="RB238"/>
      <c r="RC238"/>
      <c r="RD238"/>
      <c r="RE238"/>
      <c r="RF238"/>
      <c r="RG238"/>
      <c r="RH238"/>
      <c r="RI238"/>
      <c r="RJ238"/>
      <c r="RK238"/>
      <c r="RL238"/>
      <c r="RM238"/>
      <c r="RN238"/>
      <c r="RO238"/>
      <c r="RP238"/>
      <c r="RQ238"/>
      <c r="RR238"/>
      <c r="RS238"/>
      <c r="RT238"/>
      <c r="RU238"/>
      <c r="RV238"/>
      <c r="RW238"/>
      <c r="RX238"/>
      <c r="RY238"/>
      <c r="RZ238"/>
      <c r="SA238"/>
      <c r="SB238"/>
      <c r="SC238"/>
      <c r="SD238"/>
      <c r="SE238"/>
      <c r="SF238"/>
      <c r="SG238"/>
      <c r="SH238"/>
      <c r="SI238"/>
      <c r="SJ238"/>
      <c r="SK238"/>
      <c r="SL238"/>
      <c r="SM238"/>
      <c r="SN238"/>
      <c r="SO238"/>
      <c r="SP238"/>
      <c r="SQ238"/>
      <c r="SR238"/>
      <c r="SS238"/>
      <c r="ST238"/>
      <c r="SU238"/>
      <c r="SV238"/>
      <c r="SW238"/>
      <c r="SX238"/>
      <c r="SY238"/>
      <c r="SZ238"/>
      <c r="TA238"/>
      <c r="TB238"/>
      <c r="TC238"/>
      <c r="TD238"/>
      <c r="TE238"/>
      <c r="TF238"/>
      <c r="TG238"/>
      <c r="TH238"/>
    </row>
    <row r="239" spans="3:528" x14ac:dyDescent="0.25">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c r="PC239"/>
      <c r="PD239"/>
      <c r="PE239"/>
      <c r="PF239"/>
      <c r="PG239"/>
      <c r="PH239"/>
      <c r="PI239"/>
      <c r="PJ239"/>
      <c r="PK239"/>
      <c r="PL239"/>
      <c r="PM239"/>
      <c r="PN239"/>
      <c r="PO239"/>
      <c r="PP239"/>
      <c r="PQ239"/>
      <c r="PR239"/>
      <c r="PS239"/>
      <c r="PT239"/>
      <c r="PU239"/>
      <c r="PV239"/>
      <c r="PW239"/>
      <c r="PX239"/>
      <c r="PY239"/>
      <c r="PZ239"/>
      <c r="QA239"/>
      <c r="QB239"/>
      <c r="QC239"/>
      <c r="QD239"/>
      <c r="QE239"/>
      <c r="QF239"/>
      <c r="QG239"/>
      <c r="QH239"/>
      <c r="QI239"/>
      <c r="QJ239"/>
      <c r="QK239"/>
      <c r="QL239"/>
      <c r="QM239"/>
      <c r="QN239"/>
      <c r="QO239"/>
      <c r="QP239"/>
      <c r="QQ239"/>
      <c r="QR239"/>
      <c r="QS239"/>
      <c r="QT239"/>
      <c r="QU239"/>
      <c r="QV239"/>
      <c r="QW239"/>
      <c r="QX239"/>
      <c r="QY239"/>
      <c r="QZ239"/>
      <c r="RA239"/>
      <c r="RB239"/>
      <c r="RC239"/>
      <c r="RD239"/>
      <c r="RE239"/>
      <c r="RF239"/>
      <c r="RG239"/>
      <c r="RH239"/>
      <c r="RI239"/>
      <c r="RJ239"/>
      <c r="RK239"/>
      <c r="RL239"/>
      <c r="RM239"/>
      <c r="RN239"/>
      <c r="RO239"/>
      <c r="RP239"/>
      <c r="RQ239"/>
      <c r="RR239"/>
      <c r="RS239"/>
      <c r="RT239"/>
      <c r="RU239"/>
      <c r="RV239"/>
      <c r="RW239"/>
      <c r="RX239"/>
      <c r="RY239"/>
      <c r="RZ239"/>
      <c r="SA239"/>
      <c r="SB239"/>
      <c r="SC239"/>
      <c r="SD239"/>
      <c r="SE239"/>
      <c r="SF239"/>
      <c r="SG239"/>
      <c r="SH239"/>
      <c r="SI239"/>
      <c r="SJ239"/>
      <c r="SK239"/>
      <c r="SL239"/>
      <c r="SM239"/>
      <c r="SN239"/>
      <c r="SO239"/>
      <c r="SP239"/>
      <c r="SQ239"/>
      <c r="SR239"/>
      <c r="SS239"/>
      <c r="ST239"/>
      <c r="SU239"/>
      <c r="SV239"/>
      <c r="SW239"/>
      <c r="SX239"/>
      <c r="SY239"/>
      <c r="SZ239"/>
      <c r="TA239"/>
      <c r="TB239"/>
      <c r="TC239"/>
      <c r="TD239"/>
      <c r="TE239"/>
      <c r="TF239"/>
      <c r="TG239"/>
      <c r="TH239"/>
    </row>
    <row r="240" spans="3:528" x14ac:dyDescent="0.25">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c r="PC240"/>
      <c r="PD240"/>
      <c r="PE240"/>
      <c r="PF240"/>
      <c r="PG240"/>
      <c r="PH240"/>
      <c r="PI240"/>
      <c r="PJ240"/>
      <c r="PK240"/>
      <c r="PL240"/>
      <c r="PM240"/>
      <c r="PN240"/>
      <c r="PO240"/>
      <c r="PP240"/>
      <c r="PQ240"/>
      <c r="PR240"/>
      <c r="PS240"/>
      <c r="PT240"/>
      <c r="PU240"/>
      <c r="PV240"/>
      <c r="PW240"/>
      <c r="PX240"/>
      <c r="PY240"/>
      <c r="PZ240"/>
      <c r="QA240"/>
      <c r="QB240"/>
      <c r="QC240"/>
      <c r="QD240"/>
      <c r="QE240"/>
      <c r="QF240"/>
      <c r="QG240"/>
      <c r="QH240"/>
      <c r="QI240"/>
      <c r="QJ240"/>
      <c r="QK240"/>
      <c r="QL240"/>
      <c r="QM240"/>
      <c r="QN240"/>
      <c r="QO240"/>
      <c r="QP240"/>
      <c r="QQ240"/>
      <c r="QR240"/>
      <c r="QS240"/>
      <c r="QT240"/>
      <c r="QU240"/>
      <c r="QV240"/>
      <c r="QW240"/>
      <c r="QX240"/>
      <c r="QY240"/>
      <c r="QZ240"/>
      <c r="RA240"/>
      <c r="RB240"/>
      <c r="RC240"/>
      <c r="RD240"/>
      <c r="RE240"/>
      <c r="RF240"/>
      <c r="RG240"/>
      <c r="RH240"/>
      <c r="RI240"/>
      <c r="RJ240"/>
      <c r="RK240"/>
      <c r="RL240"/>
      <c r="RM240"/>
      <c r="RN240"/>
      <c r="RO240"/>
      <c r="RP240"/>
      <c r="RQ240"/>
      <c r="RR240"/>
      <c r="RS240"/>
      <c r="RT240"/>
      <c r="RU240"/>
      <c r="RV240"/>
      <c r="RW240"/>
      <c r="RX240"/>
      <c r="RY240"/>
      <c r="RZ240"/>
      <c r="SA240"/>
      <c r="SB240"/>
      <c r="SC240"/>
      <c r="SD240"/>
      <c r="SE240"/>
      <c r="SF240"/>
      <c r="SG240"/>
      <c r="SH240"/>
      <c r="SI240"/>
      <c r="SJ240"/>
      <c r="SK240"/>
      <c r="SL240"/>
      <c r="SM240"/>
      <c r="SN240"/>
      <c r="SO240"/>
      <c r="SP240"/>
      <c r="SQ240"/>
      <c r="SR240"/>
      <c r="SS240"/>
      <c r="ST240"/>
      <c r="SU240"/>
      <c r="SV240"/>
      <c r="SW240"/>
      <c r="SX240"/>
      <c r="SY240"/>
      <c r="SZ240"/>
      <c r="TA240"/>
      <c r="TB240"/>
      <c r="TC240"/>
      <c r="TD240"/>
      <c r="TE240"/>
      <c r="TF240"/>
      <c r="TG240"/>
      <c r="TH240"/>
    </row>
    <row r="241" spans="3:528" x14ac:dyDescent="0.25">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c r="PC241"/>
      <c r="PD241"/>
      <c r="PE241"/>
      <c r="PF241"/>
      <c r="PG241"/>
      <c r="PH241"/>
      <c r="PI241"/>
      <c r="PJ241"/>
      <c r="PK241"/>
      <c r="PL241"/>
      <c r="PM241"/>
      <c r="PN241"/>
      <c r="PO241"/>
      <c r="PP241"/>
      <c r="PQ241"/>
      <c r="PR241"/>
      <c r="PS241"/>
      <c r="PT241"/>
      <c r="PU241"/>
      <c r="PV241"/>
      <c r="PW241"/>
      <c r="PX241"/>
      <c r="PY241"/>
      <c r="PZ241"/>
      <c r="QA241"/>
      <c r="QB241"/>
      <c r="QC241"/>
      <c r="QD241"/>
      <c r="QE241"/>
      <c r="QF241"/>
      <c r="QG241"/>
      <c r="QH241"/>
      <c r="QI241"/>
      <c r="QJ241"/>
      <c r="QK241"/>
      <c r="QL241"/>
      <c r="QM241"/>
      <c r="QN241"/>
      <c r="QO241"/>
      <c r="QP241"/>
      <c r="QQ241"/>
      <c r="QR241"/>
      <c r="QS241"/>
      <c r="QT241"/>
      <c r="QU241"/>
      <c r="QV241"/>
      <c r="QW241"/>
      <c r="QX241"/>
      <c r="QY241"/>
      <c r="QZ241"/>
      <c r="RA241"/>
      <c r="RB241"/>
      <c r="RC241"/>
      <c r="RD241"/>
      <c r="RE241"/>
      <c r="RF241"/>
      <c r="RG241"/>
      <c r="RH241"/>
      <c r="RI241"/>
      <c r="RJ241"/>
      <c r="RK241"/>
      <c r="RL241"/>
      <c r="RM241"/>
      <c r="RN241"/>
      <c r="RO241"/>
      <c r="RP241"/>
      <c r="RQ241"/>
      <c r="RR241"/>
      <c r="RS241"/>
      <c r="RT241"/>
      <c r="RU241"/>
      <c r="RV241"/>
      <c r="RW241"/>
      <c r="RX241"/>
      <c r="RY241"/>
      <c r="RZ241"/>
      <c r="SA241"/>
      <c r="SB241"/>
      <c r="SC241"/>
      <c r="SD241"/>
      <c r="SE241"/>
      <c r="SF241"/>
      <c r="SG241"/>
      <c r="SH241"/>
      <c r="SI241"/>
      <c r="SJ241"/>
      <c r="SK241"/>
      <c r="SL241"/>
      <c r="SM241"/>
      <c r="SN241"/>
      <c r="SO241"/>
      <c r="SP241"/>
      <c r="SQ241"/>
      <c r="SR241"/>
      <c r="SS241"/>
      <c r="ST241"/>
      <c r="SU241"/>
      <c r="SV241"/>
      <c r="SW241"/>
      <c r="SX241"/>
      <c r="SY241"/>
      <c r="SZ241"/>
      <c r="TA241"/>
      <c r="TB241"/>
      <c r="TC241"/>
      <c r="TD241"/>
      <c r="TE241"/>
      <c r="TF241"/>
      <c r="TG241"/>
      <c r="TH241"/>
    </row>
    <row r="242" spans="3:528" x14ac:dyDescent="0.25">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c r="PC242"/>
      <c r="PD242"/>
      <c r="PE242"/>
      <c r="PF242"/>
      <c r="PG242"/>
      <c r="PH242"/>
      <c r="PI242"/>
      <c r="PJ242"/>
      <c r="PK242"/>
      <c r="PL242"/>
      <c r="PM242"/>
      <c r="PN242"/>
      <c r="PO242"/>
      <c r="PP242"/>
      <c r="PQ242"/>
      <c r="PR242"/>
      <c r="PS242"/>
      <c r="PT242"/>
      <c r="PU242"/>
      <c r="PV242"/>
      <c r="PW242"/>
      <c r="PX242"/>
      <c r="PY242"/>
      <c r="PZ242"/>
      <c r="QA242"/>
      <c r="QB242"/>
      <c r="QC242"/>
      <c r="QD242"/>
      <c r="QE242"/>
      <c r="QF242"/>
      <c r="QG242"/>
      <c r="QH242"/>
      <c r="QI242"/>
      <c r="QJ242"/>
      <c r="QK242"/>
      <c r="QL242"/>
      <c r="QM242"/>
      <c r="QN242"/>
      <c r="QO242"/>
      <c r="QP242"/>
      <c r="QQ242"/>
      <c r="QR242"/>
      <c r="QS242"/>
      <c r="QT242"/>
      <c r="QU242"/>
      <c r="QV242"/>
      <c r="QW242"/>
      <c r="QX242"/>
      <c r="QY242"/>
      <c r="QZ242"/>
      <c r="RA242"/>
      <c r="RB242"/>
      <c r="RC242"/>
      <c r="RD242"/>
      <c r="RE242"/>
      <c r="RF242"/>
      <c r="RG242"/>
      <c r="RH242"/>
      <c r="RI242"/>
      <c r="RJ242"/>
      <c r="RK242"/>
      <c r="RL242"/>
      <c r="RM242"/>
      <c r="RN242"/>
      <c r="RO242"/>
      <c r="RP242"/>
      <c r="RQ242"/>
      <c r="RR242"/>
      <c r="RS242"/>
      <c r="RT242"/>
      <c r="RU242"/>
      <c r="RV242"/>
      <c r="RW242"/>
      <c r="RX242"/>
      <c r="RY242"/>
      <c r="RZ242"/>
      <c r="SA242"/>
      <c r="SB242"/>
      <c r="SC242"/>
      <c r="SD242"/>
      <c r="SE242"/>
      <c r="SF242"/>
      <c r="SG242"/>
      <c r="SH242"/>
      <c r="SI242"/>
      <c r="SJ242"/>
      <c r="SK242"/>
      <c r="SL242"/>
      <c r="SM242"/>
      <c r="SN242"/>
      <c r="SO242"/>
      <c r="SP242"/>
      <c r="SQ242"/>
      <c r="SR242"/>
      <c r="SS242"/>
      <c r="ST242"/>
      <c r="SU242"/>
      <c r="SV242"/>
      <c r="SW242"/>
      <c r="SX242"/>
      <c r="SY242"/>
      <c r="SZ242"/>
      <c r="TA242"/>
      <c r="TB242"/>
      <c r="TC242"/>
      <c r="TD242"/>
      <c r="TE242"/>
      <c r="TF242"/>
      <c r="TG242"/>
      <c r="TH242"/>
    </row>
    <row r="243" spans="3:528" x14ac:dyDescent="0.25">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row>
    <row r="244" spans="3:528" x14ac:dyDescent="0.25">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c r="PC244"/>
      <c r="PD244"/>
      <c r="PE244"/>
      <c r="PF244"/>
      <c r="PG244"/>
      <c r="PH244"/>
      <c r="PI244"/>
      <c r="PJ244"/>
      <c r="PK244"/>
      <c r="PL244"/>
      <c r="PM244"/>
      <c r="PN244"/>
      <c r="PO244"/>
      <c r="PP244"/>
      <c r="PQ244"/>
      <c r="PR244"/>
      <c r="PS244"/>
      <c r="PT244"/>
      <c r="PU244"/>
      <c r="PV244"/>
      <c r="PW244"/>
      <c r="PX244"/>
      <c r="PY244"/>
      <c r="PZ244"/>
      <c r="QA244"/>
      <c r="QB244"/>
      <c r="QC244"/>
      <c r="QD244"/>
      <c r="QE244"/>
      <c r="QF244"/>
      <c r="QG244"/>
      <c r="QH244"/>
      <c r="QI244"/>
      <c r="QJ244"/>
      <c r="QK244"/>
      <c r="QL244"/>
      <c r="QM244"/>
      <c r="QN244"/>
      <c r="QO244"/>
      <c r="QP244"/>
      <c r="QQ244"/>
      <c r="QR244"/>
      <c r="QS244"/>
      <c r="QT244"/>
      <c r="QU244"/>
      <c r="QV244"/>
      <c r="QW244"/>
      <c r="QX244"/>
      <c r="QY244"/>
      <c r="QZ244"/>
      <c r="RA244"/>
      <c r="RB244"/>
      <c r="RC244"/>
      <c r="RD244"/>
      <c r="RE244"/>
      <c r="RF244"/>
      <c r="RG244"/>
      <c r="RH244"/>
      <c r="RI244"/>
      <c r="RJ244"/>
      <c r="RK244"/>
      <c r="RL244"/>
      <c r="RM244"/>
      <c r="RN244"/>
      <c r="RO244"/>
      <c r="RP244"/>
      <c r="RQ244"/>
      <c r="RR244"/>
      <c r="RS244"/>
      <c r="RT244"/>
      <c r="RU244"/>
      <c r="RV244"/>
      <c r="RW244"/>
      <c r="RX244"/>
      <c r="RY244"/>
      <c r="RZ244"/>
      <c r="SA244"/>
      <c r="SB244"/>
      <c r="SC244"/>
      <c r="SD244"/>
      <c r="SE244"/>
      <c r="SF244"/>
      <c r="SG244"/>
      <c r="SH244"/>
      <c r="SI244"/>
      <c r="SJ244"/>
      <c r="SK244"/>
      <c r="SL244"/>
      <c r="SM244"/>
      <c r="SN244"/>
      <c r="SO244"/>
      <c r="SP244"/>
      <c r="SQ244"/>
      <c r="SR244"/>
      <c r="SS244"/>
      <c r="ST244"/>
      <c r="SU244"/>
      <c r="SV244"/>
      <c r="SW244"/>
      <c r="SX244"/>
      <c r="SY244"/>
      <c r="SZ244"/>
      <c r="TA244"/>
      <c r="TB244"/>
      <c r="TC244"/>
      <c r="TD244"/>
      <c r="TE244"/>
      <c r="TF244"/>
      <c r="TG244"/>
      <c r="TH244"/>
    </row>
    <row r="245" spans="3:528" x14ac:dyDescent="0.2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c r="PC245"/>
      <c r="PD245"/>
      <c r="PE245"/>
      <c r="PF245"/>
      <c r="PG245"/>
      <c r="PH245"/>
      <c r="PI245"/>
      <c r="PJ245"/>
      <c r="PK245"/>
      <c r="PL245"/>
      <c r="PM245"/>
      <c r="PN245"/>
      <c r="PO245"/>
      <c r="PP245"/>
      <c r="PQ245"/>
      <c r="PR245"/>
      <c r="PS245"/>
      <c r="PT245"/>
      <c r="PU245"/>
      <c r="PV245"/>
      <c r="PW245"/>
      <c r="PX245"/>
      <c r="PY245"/>
      <c r="PZ245"/>
      <c r="QA245"/>
      <c r="QB245"/>
      <c r="QC245"/>
      <c r="QD245"/>
      <c r="QE245"/>
      <c r="QF245"/>
      <c r="QG245"/>
      <c r="QH245"/>
      <c r="QI245"/>
      <c r="QJ245"/>
      <c r="QK245"/>
      <c r="QL245"/>
      <c r="QM245"/>
      <c r="QN245"/>
      <c r="QO245"/>
      <c r="QP245"/>
      <c r="QQ245"/>
      <c r="QR245"/>
      <c r="QS245"/>
      <c r="QT245"/>
      <c r="QU245"/>
      <c r="QV245"/>
      <c r="QW245"/>
      <c r="QX245"/>
      <c r="QY245"/>
      <c r="QZ245"/>
      <c r="RA245"/>
      <c r="RB245"/>
      <c r="RC245"/>
      <c r="RD245"/>
      <c r="RE245"/>
      <c r="RF245"/>
      <c r="RG245"/>
      <c r="RH245"/>
      <c r="RI245"/>
      <c r="RJ245"/>
      <c r="RK245"/>
      <c r="RL245"/>
      <c r="RM245"/>
      <c r="RN245"/>
      <c r="RO245"/>
      <c r="RP245"/>
      <c r="RQ245"/>
      <c r="RR245"/>
      <c r="RS245"/>
      <c r="RT245"/>
      <c r="RU245"/>
      <c r="RV245"/>
      <c r="RW245"/>
      <c r="RX245"/>
      <c r="RY245"/>
      <c r="RZ245"/>
      <c r="SA245"/>
      <c r="SB245"/>
      <c r="SC245"/>
      <c r="SD245"/>
      <c r="SE245"/>
      <c r="SF245"/>
      <c r="SG245"/>
      <c r="SH245"/>
      <c r="SI245"/>
      <c r="SJ245"/>
      <c r="SK245"/>
      <c r="SL245"/>
      <c r="SM245"/>
      <c r="SN245"/>
      <c r="SO245"/>
      <c r="SP245"/>
      <c r="SQ245"/>
      <c r="SR245"/>
      <c r="SS245"/>
      <c r="ST245"/>
      <c r="SU245"/>
      <c r="SV245"/>
      <c r="SW245"/>
      <c r="SX245"/>
      <c r="SY245"/>
      <c r="SZ245"/>
      <c r="TA245"/>
      <c r="TB245"/>
      <c r="TC245"/>
      <c r="TD245"/>
      <c r="TE245"/>
      <c r="TF245"/>
      <c r="TG245"/>
      <c r="TH245"/>
    </row>
    <row r="246" spans="3:528" x14ac:dyDescent="0.25">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c r="PC246"/>
      <c r="PD246"/>
      <c r="PE246"/>
      <c r="PF246"/>
      <c r="PG246"/>
      <c r="PH246"/>
      <c r="PI246"/>
      <c r="PJ246"/>
      <c r="PK246"/>
      <c r="PL246"/>
      <c r="PM246"/>
      <c r="PN246"/>
      <c r="PO246"/>
      <c r="PP246"/>
      <c r="PQ246"/>
      <c r="PR246"/>
      <c r="PS246"/>
      <c r="PT246"/>
      <c r="PU246"/>
      <c r="PV246"/>
      <c r="PW246"/>
      <c r="PX246"/>
      <c r="PY246"/>
      <c r="PZ246"/>
      <c r="QA246"/>
      <c r="QB246"/>
      <c r="QC246"/>
      <c r="QD246"/>
      <c r="QE246"/>
      <c r="QF246"/>
      <c r="QG246"/>
      <c r="QH246"/>
      <c r="QI246"/>
      <c r="QJ246"/>
      <c r="QK246"/>
      <c r="QL246"/>
      <c r="QM246"/>
      <c r="QN246"/>
      <c r="QO246"/>
      <c r="QP246"/>
      <c r="QQ246"/>
      <c r="QR246"/>
      <c r="QS246"/>
      <c r="QT246"/>
      <c r="QU246"/>
      <c r="QV246"/>
      <c r="QW246"/>
      <c r="QX246"/>
      <c r="QY246"/>
      <c r="QZ246"/>
      <c r="RA246"/>
      <c r="RB246"/>
      <c r="RC246"/>
      <c r="RD246"/>
      <c r="RE246"/>
      <c r="RF246"/>
      <c r="RG246"/>
      <c r="RH246"/>
      <c r="RI246"/>
      <c r="RJ246"/>
      <c r="RK246"/>
      <c r="RL246"/>
      <c r="RM246"/>
      <c r="RN246"/>
      <c r="RO246"/>
      <c r="RP246"/>
      <c r="RQ246"/>
      <c r="RR246"/>
      <c r="RS246"/>
      <c r="RT246"/>
      <c r="RU246"/>
      <c r="RV246"/>
      <c r="RW246"/>
      <c r="RX246"/>
      <c r="RY246"/>
      <c r="RZ246"/>
      <c r="SA246"/>
      <c r="SB246"/>
      <c r="SC246"/>
      <c r="SD246"/>
      <c r="SE246"/>
      <c r="SF246"/>
      <c r="SG246"/>
      <c r="SH246"/>
      <c r="SI246"/>
      <c r="SJ246"/>
      <c r="SK246"/>
      <c r="SL246"/>
      <c r="SM246"/>
      <c r="SN246"/>
      <c r="SO246"/>
      <c r="SP246"/>
      <c r="SQ246"/>
      <c r="SR246"/>
      <c r="SS246"/>
      <c r="ST246"/>
      <c r="SU246"/>
      <c r="SV246"/>
      <c r="SW246"/>
      <c r="SX246"/>
      <c r="SY246"/>
      <c r="SZ246"/>
      <c r="TA246"/>
      <c r="TB246"/>
      <c r="TC246"/>
      <c r="TD246"/>
      <c r="TE246"/>
      <c r="TF246"/>
      <c r="TG246"/>
      <c r="TH246"/>
    </row>
    <row r="247" spans="3:528" x14ac:dyDescent="0.25">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c r="PC247"/>
      <c r="PD247"/>
      <c r="PE247"/>
      <c r="PF247"/>
      <c r="PG247"/>
      <c r="PH247"/>
      <c r="PI247"/>
      <c r="PJ247"/>
      <c r="PK247"/>
      <c r="PL247"/>
      <c r="PM247"/>
      <c r="PN247"/>
      <c r="PO247"/>
      <c r="PP247"/>
      <c r="PQ247"/>
      <c r="PR247"/>
      <c r="PS247"/>
      <c r="PT247"/>
      <c r="PU247"/>
      <c r="PV247"/>
      <c r="PW247"/>
      <c r="PX247"/>
      <c r="PY247"/>
      <c r="PZ247"/>
      <c r="QA247"/>
      <c r="QB247"/>
      <c r="QC247"/>
      <c r="QD247"/>
      <c r="QE247"/>
      <c r="QF247"/>
      <c r="QG247"/>
      <c r="QH247"/>
      <c r="QI247"/>
      <c r="QJ247"/>
      <c r="QK247"/>
      <c r="QL247"/>
      <c r="QM247"/>
      <c r="QN247"/>
      <c r="QO247"/>
      <c r="QP247"/>
      <c r="QQ247"/>
      <c r="QR247"/>
      <c r="QS247"/>
      <c r="QT247"/>
      <c r="QU247"/>
      <c r="QV247"/>
      <c r="QW247"/>
      <c r="QX247"/>
      <c r="QY247"/>
      <c r="QZ247"/>
      <c r="RA247"/>
      <c r="RB247"/>
      <c r="RC247"/>
      <c r="RD247"/>
      <c r="RE247"/>
      <c r="RF247"/>
      <c r="RG247"/>
      <c r="RH247"/>
      <c r="RI247"/>
      <c r="RJ247"/>
      <c r="RK247"/>
      <c r="RL247"/>
      <c r="RM247"/>
      <c r="RN247"/>
      <c r="RO247"/>
      <c r="RP247"/>
      <c r="RQ247"/>
      <c r="RR247"/>
      <c r="RS247"/>
      <c r="RT247"/>
      <c r="RU247"/>
      <c r="RV247"/>
      <c r="RW247"/>
      <c r="RX247"/>
      <c r="RY247"/>
      <c r="RZ247"/>
      <c r="SA247"/>
      <c r="SB247"/>
      <c r="SC247"/>
      <c r="SD247"/>
      <c r="SE247"/>
      <c r="SF247"/>
      <c r="SG247"/>
      <c r="SH247"/>
      <c r="SI247"/>
      <c r="SJ247"/>
      <c r="SK247"/>
      <c r="SL247"/>
      <c r="SM247"/>
      <c r="SN247"/>
      <c r="SO247"/>
      <c r="SP247"/>
      <c r="SQ247"/>
      <c r="SR247"/>
      <c r="SS247"/>
      <c r="ST247"/>
      <c r="SU247"/>
      <c r="SV247"/>
      <c r="SW247"/>
      <c r="SX247"/>
      <c r="SY247"/>
      <c r="SZ247"/>
      <c r="TA247"/>
      <c r="TB247"/>
      <c r="TC247"/>
      <c r="TD247"/>
      <c r="TE247"/>
      <c r="TF247"/>
      <c r="TG247"/>
      <c r="TH247"/>
    </row>
    <row r="248" spans="3:528" x14ac:dyDescent="0.25">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c r="PC248"/>
      <c r="PD248"/>
      <c r="PE248"/>
      <c r="PF248"/>
      <c r="PG248"/>
      <c r="PH248"/>
      <c r="PI248"/>
      <c r="PJ248"/>
      <c r="PK248"/>
      <c r="PL248"/>
      <c r="PM248"/>
      <c r="PN248"/>
      <c r="PO248"/>
      <c r="PP248"/>
      <c r="PQ248"/>
      <c r="PR248"/>
      <c r="PS248"/>
      <c r="PT248"/>
      <c r="PU248"/>
      <c r="PV248"/>
      <c r="PW248"/>
      <c r="PX248"/>
      <c r="PY248"/>
      <c r="PZ248"/>
      <c r="QA248"/>
      <c r="QB248"/>
      <c r="QC248"/>
      <c r="QD248"/>
      <c r="QE248"/>
      <c r="QF248"/>
      <c r="QG248"/>
      <c r="QH248"/>
      <c r="QI248"/>
      <c r="QJ248"/>
      <c r="QK248"/>
      <c r="QL248"/>
      <c r="QM248"/>
      <c r="QN248"/>
      <c r="QO248"/>
      <c r="QP248"/>
      <c r="QQ248"/>
      <c r="QR248"/>
      <c r="QS248"/>
      <c r="QT248"/>
      <c r="QU248"/>
      <c r="QV248"/>
      <c r="QW248"/>
      <c r="QX248"/>
      <c r="QY248"/>
      <c r="QZ248"/>
      <c r="RA248"/>
      <c r="RB248"/>
      <c r="RC248"/>
      <c r="RD248"/>
      <c r="RE248"/>
      <c r="RF248"/>
      <c r="RG248"/>
      <c r="RH248"/>
      <c r="RI248"/>
      <c r="RJ248"/>
      <c r="RK248"/>
      <c r="RL248"/>
      <c r="RM248"/>
      <c r="RN248"/>
      <c r="RO248"/>
      <c r="RP248"/>
      <c r="RQ248"/>
      <c r="RR248"/>
      <c r="RS248"/>
      <c r="RT248"/>
      <c r="RU248"/>
      <c r="RV248"/>
      <c r="RW248"/>
      <c r="RX248"/>
      <c r="RY248"/>
      <c r="RZ248"/>
      <c r="SA248"/>
      <c r="SB248"/>
      <c r="SC248"/>
      <c r="SD248"/>
      <c r="SE248"/>
      <c r="SF248"/>
      <c r="SG248"/>
      <c r="SH248"/>
      <c r="SI248"/>
      <c r="SJ248"/>
      <c r="SK248"/>
      <c r="SL248"/>
      <c r="SM248"/>
      <c r="SN248"/>
      <c r="SO248"/>
      <c r="SP248"/>
      <c r="SQ248"/>
      <c r="SR248"/>
      <c r="SS248"/>
      <c r="ST248"/>
      <c r="SU248"/>
      <c r="SV248"/>
      <c r="SW248"/>
      <c r="SX248"/>
      <c r="SY248"/>
      <c r="SZ248"/>
      <c r="TA248"/>
      <c r="TB248"/>
      <c r="TC248"/>
      <c r="TD248"/>
      <c r="TE248"/>
      <c r="TF248"/>
      <c r="TG248"/>
      <c r="TH248"/>
    </row>
    <row r="249" spans="3:528" x14ac:dyDescent="0.25">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c r="PC249"/>
      <c r="PD249"/>
      <c r="PE249"/>
      <c r="PF249"/>
      <c r="PG249"/>
      <c r="PH249"/>
      <c r="PI249"/>
      <c r="PJ249"/>
      <c r="PK249"/>
      <c r="PL249"/>
      <c r="PM249"/>
      <c r="PN249"/>
      <c r="PO249"/>
      <c r="PP249"/>
      <c r="PQ249"/>
      <c r="PR249"/>
      <c r="PS249"/>
      <c r="PT249"/>
      <c r="PU249"/>
      <c r="PV249"/>
      <c r="PW249"/>
      <c r="PX249"/>
      <c r="PY249"/>
      <c r="PZ249"/>
      <c r="QA249"/>
      <c r="QB249"/>
      <c r="QC249"/>
      <c r="QD249"/>
      <c r="QE249"/>
      <c r="QF249"/>
      <c r="QG249"/>
      <c r="QH249"/>
      <c r="QI249"/>
      <c r="QJ249"/>
      <c r="QK249"/>
      <c r="QL249"/>
      <c r="QM249"/>
      <c r="QN249"/>
      <c r="QO249"/>
      <c r="QP249"/>
      <c r="QQ249"/>
      <c r="QR249"/>
      <c r="QS249"/>
      <c r="QT249"/>
      <c r="QU249"/>
      <c r="QV249"/>
      <c r="QW249"/>
      <c r="QX249"/>
      <c r="QY249"/>
      <c r="QZ249"/>
      <c r="RA249"/>
      <c r="RB249"/>
      <c r="RC249"/>
      <c r="RD249"/>
      <c r="RE249"/>
      <c r="RF249"/>
      <c r="RG249"/>
      <c r="RH249"/>
      <c r="RI249"/>
      <c r="RJ249"/>
      <c r="RK249"/>
      <c r="RL249"/>
      <c r="RM249"/>
      <c r="RN249"/>
      <c r="RO249"/>
      <c r="RP249"/>
      <c r="RQ249"/>
      <c r="RR249"/>
      <c r="RS249"/>
      <c r="RT249"/>
      <c r="RU249"/>
      <c r="RV249"/>
      <c r="RW249"/>
      <c r="RX249"/>
      <c r="RY249"/>
      <c r="RZ249"/>
      <c r="SA249"/>
      <c r="SB249"/>
      <c r="SC249"/>
      <c r="SD249"/>
      <c r="SE249"/>
      <c r="SF249"/>
      <c r="SG249"/>
      <c r="SH249"/>
      <c r="SI249"/>
      <c r="SJ249"/>
      <c r="SK249"/>
      <c r="SL249"/>
      <c r="SM249"/>
      <c r="SN249"/>
      <c r="SO249"/>
      <c r="SP249"/>
      <c r="SQ249"/>
      <c r="SR249"/>
      <c r="SS249"/>
      <c r="ST249"/>
      <c r="SU249"/>
      <c r="SV249"/>
      <c r="SW249"/>
      <c r="SX249"/>
      <c r="SY249"/>
      <c r="SZ249"/>
      <c r="TA249"/>
      <c r="TB249"/>
      <c r="TC249"/>
      <c r="TD249"/>
      <c r="TE249"/>
      <c r="TF249"/>
      <c r="TG249"/>
      <c r="TH249"/>
    </row>
    <row r="250" spans="3:528" x14ac:dyDescent="0.25">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c r="PC250"/>
      <c r="PD250"/>
      <c r="PE250"/>
      <c r="PF250"/>
      <c r="PG250"/>
      <c r="PH250"/>
      <c r="PI250"/>
      <c r="PJ250"/>
      <c r="PK250"/>
      <c r="PL250"/>
      <c r="PM250"/>
      <c r="PN250"/>
      <c r="PO250"/>
      <c r="PP250"/>
      <c r="PQ250"/>
      <c r="PR250"/>
      <c r="PS250"/>
      <c r="PT250"/>
      <c r="PU250"/>
      <c r="PV250"/>
      <c r="PW250"/>
      <c r="PX250"/>
      <c r="PY250"/>
      <c r="PZ250"/>
      <c r="QA250"/>
      <c r="QB250"/>
      <c r="QC250"/>
      <c r="QD250"/>
      <c r="QE250"/>
      <c r="QF250"/>
      <c r="QG250"/>
      <c r="QH250"/>
      <c r="QI250"/>
      <c r="QJ250"/>
      <c r="QK250"/>
      <c r="QL250"/>
      <c r="QM250"/>
      <c r="QN250"/>
      <c r="QO250"/>
      <c r="QP250"/>
      <c r="QQ250"/>
      <c r="QR250"/>
      <c r="QS250"/>
      <c r="QT250"/>
      <c r="QU250"/>
      <c r="QV250"/>
      <c r="QW250"/>
      <c r="QX250"/>
      <c r="QY250"/>
      <c r="QZ250"/>
      <c r="RA250"/>
      <c r="RB250"/>
      <c r="RC250"/>
      <c r="RD250"/>
      <c r="RE250"/>
      <c r="RF250"/>
      <c r="RG250"/>
      <c r="RH250"/>
      <c r="RI250"/>
      <c r="RJ250"/>
      <c r="RK250"/>
      <c r="RL250"/>
      <c r="RM250"/>
      <c r="RN250"/>
      <c r="RO250"/>
      <c r="RP250"/>
      <c r="RQ250"/>
      <c r="RR250"/>
      <c r="RS250"/>
      <c r="RT250"/>
      <c r="RU250"/>
      <c r="RV250"/>
      <c r="RW250"/>
      <c r="RX250"/>
      <c r="RY250"/>
      <c r="RZ250"/>
      <c r="SA250"/>
      <c r="SB250"/>
      <c r="SC250"/>
      <c r="SD250"/>
      <c r="SE250"/>
      <c r="SF250"/>
      <c r="SG250"/>
      <c r="SH250"/>
      <c r="SI250"/>
      <c r="SJ250"/>
      <c r="SK250"/>
      <c r="SL250"/>
      <c r="SM250"/>
      <c r="SN250"/>
      <c r="SO250"/>
      <c r="SP250"/>
      <c r="SQ250"/>
      <c r="SR250"/>
      <c r="SS250"/>
      <c r="ST250"/>
      <c r="SU250"/>
      <c r="SV250"/>
      <c r="SW250"/>
      <c r="SX250"/>
      <c r="SY250"/>
      <c r="SZ250"/>
      <c r="TA250"/>
      <c r="TB250"/>
      <c r="TC250"/>
      <c r="TD250"/>
      <c r="TE250"/>
      <c r="TF250"/>
      <c r="TG250"/>
      <c r="TH250"/>
    </row>
    <row r="251" spans="3:528" x14ac:dyDescent="0.25">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c r="PC251"/>
      <c r="PD251"/>
      <c r="PE251"/>
      <c r="PF251"/>
      <c r="PG251"/>
      <c r="PH251"/>
      <c r="PI251"/>
      <c r="PJ251"/>
      <c r="PK251"/>
      <c r="PL251"/>
      <c r="PM251"/>
      <c r="PN251"/>
      <c r="PO251"/>
      <c r="PP251"/>
      <c r="PQ251"/>
      <c r="PR251"/>
      <c r="PS251"/>
      <c r="PT251"/>
      <c r="PU251"/>
      <c r="PV251"/>
      <c r="PW251"/>
      <c r="PX251"/>
      <c r="PY251"/>
      <c r="PZ251"/>
      <c r="QA251"/>
      <c r="QB251"/>
      <c r="QC251"/>
      <c r="QD251"/>
      <c r="QE251"/>
      <c r="QF251"/>
      <c r="QG251"/>
      <c r="QH251"/>
      <c r="QI251"/>
      <c r="QJ251"/>
      <c r="QK251"/>
      <c r="QL251"/>
      <c r="QM251"/>
      <c r="QN251"/>
      <c r="QO251"/>
      <c r="QP251"/>
      <c r="QQ251"/>
      <c r="QR251"/>
      <c r="QS251"/>
      <c r="QT251"/>
      <c r="QU251"/>
      <c r="QV251"/>
      <c r="QW251"/>
      <c r="QX251"/>
      <c r="QY251"/>
      <c r="QZ251"/>
      <c r="RA251"/>
      <c r="RB251"/>
      <c r="RC251"/>
      <c r="RD251"/>
      <c r="RE251"/>
      <c r="RF251"/>
      <c r="RG251"/>
      <c r="RH251"/>
      <c r="RI251"/>
      <c r="RJ251"/>
      <c r="RK251"/>
      <c r="RL251"/>
      <c r="RM251"/>
      <c r="RN251"/>
      <c r="RO251"/>
      <c r="RP251"/>
      <c r="RQ251"/>
      <c r="RR251"/>
      <c r="RS251"/>
      <c r="RT251"/>
      <c r="RU251"/>
      <c r="RV251"/>
      <c r="RW251"/>
      <c r="RX251"/>
      <c r="RY251"/>
      <c r="RZ251"/>
      <c r="SA251"/>
      <c r="SB251"/>
      <c r="SC251"/>
      <c r="SD251"/>
      <c r="SE251"/>
      <c r="SF251"/>
      <c r="SG251"/>
      <c r="SH251"/>
      <c r="SI251"/>
      <c r="SJ251"/>
      <c r="SK251"/>
      <c r="SL251"/>
      <c r="SM251"/>
      <c r="SN251"/>
      <c r="SO251"/>
      <c r="SP251"/>
      <c r="SQ251"/>
      <c r="SR251"/>
      <c r="SS251"/>
      <c r="ST251"/>
      <c r="SU251"/>
      <c r="SV251"/>
      <c r="SW251"/>
      <c r="SX251"/>
      <c r="SY251"/>
      <c r="SZ251"/>
      <c r="TA251"/>
      <c r="TB251"/>
      <c r="TC251"/>
      <c r="TD251"/>
      <c r="TE251"/>
      <c r="TF251"/>
      <c r="TG251"/>
      <c r="TH251"/>
    </row>
    <row r="252" spans="3:528" x14ac:dyDescent="0.25">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c r="PC252"/>
      <c r="PD252"/>
      <c r="PE252"/>
      <c r="PF252"/>
      <c r="PG252"/>
      <c r="PH252"/>
      <c r="PI252"/>
      <c r="PJ252"/>
      <c r="PK252"/>
      <c r="PL252"/>
      <c r="PM252"/>
      <c r="PN252"/>
      <c r="PO252"/>
      <c r="PP252"/>
      <c r="PQ252"/>
      <c r="PR252"/>
      <c r="PS252"/>
      <c r="PT252"/>
      <c r="PU252"/>
      <c r="PV252"/>
      <c r="PW252"/>
      <c r="PX252"/>
      <c r="PY252"/>
      <c r="PZ252"/>
      <c r="QA252"/>
      <c r="QB252"/>
      <c r="QC252"/>
      <c r="QD252"/>
      <c r="QE252"/>
      <c r="QF252"/>
      <c r="QG252"/>
      <c r="QH252"/>
      <c r="QI252"/>
      <c r="QJ252"/>
      <c r="QK252"/>
      <c r="QL252"/>
      <c r="QM252"/>
      <c r="QN252"/>
      <c r="QO252"/>
      <c r="QP252"/>
      <c r="QQ252"/>
      <c r="QR252"/>
      <c r="QS252"/>
      <c r="QT252"/>
      <c r="QU252"/>
      <c r="QV252"/>
      <c r="QW252"/>
      <c r="QX252"/>
      <c r="QY252"/>
      <c r="QZ252"/>
      <c r="RA252"/>
      <c r="RB252"/>
      <c r="RC252"/>
      <c r="RD252"/>
      <c r="RE252"/>
      <c r="RF252"/>
      <c r="RG252"/>
      <c r="RH252"/>
      <c r="RI252"/>
      <c r="RJ252"/>
      <c r="RK252"/>
      <c r="RL252"/>
      <c r="RM252"/>
      <c r="RN252"/>
      <c r="RO252"/>
      <c r="RP252"/>
      <c r="RQ252"/>
      <c r="RR252"/>
      <c r="RS252"/>
      <c r="RT252"/>
      <c r="RU252"/>
      <c r="RV252"/>
      <c r="RW252"/>
      <c r="RX252"/>
      <c r="RY252"/>
      <c r="RZ252"/>
      <c r="SA252"/>
      <c r="SB252"/>
      <c r="SC252"/>
      <c r="SD252"/>
      <c r="SE252"/>
      <c r="SF252"/>
      <c r="SG252"/>
      <c r="SH252"/>
      <c r="SI252"/>
      <c r="SJ252"/>
      <c r="SK252"/>
      <c r="SL252"/>
      <c r="SM252"/>
      <c r="SN252"/>
      <c r="SO252"/>
      <c r="SP252"/>
      <c r="SQ252"/>
      <c r="SR252"/>
      <c r="SS252"/>
      <c r="ST252"/>
      <c r="SU252"/>
      <c r="SV252"/>
      <c r="SW252"/>
      <c r="SX252"/>
      <c r="SY252"/>
      <c r="SZ252"/>
      <c r="TA252"/>
      <c r="TB252"/>
      <c r="TC252"/>
      <c r="TD252"/>
      <c r="TE252"/>
      <c r="TF252"/>
      <c r="TG252"/>
      <c r="TH252"/>
    </row>
    <row r="253" spans="3:528" x14ac:dyDescent="0.25">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c r="PC253"/>
      <c r="PD253"/>
      <c r="PE253"/>
      <c r="PF253"/>
      <c r="PG253"/>
      <c r="PH253"/>
      <c r="PI253"/>
      <c r="PJ253"/>
      <c r="PK253"/>
      <c r="PL253"/>
      <c r="PM253"/>
      <c r="PN253"/>
      <c r="PO253"/>
      <c r="PP253"/>
      <c r="PQ253"/>
      <c r="PR253"/>
      <c r="PS253"/>
      <c r="PT253"/>
      <c r="PU253"/>
      <c r="PV253"/>
      <c r="PW253"/>
      <c r="PX253"/>
      <c r="PY253"/>
      <c r="PZ253"/>
      <c r="QA253"/>
      <c r="QB253"/>
      <c r="QC253"/>
      <c r="QD253"/>
      <c r="QE253"/>
      <c r="QF253"/>
      <c r="QG253"/>
      <c r="QH253"/>
      <c r="QI253"/>
      <c r="QJ253"/>
      <c r="QK253"/>
      <c r="QL253"/>
      <c r="QM253"/>
      <c r="QN253"/>
      <c r="QO253"/>
      <c r="QP253"/>
      <c r="QQ253"/>
      <c r="QR253"/>
      <c r="QS253"/>
      <c r="QT253"/>
      <c r="QU253"/>
      <c r="QV253"/>
      <c r="QW253"/>
      <c r="QX253"/>
      <c r="QY253"/>
      <c r="QZ253"/>
      <c r="RA253"/>
      <c r="RB253"/>
      <c r="RC253"/>
      <c r="RD253"/>
      <c r="RE253"/>
      <c r="RF253"/>
      <c r="RG253"/>
      <c r="RH253"/>
      <c r="RI253"/>
      <c r="RJ253"/>
      <c r="RK253"/>
      <c r="RL253"/>
      <c r="RM253"/>
      <c r="RN253"/>
      <c r="RO253"/>
      <c r="RP253"/>
      <c r="RQ253"/>
      <c r="RR253"/>
      <c r="RS253"/>
      <c r="RT253"/>
      <c r="RU253"/>
      <c r="RV253"/>
      <c r="RW253"/>
      <c r="RX253"/>
      <c r="RY253"/>
      <c r="RZ253"/>
      <c r="SA253"/>
      <c r="SB253"/>
      <c r="SC253"/>
      <c r="SD253"/>
      <c r="SE253"/>
      <c r="SF253"/>
      <c r="SG253"/>
      <c r="SH253"/>
      <c r="SI253"/>
      <c r="SJ253"/>
      <c r="SK253"/>
      <c r="SL253"/>
      <c r="SM253"/>
      <c r="SN253"/>
      <c r="SO253"/>
      <c r="SP253"/>
      <c r="SQ253"/>
      <c r="SR253"/>
      <c r="SS253"/>
      <c r="ST253"/>
      <c r="SU253"/>
      <c r="SV253"/>
      <c r="SW253"/>
      <c r="SX253"/>
      <c r="SY253"/>
      <c r="SZ253"/>
      <c r="TA253"/>
      <c r="TB253"/>
      <c r="TC253"/>
      <c r="TD253"/>
      <c r="TE253"/>
      <c r="TF253"/>
      <c r="TG253"/>
      <c r="TH253"/>
    </row>
    <row r="254" spans="3:528" x14ac:dyDescent="0.25">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c r="PC254"/>
      <c r="PD254"/>
      <c r="PE254"/>
      <c r="PF254"/>
      <c r="PG254"/>
      <c r="PH254"/>
      <c r="PI254"/>
      <c r="PJ254"/>
      <c r="PK254"/>
      <c r="PL254"/>
      <c r="PM254"/>
      <c r="PN254"/>
      <c r="PO254"/>
      <c r="PP254"/>
      <c r="PQ254"/>
      <c r="PR254"/>
      <c r="PS254"/>
      <c r="PT254"/>
      <c r="PU254"/>
      <c r="PV254"/>
      <c r="PW254"/>
      <c r="PX254"/>
      <c r="PY254"/>
      <c r="PZ254"/>
      <c r="QA254"/>
      <c r="QB254"/>
      <c r="QC254"/>
      <c r="QD254"/>
      <c r="QE254"/>
      <c r="QF254"/>
      <c r="QG254"/>
      <c r="QH254"/>
      <c r="QI254"/>
      <c r="QJ254"/>
      <c r="QK254"/>
      <c r="QL254"/>
      <c r="QM254"/>
      <c r="QN254"/>
      <c r="QO254"/>
      <c r="QP254"/>
      <c r="QQ254"/>
      <c r="QR254"/>
      <c r="QS254"/>
      <c r="QT254"/>
      <c r="QU254"/>
      <c r="QV254"/>
      <c r="QW254"/>
      <c r="QX254"/>
      <c r="QY254"/>
      <c r="QZ254"/>
      <c r="RA254"/>
      <c r="RB254"/>
      <c r="RC254"/>
      <c r="RD254"/>
      <c r="RE254"/>
      <c r="RF254"/>
      <c r="RG254"/>
      <c r="RH254"/>
      <c r="RI254"/>
      <c r="RJ254"/>
      <c r="RK254"/>
      <c r="RL254"/>
      <c r="RM254"/>
      <c r="RN254"/>
      <c r="RO254"/>
      <c r="RP254"/>
      <c r="RQ254"/>
      <c r="RR254"/>
      <c r="RS254"/>
      <c r="RT254"/>
      <c r="RU254"/>
      <c r="RV254"/>
      <c r="RW254"/>
      <c r="RX254"/>
      <c r="RY254"/>
      <c r="RZ254"/>
      <c r="SA254"/>
      <c r="SB254"/>
      <c r="SC254"/>
      <c r="SD254"/>
      <c r="SE254"/>
      <c r="SF254"/>
      <c r="SG254"/>
      <c r="SH254"/>
      <c r="SI254"/>
      <c r="SJ254"/>
      <c r="SK254"/>
      <c r="SL254"/>
      <c r="SM254"/>
      <c r="SN254"/>
      <c r="SO254"/>
      <c r="SP254"/>
      <c r="SQ254"/>
      <c r="SR254"/>
      <c r="SS254"/>
      <c r="ST254"/>
      <c r="SU254"/>
      <c r="SV254"/>
      <c r="SW254"/>
      <c r="SX254"/>
      <c r="SY254"/>
      <c r="SZ254"/>
      <c r="TA254"/>
      <c r="TB254"/>
      <c r="TC254"/>
      <c r="TD254"/>
      <c r="TE254"/>
      <c r="TF254"/>
      <c r="TG254"/>
      <c r="TH254"/>
    </row>
    <row r="255" spans="3:528" x14ac:dyDescent="0.2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c r="PC255"/>
      <c r="PD255"/>
      <c r="PE255"/>
      <c r="PF255"/>
      <c r="PG255"/>
      <c r="PH255"/>
      <c r="PI255"/>
      <c r="PJ255"/>
      <c r="PK255"/>
      <c r="PL255"/>
      <c r="PM255"/>
      <c r="PN255"/>
      <c r="PO255"/>
      <c r="PP255"/>
      <c r="PQ255"/>
      <c r="PR255"/>
      <c r="PS255"/>
      <c r="PT255"/>
      <c r="PU255"/>
      <c r="PV255"/>
      <c r="PW255"/>
      <c r="PX255"/>
      <c r="PY255"/>
      <c r="PZ255"/>
      <c r="QA255"/>
      <c r="QB255"/>
      <c r="QC255"/>
      <c r="QD255"/>
      <c r="QE255"/>
      <c r="QF255"/>
      <c r="QG255"/>
      <c r="QH255"/>
      <c r="QI255"/>
      <c r="QJ255"/>
      <c r="QK255"/>
      <c r="QL255"/>
      <c r="QM255"/>
      <c r="QN255"/>
      <c r="QO255"/>
      <c r="QP255"/>
      <c r="QQ255"/>
      <c r="QR255"/>
      <c r="QS255"/>
      <c r="QT255"/>
      <c r="QU255"/>
      <c r="QV255"/>
      <c r="QW255"/>
      <c r="QX255"/>
      <c r="QY255"/>
      <c r="QZ255"/>
      <c r="RA255"/>
      <c r="RB255"/>
      <c r="RC255"/>
      <c r="RD255"/>
      <c r="RE255"/>
      <c r="RF255"/>
      <c r="RG255"/>
      <c r="RH255"/>
      <c r="RI255"/>
      <c r="RJ255"/>
      <c r="RK255"/>
      <c r="RL255"/>
      <c r="RM255"/>
      <c r="RN255"/>
      <c r="RO255"/>
      <c r="RP255"/>
      <c r="RQ255"/>
      <c r="RR255"/>
      <c r="RS255"/>
      <c r="RT255"/>
      <c r="RU255"/>
      <c r="RV255"/>
      <c r="RW255"/>
      <c r="RX255"/>
      <c r="RY255"/>
      <c r="RZ255"/>
      <c r="SA255"/>
      <c r="SB255"/>
      <c r="SC255"/>
      <c r="SD255"/>
      <c r="SE255"/>
      <c r="SF255"/>
      <c r="SG255"/>
      <c r="SH255"/>
      <c r="SI255"/>
      <c r="SJ255"/>
      <c r="SK255"/>
      <c r="SL255"/>
      <c r="SM255"/>
      <c r="SN255"/>
      <c r="SO255"/>
      <c r="SP255"/>
      <c r="SQ255"/>
      <c r="SR255"/>
      <c r="SS255"/>
      <c r="ST255"/>
      <c r="SU255"/>
      <c r="SV255"/>
      <c r="SW255"/>
      <c r="SX255"/>
      <c r="SY255"/>
      <c r="SZ255"/>
      <c r="TA255"/>
      <c r="TB255"/>
      <c r="TC255"/>
      <c r="TD255"/>
      <c r="TE255"/>
      <c r="TF255"/>
      <c r="TG255"/>
      <c r="TH255"/>
    </row>
    <row r="256" spans="3:528" x14ac:dyDescent="0.25">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c r="PC256"/>
      <c r="PD256"/>
      <c r="PE256"/>
      <c r="PF256"/>
      <c r="PG256"/>
      <c r="PH256"/>
      <c r="PI256"/>
      <c r="PJ256"/>
      <c r="PK256"/>
      <c r="PL256"/>
      <c r="PM256"/>
      <c r="PN256"/>
      <c r="PO256"/>
      <c r="PP256"/>
      <c r="PQ256"/>
      <c r="PR256"/>
      <c r="PS256"/>
      <c r="PT256"/>
      <c r="PU256"/>
      <c r="PV256"/>
      <c r="PW256"/>
      <c r="PX256"/>
      <c r="PY256"/>
      <c r="PZ256"/>
      <c r="QA256"/>
      <c r="QB256"/>
      <c r="QC256"/>
      <c r="QD256"/>
      <c r="QE256"/>
      <c r="QF256"/>
      <c r="QG256"/>
      <c r="QH256"/>
      <c r="QI256"/>
      <c r="QJ256"/>
      <c r="QK256"/>
      <c r="QL256"/>
      <c r="QM256"/>
      <c r="QN256"/>
      <c r="QO256"/>
      <c r="QP256"/>
      <c r="QQ256"/>
      <c r="QR256"/>
      <c r="QS256"/>
      <c r="QT256"/>
      <c r="QU256"/>
      <c r="QV256"/>
      <c r="QW256"/>
      <c r="QX256"/>
      <c r="QY256"/>
      <c r="QZ256"/>
      <c r="RA256"/>
      <c r="RB256"/>
      <c r="RC256"/>
      <c r="RD256"/>
      <c r="RE256"/>
      <c r="RF256"/>
      <c r="RG256"/>
      <c r="RH256"/>
      <c r="RI256"/>
      <c r="RJ256"/>
      <c r="RK256"/>
      <c r="RL256"/>
      <c r="RM256"/>
      <c r="RN256"/>
      <c r="RO256"/>
      <c r="RP256"/>
      <c r="RQ256"/>
      <c r="RR256"/>
      <c r="RS256"/>
      <c r="RT256"/>
      <c r="RU256"/>
      <c r="RV256"/>
      <c r="RW256"/>
      <c r="RX256"/>
      <c r="RY256"/>
      <c r="RZ256"/>
      <c r="SA256"/>
      <c r="SB256"/>
      <c r="SC256"/>
      <c r="SD256"/>
      <c r="SE256"/>
      <c r="SF256"/>
      <c r="SG256"/>
      <c r="SH256"/>
      <c r="SI256"/>
      <c r="SJ256"/>
      <c r="SK256"/>
      <c r="SL256"/>
      <c r="SM256"/>
      <c r="SN256"/>
      <c r="SO256"/>
      <c r="SP256"/>
      <c r="SQ256"/>
      <c r="SR256"/>
      <c r="SS256"/>
      <c r="ST256"/>
      <c r="SU256"/>
      <c r="SV256"/>
      <c r="SW256"/>
      <c r="SX256"/>
      <c r="SY256"/>
      <c r="SZ256"/>
      <c r="TA256"/>
      <c r="TB256"/>
      <c r="TC256"/>
      <c r="TD256"/>
      <c r="TE256"/>
      <c r="TF256"/>
      <c r="TG256"/>
      <c r="TH256"/>
    </row>
    <row r="257" spans="3:528" x14ac:dyDescent="0.25">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c r="PC257"/>
      <c r="PD257"/>
      <c r="PE257"/>
      <c r="PF257"/>
      <c r="PG257"/>
      <c r="PH257"/>
      <c r="PI257"/>
      <c r="PJ257"/>
      <c r="PK257"/>
      <c r="PL257"/>
      <c r="PM257"/>
      <c r="PN257"/>
      <c r="PO257"/>
      <c r="PP257"/>
      <c r="PQ257"/>
      <c r="PR257"/>
      <c r="PS257"/>
      <c r="PT257"/>
      <c r="PU257"/>
      <c r="PV257"/>
      <c r="PW257"/>
      <c r="PX257"/>
      <c r="PY257"/>
      <c r="PZ257"/>
      <c r="QA257"/>
      <c r="QB257"/>
      <c r="QC257"/>
      <c r="QD257"/>
      <c r="QE257"/>
      <c r="QF257"/>
      <c r="QG257"/>
      <c r="QH257"/>
      <c r="QI257"/>
      <c r="QJ257"/>
      <c r="QK257"/>
      <c r="QL257"/>
      <c r="QM257"/>
      <c r="QN257"/>
      <c r="QO257"/>
      <c r="QP257"/>
      <c r="QQ257"/>
      <c r="QR257"/>
      <c r="QS257"/>
      <c r="QT257"/>
      <c r="QU257"/>
      <c r="QV257"/>
      <c r="QW257"/>
      <c r="QX257"/>
      <c r="QY257"/>
      <c r="QZ257"/>
      <c r="RA257"/>
      <c r="RB257"/>
      <c r="RC257"/>
      <c r="RD257"/>
      <c r="RE257"/>
      <c r="RF257"/>
      <c r="RG257"/>
      <c r="RH257"/>
      <c r="RI257"/>
      <c r="RJ257"/>
      <c r="RK257"/>
      <c r="RL257"/>
      <c r="RM257"/>
      <c r="RN257"/>
      <c r="RO257"/>
      <c r="RP257"/>
      <c r="RQ257"/>
      <c r="RR257"/>
      <c r="RS257"/>
      <c r="RT257"/>
      <c r="RU257"/>
      <c r="RV257"/>
      <c r="RW257"/>
      <c r="RX257"/>
      <c r="RY257"/>
      <c r="RZ257"/>
      <c r="SA257"/>
      <c r="SB257"/>
      <c r="SC257"/>
      <c r="SD257"/>
      <c r="SE257"/>
      <c r="SF257"/>
      <c r="SG257"/>
      <c r="SH257"/>
      <c r="SI257"/>
      <c r="SJ257"/>
      <c r="SK257"/>
      <c r="SL257"/>
      <c r="SM257"/>
      <c r="SN257"/>
      <c r="SO257"/>
      <c r="SP257"/>
      <c r="SQ257"/>
      <c r="SR257"/>
      <c r="SS257"/>
      <c r="ST257"/>
      <c r="SU257"/>
      <c r="SV257"/>
      <c r="SW257"/>
      <c r="SX257"/>
      <c r="SY257"/>
      <c r="SZ257"/>
      <c r="TA257"/>
      <c r="TB257"/>
      <c r="TC257"/>
      <c r="TD257"/>
      <c r="TE257"/>
      <c r="TF257"/>
      <c r="TG257"/>
      <c r="TH257"/>
    </row>
    <row r="258" spans="3:528" x14ac:dyDescent="0.25">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c r="PC258"/>
      <c r="PD258"/>
      <c r="PE258"/>
      <c r="PF258"/>
      <c r="PG258"/>
      <c r="PH258"/>
      <c r="PI258"/>
      <c r="PJ258"/>
      <c r="PK258"/>
      <c r="PL258"/>
      <c r="PM258"/>
      <c r="PN258"/>
      <c r="PO258"/>
      <c r="PP258"/>
      <c r="PQ258"/>
      <c r="PR258"/>
      <c r="PS258"/>
      <c r="PT258"/>
      <c r="PU258"/>
      <c r="PV258"/>
      <c r="PW258"/>
      <c r="PX258"/>
      <c r="PY258"/>
      <c r="PZ258"/>
      <c r="QA258"/>
      <c r="QB258"/>
      <c r="QC258"/>
      <c r="QD258"/>
      <c r="QE258"/>
      <c r="QF258"/>
      <c r="QG258"/>
      <c r="QH258"/>
      <c r="QI258"/>
      <c r="QJ258"/>
      <c r="QK258"/>
      <c r="QL258"/>
      <c r="QM258"/>
      <c r="QN258"/>
      <c r="QO258"/>
      <c r="QP258"/>
      <c r="QQ258"/>
      <c r="QR258"/>
      <c r="QS258"/>
      <c r="QT258"/>
      <c r="QU258"/>
      <c r="QV258"/>
      <c r="QW258"/>
      <c r="QX258"/>
      <c r="QY258"/>
      <c r="QZ258"/>
      <c r="RA258"/>
      <c r="RB258"/>
      <c r="RC258"/>
      <c r="RD258"/>
      <c r="RE258"/>
      <c r="RF258"/>
      <c r="RG258"/>
      <c r="RH258"/>
      <c r="RI258"/>
      <c r="RJ258"/>
      <c r="RK258"/>
      <c r="RL258"/>
      <c r="RM258"/>
      <c r="RN258"/>
      <c r="RO258"/>
      <c r="RP258"/>
      <c r="RQ258"/>
      <c r="RR258"/>
      <c r="RS258"/>
      <c r="RT258"/>
      <c r="RU258"/>
      <c r="RV258"/>
      <c r="RW258"/>
      <c r="RX258"/>
      <c r="RY258"/>
      <c r="RZ258"/>
      <c r="SA258"/>
      <c r="SB258"/>
      <c r="SC258"/>
      <c r="SD258"/>
      <c r="SE258"/>
      <c r="SF258"/>
      <c r="SG258"/>
      <c r="SH258"/>
      <c r="SI258"/>
      <c r="SJ258"/>
      <c r="SK258"/>
      <c r="SL258"/>
      <c r="SM258"/>
      <c r="SN258"/>
      <c r="SO258"/>
      <c r="SP258"/>
      <c r="SQ258"/>
      <c r="SR258"/>
      <c r="SS258"/>
      <c r="ST258"/>
      <c r="SU258"/>
      <c r="SV258"/>
      <c r="SW258"/>
      <c r="SX258"/>
      <c r="SY258"/>
      <c r="SZ258"/>
      <c r="TA258"/>
      <c r="TB258"/>
      <c r="TC258"/>
      <c r="TD258"/>
      <c r="TE258"/>
      <c r="TF258"/>
      <c r="TG258"/>
      <c r="TH258"/>
    </row>
    <row r="259" spans="3:528" x14ac:dyDescent="0.25">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c r="PC259"/>
      <c r="PD259"/>
      <c r="PE259"/>
      <c r="PF259"/>
      <c r="PG259"/>
      <c r="PH259"/>
      <c r="PI259"/>
      <c r="PJ259"/>
      <c r="PK259"/>
      <c r="PL259"/>
      <c r="PM259"/>
      <c r="PN259"/>
      <c r="PO259"/>
      <c r="PP259"/>
      <c r="PQ259"/>
      <c r="PR259"/>
      <c r="PS259"/>
      <c r="PT259"/>
      <c r="PU259"/>
      <c r="PV259"/>
      <c r="PW259"/>
      <c r="PX259"/>
      <c r="PY259"/>
      <c r="PZ259"/>
      <c r="QA259"/>
      <c r="QB259"/>
      <c r="QC259"/>
      <c r="QD259"/>
      <c r="QE259"/>
      <c r="QF259"/>
      <c r="QG259"/>
      <c r="QH259"/>
      <c r="QI259"/>
      <c r="QJ259"/>
      <c r="QK259"/>
      <c r="QL259"/>
      <c r="QM259"/>
      <c r="QN259"/>
      <c r="QO259"/>
      <c r="QP259"/>
      <c r="QQ259"/>
      <c r="QR259"/>
      <c r="QS259"/>
      <c r="QT259"/>
      <c r="QU259"/>
      <c r="QV259"/>
      <c r="QW259"/>
      <c r="QX259"/>
      <c r="QY259"/>
      <c r="QZ259"/>
      <c r="RA259"/>
      <c r="RB259"/>
      <c r="RC259"/>
      <c r="RD259"/>
      <c r="RE259"/>
      <c r="RF259"/>
      <c r="RG259"/>
      <c r="RH259"/>
      <c r="RI259"/>
      <c r="RJ259"/>
      <c r="RK259"/>
      <c r="RL259"/>
      <c r="RM259"/>
      <c r="RN259"/>
      <c r="RO259"/>
      <c r="RP259"/>
      <c r="RQ259"/>
      <c r="RR259"/>
      <c r="RS259"/>
      <c r="RT259"/>
      <c r="RU259"/>
      <c r="RV259"/>
      <c r="RW259"/>
      <c r="RX259"/>
      <c r="RY259"/>
      <c r="RZ259"/>
      <c r="SA259"/>
      <c r="SB259"/>
      <c r="SC259"/>
      <c r="SD259"/>
      <c r="SE259"/>
      <c r="SF259"/>
      <c r="SG259"/>
      <c r="SH259"/>
      <c r="SI259"/>
      <c r="SJ259"/>
      <c r="SK259"/>
      <c r="SL259"/>
      <c r="SM259"/>
      <c r="SN259"/>
      <c r="SO259"/>
      <c r="SP259"/>
      <c r="SQ259"/>
      <c r="SR259"/>
      <c r="SS259"/>
      <c r="ST259"/>
      <c r="SU259"/>
      <c r="SV259"/>
      <c r="SW259"/>
      <c r="SX259"/>
      <c r="SY259"/>
      <c r="SZ259"/>
      <c r="TA259"/>
      <c r="TB259"/>
      <c r="TC259"/>
      <c r="TD259"/>
      <c r="TE259"/>
      <c r="TF259"/>
      <c r="TG259"/>
      <c r="TH259"/>
    </row>
    <row r="260" spans="3:528" x14ac:dyDescent="0.25">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c r="PC260"/>
      <c r="PD260"/>
      <c r="PE260"/>
      <c r="PF260"/>
      <c r="PG260"/>
      <c r="PH260"/>
      <c r="PI260"/>
      <c r="PJ260"/>
      <c r="PK260"/>
      <c r="PL260"/>
      <c r="PM260"/>
      <c r="PN260"/>
      <c r="PO260"/>
      <c r="PP260"/>
      <c r="PQ260"/>
      <c r="PR260"/>
      <c r="PS260"/>
      <c r="PT260"/>
      <c r="PU260"/>
      <c r="PV260"/>
      <c r="PW260"/>
      <c r="PX260"/>
      <c r="PY260"/>
      <c r="PZ260"/>
      <c r="QA260"/>
      <c r="QB260"/>
      <c r="QC260"/>
      <c r="QD260"/>
      <c r="QE260"/>
      <c r="QF260"/>
      <c r="QG260"/>
      <c r="QH260"/>
      <c r="QI260"/>
      <c r="QJ260"/>
      <c r="QK260"/>
      <c r="QL260"/>
      <c r="QM260"/>
      <c r="QN260"/>
      <c r="QO260"/>
      <c r="QP260"/>
      <c r="QQ260"/>
      <c r="QR260"/>
      <c r="QS260"/>
      <c r="QT260"/>
      <c r="QU260"/>
      <c r="QV260"/>
      <c r="QW260"/>
      <c r="QX260"/>
      <c r="QY260"/>
      <c r="QZ260"/>
      <c r="RA260"/>
      <c r="RB260"/>
      <c r="RC260"/>
      <c r="RD260"/>
      <c r="RE260"/>
      <c r="RF260"/>
      <c r="RG260"/>
      <c r="RH260"/>
      <c r="RI260"/>
      <c r="RJ260"/>
      <c r="RK260"/>
      <c r="RL260"/>
      <c r="RM260"/>
      <c r="RN260"/>
      <c r="RO260"/>
      <c r="RP260"/>
      <c r="RQ260"/>
      <c r="RR260"/>
      <c r="RS260"/>
      <c r="RT260"/>
      <c r="RU260"/>
      <c r="RV260"/>
      <c r="RW260"/>
      <c r="RX260"/>
      <c r="RY260"/>
      <c r="RZ260"/>
      <c r="SA260"/>
      <c r="SB260"/>
      <c r="SC260"/>
      <c r="SD260"/>
      <c r="SE260"/>
      <c r="SF260"/>
      <c r="SG260"/>
      <c r="SH260"/>
      <c r="SI260"/>
      <c r="SJ260"/>
      <c r="SK260"/>
      <c r="SL260"/>
      <c r="SM260"/>
      <c r="SN260"/>
      <c r="SO260"/>
      <c r="SP260"/>
      <c r="SQ260"/>
      <c r="SR260"/>
      <c r="SS260"/>
      <c r="ST260"/>
      <c r="SU260"/>
      <c r="SV260"/>
      <c r="SW260"/>
      <c r="SX260"/>
      <c r="SY260"/>
      <c r="SZ260"/>
      <c r="TA260"/>
      <c r="TB260"/>
      <c r="TC260"/>
      <c r="TD260"/>
      <c r="TE260"/>
      <c r="TF260"/>
      <c r="TG260"/>
      <c r="TH260"/>
    </row>
    <row r="261" spans="3:528" x14ac:dyDescent="0.25">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c r="PC261"/>
      <c r="PD261"/>
      <c r="PE261"/>
      <c r="PF261"/>
      <c r="PG261"/>
      <c r="PH261"/>
      <c r="PI261"/>
      <c r="PJ261"/>
      <c r="PK261"/>
      <c r="PL261"/>
      <c r="PM261"/>
      <c r="PN261"/>
      <c r="PO261"/>
      <c r="PP261"/>
      <c r="PQ261"/>
      <c r="PR261"/>
      <c r="PS261"/>
      <c r="PT261"/>
      <c r="PU261"/>
      <c r="PV261"/>
      <c r="PW261"/>
      <c r="PX261"/>
      <c r="PY261"/>
      <c r="PZ261"/>
      <c r="QA261"/>
      <c r="QB261"/>
      <c r="QC261"/>
      <c r="QD261"/>
      <c r="QE261"/>
      <c r="QF261"/>
      <c r="QG261"/>
      <c r="QH261"/>
      <c r="QI261"/>
      <c r="QJ261"/>
      <c r="QK261"/>
      <c r="QL261"/>
      <c r="QM261"/>
      <c r="QN261"/>
      <c r="QO261"/>
      <c r="QP261"/>
      <c r="QQ261"/>
      <c r="QR261"/>
      <c r="QS261"/>
      <c r="QT261"/>
      <c r="QU261"/>
      <c r="QV261"/>
      <c r="QW261"/>
      <c r="QX261"/>
      <c r="QY261"/>
      <c r="QZ261"/>
      <c r="RA261"/>
      <c r="RB261"/>
      <c r="RC261"/>
      <c r="RD261"/>
      <c r="RE261"/>
      <c r="RF261"/>
      <c r="RG261"/>
      <c r="RH261"/>
      <c r="RI261"/>
      <c r="RJ261"/>
      <c r="RK261"/>
      <c r="RL261"/>
      <c r="RM261"/>
      <c r="RN261"/>
      <c r="RO261"/>
      <c r="RP261"/>
      <c r="RQ261"/>
      <c r="RR261"/>
      <c r="RS261"/>
      <c r="RT261"/>
      <c r="RU261"/>
      <c r="RV261"/>
      <c r="RW261"/>
      <c r="RX261"/>
      <c r="RY261"/>
      <c r="RZ261"/>
      <c r="SA261"/>
      <c r="SB261"/>
      <c r="SC261"/>
      <c r="SD261"/>
      <c r="SE261"/>
      <c r="SF261"/>
      <c r="SG261"/>
      <c r="SH261"/>
      <c r="SI261"/>
      <c r="SJ261"/>
      <c r="SK261"/>
      <c r="SL261"/>
      <c r="SM261"/>
      <c r="SN261"/>
      <c r="SO261"/>
      <c r="SP261"/>
      <c r="SQ261"/>
      <c r="SR261"/>
      <c r="SS261"/>
      <c r="ST261"/>
      <c r="SU261"/>
      <c r="SV261"/>
      <c r="SW261"/>
      <c r="SX261"/>
      <c r="SY261"/>
      <c r="SZ261"/>
      <c r="TA261"/>
      <c r="TB261"/>
      <c r="TC261"/>
      <c r="TD261"/>
      <c r="TE261"/>
      <c r="TF261"/>
      <c r="TG261"/>
      <c r="TH261"/>
    </row>
    <row r="262" spans="3:528" x14ac:dyDescent="0.25">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c r="PC262"/>
      <c r="PD262"/>
      <c r="PE262"/>
      <c r="PF262"/>
      <c r="PG262"/>
      <c r="PH262"/>
      <c r="PI262"/>
      <c r="PJ262"/>
      <c r="PK262"/>
      <c r="PL262"/>
      <c r="PM262"/>
      <c r="PN262"/>
      <c r="PO262"/>
      <c r="PP262"/>
      <c r="PQ262"/>
      <c r="PR262"/>
      <c r="PS262"/>
      <c r="PT262"/>
      <c r="PU262"/>
      <c r="PV262"/>
      <c r="PW262"/>
      <c r="PX262"/>
      <c r="PY262"/>
      <c r="PZ262"/>
      <c r="QA262"/>
      <c r="QB262"/>
      <c r="QC262"/>
      <c r="QD262"/>
      <c r="QE262"/>
      <c r="QF262"/>
      <c r="QG262"/>
      <c r="QH262"/>
      <c r="QI262"/>
      <c r="QJ262"/>
      <c r="QK262"/>
      <c r="QL262"/>
      <c r="QM262"/>
      <c r="QN262"/>
      <c r="QO262"/>
      <c r="QP262"/>
      <c r="QQ262"/>
      <c r="QR262"/>
      <c r="QS262"/>
      <c r="QT262"/>
      <c r="QU262"/>
      <c r="QV262"/>
      <c r="QW262"/>
      <c r="QX262"/>
      <c r="QY262"/>
      <c r="QZ262"/>
      <c r="RA262"/>
      <c r="RB262"/>
      <c r="RC262"/>
      <c r="RD262"/>
      <c r="RE262"/>
      <c r="RF262"/>
      <c r="RG262"/>
      <c r="RH262"/>
      <c r="RI262"/>
      <c r="RJ262"/>
      <c r="RK262"/>
      <c r="RL262"/>
      <c r="RM262"/>
      <c r="RN262"/>
      <c r="RO262"/>
      <c r="RP262"/>
      <c r="RQ262"/>
      <c r="RR262"/>
      <c r="RS262"/>
      <c r="RT262"/>
      <c r="RU262"/>
      <c r="RV262"/>
      <c r="RW262"/>
      <c r="RX262"/>
      <c r="RY262"/>
      <c r="RZ262"/>
      <c r="SA262"/>
      <c r="SB262"/>
      <c r="SC262"/>
      <c r="SD262"/>
      <c r="SE262"/>
      <c r="SF262"/>
      <c r="SG262"/>
      <c r="SH262"/>
      <c r="SI262"/>
      <c r="SJ262"/>
      <c r="SK262"/>
      <c r="SL262"/>
      <c r="SM262"/>
      <c r="SN262"/>
      <c r="SO262"/>
      <c r="SP262"/>
      <c r="SQ262"/>
      <c r="SR262"/>
      <c r="SS262"/>
      <c r="ST262"/>
      <c r="SU262"/>
      <c r="SV262"/>
      <c r="SW262"/>
      <c r="SX262"/>
      <c r="SY262"/>
      <c r="SZ262"/>
      <c r="TA262"/>
      <c r="TB262"/>
      <c r="TC262"/>
      <c r="TD262"/>
      <c r="TE262"/>
      <c r="TF262"/>
      <c r="TG262"/>
      <c r="TH262"/>
    </row>
    <row r="263" spans="3:528" x14ac:dyDescent="0.25">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c r="PC263"/>
      <c r="PD263"/>
      <c r="PE263"/>
      <c r="PF263"/>
      <c r="PG263"/>
      <c r="PH263"/>
      <c r="PI263"/>
      <c r="PJ263"/>
      <c r="PK263"/>
      <c r="PL263"/>
      <c r="PM263"/>
      <c r="PN263"/>
      <c r="PO263"/>
      <c r="PP263"/>
      <c r="PQ263"/>
      <c r="PR263"/>
      <c r="PS263"/>
      <c r="PT263"/>
      <c r="PU263"/>
      <c r="PV263"/>
      <c r="PW263"/>
      <c r="PX263"/>
      <c r="PY263"/>
      <c r="PZ263"/>
      <c r="QA263"/>
      <c r="QB263"/>
      <c r="QC263"/>
      <c r="QD263"/>
      <c r="QE263"/>
      <c r="QF263"/>
      <c r="QG263"/>
      <c r="QH263"/>
      <c r="QI263"/>
      <c r="QJ263"/>
      <c r="QK263"/>
      <c r="QL263"/>
      <c r="QM263"/>
      <c r="QN263"/>
      <c r="QO263"/>
      <c r="QP263"/>
      <c r="QQ263"/>
      <c r="QR263"/>
      <c r="QS263"/>
      <c r="QT263"/>
      <c r="QU263"/>
      <c r="QV263"/>
      <c r="QW263"/>
      <c r="QX263"/>
      <c r="QY263"/>
      <c r="QZ263"/>
      <c r="RA263"/>
      <c r="RB263"/>
      <c r="RC263"/>
      <c r="RD263"/>
      <c r="RE263"/>
      <c r="RF263"/>
      <c r="RG263"/>
      <c r="RH263"/>
      <c r="RI263"/>
      <c r="RJ263"/>
      <c r="RK263"/>
      <c r="RL263"/>
      <c r="RM263"/>
      <c r="RN263"/>
      <c r="RO263"/>
      <c r="RP263"/>
      <c r="RQ263"/>
      <c r="RR263"/>
      <c r="RS263"/>
      <c r="RT263"/>
      <c r="RU263"/>
      <c r="RV263"/>
      <c r="RW263"/>
      <c r="RX263"/>
      <c r="RY263"/>
      <c r="RZ263"/>
      <c r="SA263"/>
      <c r="SB263"/>
      <c r="SC263"/>
      <c r="SD263"/>
      <c r="SE263"/>
      <c r="SF263"/>
      <c r="SG263"/>
      <c r="SH263"/>
      <c r="SI263"/>
      <c r="SJ263"/>
      <c r="SK263"/>
      <c r="SL263"/>
      <c r="SM263"/>
      <c r="SN263"/>
      <c r="SO263"/>
      <c r="SP263"/>
      <c r="SQ263"/>
      <c r="SR263"/>
      <c r="SS263"/>
      <c r="ST263"/>
      <c r="SU263"/>
      <c r="SV263"/>
      <c r="SW263"/>
      <c r="SX263"/>
      <c r="SY263"/>
      <c r="SZ263"/>
      <c r="TA263"/>
      <c r="TB263"/>
      <c r="TC263"/>
      <c r="TD263"/>
      <c r="TE263"/>
      <c r="TF263"/>
      <c r="TG263"/>
      <c r="TH263"/>
    </row>
    <row r="264" spans="3:528" x14ac:dyDescent="0.25">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c r="PC264"/>
      <c r="PD264"/>
      <c r="PE264"/>
      <c r="PF264"/>
      <c r="PG264"/>
      <c r="PH264"/>
      <c r="PI264"/>
      <c r="PJ264"/>
      <c r="PK264"/>
      <c r="PL264"/>
      <c r="PM264"/>
      <c r="PN264"/>
      <c r="PO264"/>
      <c r="PP264"/>
      <c r="PQ264"/>
      <c r="PR264"/>
      <c r="PS264"/>
      <c r="PT264"/>
      <c r="PU264"/>
      <c r="PV264"/>
      <c r="PW264"/>
      <c r="PX264"/>
      <c r="PY264"/>
      <c r="PZ264"/>
      <c r="QA264"/>
      <c r="QB264"/>
      <c r="QC264"/>
      <c r="QD264"/>
      <c r="QE264"/>
      <c r="QF264"/>
      <c r="QG264"/>
      <c r="QH264"/>
      <c r="QI264"/>
      <c r="QJ264"/>
      <c r="QK264"/>
      <c r="QL264"/>
      <c r="QM264"/>
      <c r="QN264"/>
      <c r="QO264"/>
      <c r="QP264"/>
      <c r="QQ264"/>
      <c r="QR264"/>
      <c r="QS264"/>
      <c r="QT264"/>
      <c r="QU264"/>
      <c r="QV264"/>
      <c r="QW264"/>
      <c r="QX264"/>
      <c r="QY264"/>
      <c r="QZ264"/>
      <c r="RA264"/>
      <c r="RB264"/>
      <c r="RC264"/>
      <c r="RD264"/>
      <c r="RE264"/>
      <c r="RF264"/>
      <c r="RG264"/>
      <c r="RH264"/>
      <c r="RI264"/>
      <c r="RJ264"/>
      <c r="RK264"/>
      <c r="RL264"/>
      <c r="RM264"/>
      <c r="RN264"/>
      <c r="RO264"/>
      <c r="RP264"/>
      <c r="RQ264"/>
      <c r="RR264"/>
      <c r="RS264"/>
      <c r="RT264"/>
      <c r="RU264"/>
      <c r="RV264"/>
      <c r="RW264"/>
      <c r="RX264"/>
      <c r="RY264"/>
      <c r="RZ264"/>
      <c r="SA264"/>
      <c r="SB264"/>
      <c r="SC264"/>
      <c r="SD264"/>
      <c r="SE264"/>
      <c r="SF264"/>
      <c r="SG264"/>
      <c r="SH264"/>
      <c r="SI264"/>
      <c r="SJ264"/>
      <c r="SK264"/>
      <c r="SL264"/>
      <c r="SM264"/>
      <c r="SN264"/>
      <c r="SO264"/>
      <c r="SP264"/>
      <c r="SQ264"/>
      <c r="SR264"/>
      <c r="SS264"/>
      <c r="ST264"/>
      <c r="SU264"/>
      <c r="SV264"/>
      <c r="SW264"/>
      <c r="SX264"/>
      <c r="SY264"/>
      <c r="SZ264"/>
      <c r="TA264"/>
      <c r="TB264"/>
      <c r="TC264"/>
      <c r="TD264"/>
      <c r="TE264"/>
      <c r="TF264"/>
      <c r="TG264"/>
      <c r="TH264"/>
    </row>
    <row r="265" spans="3:528" x14ac:dyDescent="0.2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c r="PC265"/>
      <c r="PD265"/>
      <c r="PE265"/>
      <c r="PF265"/>
      <c r="PG265"/>
      <c r="PH265"/>
      <c r="PI265"/>
      <c r="PJ265"/>
      <c r="PK265"/>
      <c r="PL265"/>
      <c r="PM265"/>
      <c r="PN265"/>
      <c r="PO265"/>
      <c r="PP265"/>
      <c r="PQ265"/>
      <c r="PR265"/>
      <c r="PS265"/>
      <c r="PT265"/>
      <c r="PU265"/>
      <c r="PV265"/>
      <c r="PW265"/>
      <c r="PX265"/>
      <c r="PY265"/>
      <c r="PZ265"/>
      <c r="QA265"/>
      <c r="QB265"/>
      <c r="QC265"/>
      <c r="QD265"/>
      <c r="QE265"/>
      <c r="QF265"/>
      <c r="QG265"/>
      <c r="QH265"/>
      <c r="QI265"/>
      <c r="QJ265"/>
      <c r="QK265"/>
      <c r="QL265"/>
      <c r="QM265"/>
      <c r="QN265"/>
      <c r="QO265"/>
      <c r="QP265"/>
      <c r="QQ265"/>
      <c r="QR265"/>
      <c r="QS265"/>
      <c r="QT265"/>
      <c r="QU265"/>
      <c r="QV265"/>
      <c r="QW265"/>
      <c r="QX265"/>
      <c r="QY265"/>
      <c r="QZ265"/>
      <c r="RA265"/>
      <c r="RB265"/>
      <c r="RC265"/>
      <c r="RD265"/>
      <c r="RE265"/>
      <c r="RF265"/>
      <c r="RG265"/>
      <c r="RH265"/>
      <c r="RI265"/>
      <c r="RJ265"/>
      <c r="RK265"/>
      <c r="RL265"/>
      <c r="RM265"/>
      <c r="RN265"/>
      <c r="RO265"/>
      <c r="RP265"/>
      <c r="RQ265"/>
      <c r="RR265"/>
      <c r="RS265"/>
      <c r="RT265"/>
      <c r="RU265"/>
      <c r="RV265"/>
      <c r="RW265"/>
      <c r="RX265"/>
      <c r="RY265"/>
      <c r="RZ265"/>
      <c r="SA265"/>
      <c r="SB265"/>
      <c r="SC265"/>
      <c r="SD265"/>
      <c r="SE265"/>
      <c r="SF265"/>
      <c r="SG265"/>
      <c r="SH265"/>
      <c r="SI265"/>
      <c r="SJ265"/>
      <c r="SK265"/>
      <c r="SL265"/>
      <c r="SM265"/>
      <c r="SN265"/>
      <c r="SO265"/>
      <c r="SP265"/>
      <c r="SQ265"/>
      <c r="SR265"/>
      <c r="SS265"/>
      <c r="ST265"/>
      <c r="SU265"/>
      <c r="SV265"/>
      <c r="SW265"/>
      <c r="SX265"/>
      <c r="SY265"/>
      <c r="SZ265"/>
      <c r="TA265"/>
      <c r="TB265"/>
      <c r="TC265"/>
      <c r="TD265"/>
      <c r="TE265"/>
      <c r="TF265"/>
      <c r="TG265"/>
      <c r="TH265"/>
    </row>
    <row r="266" spans="3:528" x14ac:dyDescent="0.25">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c r="PC266"/>
      <c r="PD266"/>
      <c r="PE266"/>
      <c r="PF266"/>
      <c r="PG266"/>
      <c r="PH266"/>
      <c r="PI266"/>
      <c r="PJ266"/>
      <c r="PK266"/>
      <c r="PL266"/>
      <c r="PM266"/>
      <c r="PN266"/>
      <c r="PO266"/>
      <c r="PP266"/>
      <c r="PQ266"/>
      <c r="PR266"/>
      <c r="PS266"/>
      <c r="PT266"/>
      <c r="PU266"/>
      <c r="PV266"/>
      <c r="PW266"/>
      <c r="PX266"/>
      <c r="PY266"/>
      <c r="PZ266"/>
      <c r="QA266"/>
      <c r="QB266"/>
      <c r="QC266"/>
      <c r="QD266"/>
      <c r="QE266"/>
      <c r="QF266"/>
      <c r="QG266"/>
      <c r="QH266"/>
      <c r="QI266"/>
      <c r="QJ266"/>
      <c r="QK266"/>
      <c r="QL266"/>
      <c r="QM266"/>
      <c r="QN266"/>
      <c r="QO266"/>
      <c r="QP266"/>
      <c r="QQ266"/>
      <c r="QR266"/>
      <c r="QS266"/>
      <c r="QT266"/>
      <c r="QU266"/>
      <c r="QV266"/>
      <c r="QW266"/>
      <c r="QX266"/>
      <c r="QY266"/>
      <c r="QZ266"/>
      <c r="RA266"/>
      <c r="RB266"/>
      <c r="RC266"/>
      <c r="RD266"/>
      <c r="RE266"/>
      <c r="RF266"/>
      <c r="RG266"/>
      <c r="RH266"/>
      <c r="RI266"/>
      <c r="RJ266"/>
      <c r="RK266"/>
      <c r="RL266"/>
      <c r="RM266"/>
      <c r="RN266"/>
      <c r="RO266"/>
      <c r="RP266"/>
      <c r="RQ266"/>
      <c r="RR266"/>
      <c r="RS266"/>
      <c r="RT266"/>
      <c r="RU266"/>
      <c r="RV266"/>
      <c r="RW266"/>
      <c r="RX266"/>
      <c r="RY266"/>
      <c r="RZ266"/>
      <c r="SA266"/>
      <c r="SB266"/>
      <c r="SC266"/>
      <c r="SD266"/>
      <c r="SE266"/>
      <c r="SF266"/>
      <c r="SG266"/>
      <c r="SH266"/>
      <c r="SI266"/>
      <c r="SJ266"/>
      <c r="SK266"/>
      <c r="SL266"/>
      <c r="SM266"/>
      <c r="SN266"/>
      <c r="SO266"/>
      <c r="SP266"/>
      <c r="SQ266"/>
      <c r="SR266"/>
      <c r="SS266"/>
      <c r="ST266"/>
      <c r="SU266"/>
      <c r="SV266"/>
      <c r="SW266"/>
      <c r="SX266"/>
      <c r="SY266"/>
      <c r="SZ266"/>
      <c r="TA266"/>
      <c r="TB266"/>
      <c r="TC266"/>
      <c r="TD266"/>
      <c r="TE266"/>
      <c r="TF266"/>
      <c r="TG266"/>
      <c r="TH266"/>
    </row>
    <row r="267" spans="3:528" x14ac:dyDescent="0.25">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c r="PC267"/>
      <c r="PD267"/>
      <c r="PE267"/>
      <c r="PF267"/>
      <c r="PG267"/>
      <c r="PH267"/>
      <c r="PI267"/>
      <c r="PJ267"/>
      <c r="PK267"/>
      <c r="PL267"/>
      <c r="PM267"/>
      <c r="PN267"/>
      <c r="PO267"/>
      <c r="PP267"/>
      <c r="PQ267"/>
      <c r="PR267"/>
      <c r="PS267"/>
      <c r="PT267"/>
      <c r="PU267"/>
      <c r="PV267"/>
      <c r="PW267"/>
      <c r="PX267"/>
      <c r="PY267"/>
      <c r="PZ267"/>
      <c r="QA267"/>
      <c r="QB267"/>
      <c r="QC267"/>
      <c r="QD267"/>
      <c r="QE267"/>
      <c r="QF267"/>
      <c r="QG267"/>
      <c r="QH267"/>
      <c r="QI267"/>
      <c r="QJ267"/>
      <c r="QK267"/>
      <c r="QL267"/>
      <c r="QM267"/>
      <c r="QN267"/>
      <c r="QO267"/>
      <c r="QP267"/>
      <c r="QQ267"/>
      <c r="QR267"/>
      <c r="QS267"/>
      <c r="QT267"/>
      <c r="QU267"/>
      <c r="QV267"/>
      <c r="QW267"/>
      <c r="QX267"/>
      <c r="QY267"/>
      <c r="QZ267"/>
      <c r="RA267"/>
      <c r="RB267"/>
      <c r="RC267"/>
      <c r="RD267"/>
      <c r="RE267"/>
      <c r="RF267"/>
      <c r="RG267"/>
      <c r="RH267"/>
      <c r="RI267"/>
      <c r="RJ267"/>
      <c r="RK267"/>
      <c r="RL267"/>
      <c r="RM267"/>
      <c r="RN267"/>
      <c r="RO267"/>
      <c r="RP267"/>
      <c r="RQ267"/>
      <c r="RR267"/>
      <c r="RS267"/>
      <c r="RT267"/>
      <c r="RU267"/>
      <c r="RV267"/>
      <c r="RW267"/>
      <c r="RX267"/>
      <c r="RY267"/>
      <c r="RZ267"/>
      <c r="SA267"/>
      <c r="SB267"/>
      <c r="SC267"/>
      <c r="SD267"/>
      <c r="SE267"/>
      <c r="SF267"/>
      <c r="SG267"/>
      <c r="SH267"/>
      <c r="SI267"/>
      <c r="SJ267"/>
      <c r="SK267"/>
      <c r="SL267"/>
      <c r="SM267"/>
      <c r="SN267"/>
      <c r="SO267"/>
      <c r="SP267"/>
      <c r="SQ267"/>
      <c r="SR267"/>
      <c r="SS267"/>
      <c r="ST267"/>
      <c r="SU267"/>
      <c r="SV267"/>
      <c r="SW267"/>
      <c r="SX267"/>
      <c r="SY267"/>
      <c r="SZ267"/>
      <c r="TA267"/>
      <c r="TB267"/>
      <c r="TC267"/>
      <c r="TD267"/>
      <c r="TE267"/>
      <c r="TF267"/>
      <c r="TG267"/>
      <c r="TH267"/>
    </row>
    <row r="268" spans="3:528" x14ac:dyDescent="0.25">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c r="PC268"/>
      <c r="PD268"/>
      <c r="PE268"/>
      <c r="PF268"/>
      <c r="PG268"/>
      <c r="PH268"/>
      <c r="PI268"/>
      <c r="PJ268"/>
      <c r="PK268"/>
      <c r="PL268"/>
      <c r="PM268"/>
      <c r="PN268"/>
      <c r="PO268"/>
      <c r="PP268"/>
      <c r="PQ268"/>
      <c r="PR268"/>
      <c r="PS268"/>
      <c r="PT268"/>
      <c r="PU268"/>
      <c r="PV268"/>
      <c r="PW268"/>
      <c r="PX268"/>
      <c r="PY268"/>
      <c r="PZ268"/>
      <c r="QA268"/>
      <c r="QB268"/>
      <c r="QC268"/>
      <c r="QD268"/>
      <c r="QE268"/>
      <c r="QF268"/>
      <c r="QG268"/>
      <c r="QH268"/>
      <c r="QI268"/>
      <c r="QJ268"/>
      <c r="QK268"/>
      <c r="QL268"/>
      <c r="QM268"/>
      <c r="QN268"/>
      <c r="QO268"/>
      <c r="QP268"/>
      <c r="QQ268"/>
      <c r="QR268"/>
      <c r="QS268"/>
      <c r="QT268"/>
      <c r="QU268"/>
      <c r="QV268"/>
      <c r="QW268"/>
      <c r="QX268"/>
      <c r="QY268"/>
      <c r="QZ268"/>
      <c r="RA268"/>
      <c r="RB268"/>
      <c r="RC268"/>
      <c r="RD268"/>
      <c r="RE268"/>
      <c r="RF268"/>
      <c r="RG268"/>
      <c r="RH268"/>
      <c r="RI268"/>
      <c r="RJ268"/>
      <c r="RK268"/>
      <c r="RL268"/>
      <c r="RM268"/>
      <c r="RN268"/>
      <c r="RO268"/>
      <c r="RP268"/>
      <c r="RQ268"/>
      <c r="RR268"/>
      <c r="RS268"/>
      <c r="RT268"/>
      <c r="RU268"/>
      <c r="RV268"/>
      <c r="RW268"/>
      <c r="RX268"/>
      <c r="RY268"/>
      <c r="RZ268"/>
      <c r="SA268"/>
      <c r="SB268"/>
      <c r="SC268"/>
      <c r="SD268"/>
      <c r="SE268"/>
      <c r="SF268"/>
      <c r="SG268"/>
      <c r="SH268"/>
      <c r="SI268"/>
      <c r="SJ268"/>
      <c r="SK268"/>
      <c r="SL268"/>
      <c r="SM268"/>
      <c r="SN268"/>
      <c r="SO268"/>
      <c r="SP268"/>
      <c r="SQ268"/>
      <c r="SR268"/>
      <c r="SS268"/>
      <c r="ST268"/>
      <c r="SU268"/>
      <c r="SV268"/>
      <c r="SW268"/>
      <c r="SX268"/>
      <c r="SY268"/>
      <c r="SZ268"/>
      <c r="TA268"/>
      <c r="TB268"/>
      <c r="TC268"/>
      <c r="TD268"/>
      <c r="TE268"/>
      <c r="TF268"/>
      <c r="TG268"/>
      <c r="TH268"/>
    </row>
    <row r="269" spans="3:528" x14ac:dyDescent="0.25">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c r="PC269"/>
      <c r="PD269"/>
      <c r="PE269"/>
      <c r="PF269"/>
      <c r="PG269"/>
      <c r="PH269"/>
      <c r="PI269"/>
      <c r="PJ269"/>
      <c r="PK269"/>
      <c r="PL269"/>
      <c r="PM269"/>
      <c r="PN269"/>
      <c r="PO269"/>
      <c r="PP269"/>
      <c r="PQ269"/>
      <c r="PR269"/>
      <c r="PS269"/>
      <c r="PT269"/>
      <c r="PU269"/>
      <c r="PV269"/>
      <c r="PW269"/>
      <c r="PX269"/>
      <c r="PY269"/>
      <c r="PZ269"/>
      <c r="QA269"/>
      <c r="QB269"/>
      <c r="QC269"/>
      <c r="QD269"/>
      <c r="QE269"/>
      <c r="QF269"/>
      <c r="QG269"/>
      <c r="QH269"/>
      <c r="QI269"/>
      <c r="QJ269"/>
      <c r="QK269"/>
      <c r="QL269"/>
      <c r="QM269"/>
      <c r="QN269"/>
      <c r="QO269"/>
      <c r="QP269"/>
      <c r="QQ269"/>
      <c r="QR269"/>
      <c r="QS269"/>
      <c r="QT269"/>
      <c r="QU269"/>
      <c r="QV269"/>
      <c r="QW269"/>
      <c r="QX269"/>
      <c r="QY269"/>
      <c r="QZ269"/>
      <c r="RA269"/>
      <c r="RB269"/>
      <c r="RC269"/>
      <c r="RD269"/>
      <c r="RE269"/>
      <c r="RF269"/>
      <c r="RG269"/>
      <c r="RH269"/>
      <c r="RI269"/>
      <c r="RJ269"/>
      <c r="RK269"/>
      <c r="RL269"/>
      <c r="RM269"/>
      <c r="RN269"/>
      <c r="RO269"/>
      <c r="RP269"/>
      <c r="RQ269"/>
      <c r="RR269"/>
      <c r="RS269"/>
      <c r="RT269"/>
      <c r="RU269"/>
      <c r="RV269"/>
      <c r="RW269"/>
      <c r="RX269"/>
      <c r="RY269"/>
      <c r="RZ269"/>
      <c r="SA269"/>
      <c r="SB269"/>
      <c r="SC269"/>
      <c r="SD269"/>
      <c r="SE269"/>
      <c r="SF269"/>
      <c r="SG269"/>
      <c r="SH269"/>
      <c r="SI269"/>
      <c r="SJ269"/>
      <c r="SK269"/>
      <c r="SL269"/>
      <c r="SM269"/>
      <c r="SN269"/>
      <c r="SO269"/>
      <c r="SP269"/>
      <c r="SQ269"/>
      <c r="SR269"/>
      <c r="SS269"/>
      <c r="ST269"/>
      <c r="SU269"/>
      <c r="SV269"/>
      <c r="SW269"/>
      <c r="SX269"/>
      <c r="SY269"/>
      <c r="SZ269"/>
      <c r="TA269"/>
      <c r="TB269"/>
      <c r="TC269"/>
      <c r="TD269"/>
      <c r="TE269"/>
      <c r="TF269"/>
      <c r="TG269"/>
      <c r="TH269"/>
    </row>
    <row r="270" spans="3:528" x14ac:dyDescent="0.25">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c r="PC270"/>
      <c r="PD270"/>
      <c r="PE270"/>
      <c r="PF270"/>
      <c r="PG270"/>
      <c r="PH270"/>
      <c r="PI270"/>
      <c r="PJ270"/>
      <c r="PK270"/>
      <c r="PL270"/>
      <c r="PM270"/>
      <c r="PN270"/>
      <c r="PO270"/>
      <c r="PP270"/>
      <c r="PQ270"/>
      <c r="PR270"/>
      <c r="PS270"/>
      <c r="PT270"/>
      <c r="PU270"/>
      <c r="PV270"/>
      <c r="PW270"/>
      <c r="PX270"/>
      <c r="PY270"/>
      <c r="PZ270"/>
      <c r="QA270"/>
      <c r="QB270"/>
      <c r="QC270"/>
      <c r="QD270"/>
      <c r="QE270"/>
      <c r="QF270"/>
      <c r="QG270"/>
      <c r="QH270"/>
      <c r="QI270"/>
      <c r="QJ270"/>
      <c r="QK270"/>
      <c r="QL270"/>
      <c r="QM270"/>
      <c r="QN270"/>
      <c r="QO270"/>
      <c r="QP270"/>
      <c r="QQ270"/>
      <c r="QR270"/>
      <c r="QS270"/>
      <c r="QT270"/>
      <c r="QU270"/>
      <c r="QV270"/>
      <c r="QW270"/>
      <c r="QX270"/>
      <c r="QY270"/>
      <c r="QZ270"/>
      <c r="RA270"/>
      <c r="RB270"/>
      <c r="RC270"/>
      <c r="RD270"/>
      <c r="RE270"/>
      <c r="RF270"/>
      <c r="RG270"/>
      <c r="RH270"/>
      <c r="RI270"/>
      <c r="RJ270"/>
      <c r="RK270"/>
      <c r="RL270"/>
      <c r="RM270"/>
      <c r="RN270"/>
      <c r="RO270"/>
      <c r="RP270"/>
      <c r="RQ270"/>
      <c r="RR270"/>
      <c r="RS270"/>
      <c r="RT270"/>
      <c r="RU270"/>
      <c r="RV270"/>
      <c r="RW270"/>
      <c r="RX270"/>
      <c r="RY270"/>
      <c r="RZ270"/>
      <c r="SA270"/>
      <c r="SB270"/>
      <c r="SC270"/>
      <c r="SD270"/>
      <c r="SE270"/>
      <c r="SF270"/>
      <c r="SG270"/>
      <c r="SH270"/>
      <c r="SI270"/>
      <c r="SJ270"/>
      <c r="SK270"/>
      <c r="SL270"/>
      <c r="SM270"/>
      <c r="SN270"/>
      <c r="SO270"/>
      <c r="SP270"/>
      <c r="SQ270"/>
      <c r="SR270"/>
      <c r="SS270"/>
      <c r="ST270"/>
      <c r="SU270"/>
      <c r="SV270"/>
      <c r="SW270"/>
      <c r="SX270"/>
      <c r="SY270"/>
      <c r="SZ270"/>
      <c r="TA270"/>
      <c r="TB270"/>
      <c r="TC270"/>
      <c r="TD270"/>
      <c r="TE270"/>
      <c r="TF270"/>
      <c r="TG270"/>
      <c r="TH270"/>
    </row>
    <row r="271" spans="3:528" x14ac:dyDescent="0.25">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c r="PC271"/>
      <c r="PD271"/>
      <c r="PE271"/>
      <c r="PF271"/>
      <c r="PG271"/>
      <c r="PH271"/>
      <c r="PI271"/>
      <c r="PJ271"/>
      <c r="PK271"/>
      <c r="PL271"/>
      <c r="PM271"/>
      <c r="PN271"/>
      <c r="PO271"/>
      <c r="PP271"/>
      <c r="PQ271"/>
      <c r="PR271"/>
      <c r="PS271"/>
      <c r="PT271"/>
      <c r="PU271"/>
      <c r="PV271"/>
      <c r="PW271"/>
      <c r="PX271"/>
      <c r="PY271"/>
      <c r="PZ271"/>
      <c r="QA271"/>
      <c r="QB271"/>
      <c r="QC271"/>
      <c r="QD271"/>
      <c r="QE271"/>
      <c r="QF271"/>
      <c r="QG271"/>
      <c r="QH271"/>
      <c r="QI271"/>
      <c r="QJ271"/>
      <c r="QK271"/>
      <c r="QL271"/>
      <c r="QM271"/>
      <c r="QN271"/>
      <c r="QO271"/>
      <c r="QP271"/>
      <c r="QQ271"/>
      <c r="QR271"/>
      <c r="QS271"/>
      <c r="QT271"/>
      <c r="QU271"/>
      <c r="QV271"/>
      <c r="QW271"/>
      <c r="QX271"/>
      <c r="QY271"/>
      <c r="QZ271"/>
      <c r="RA271"/>
      <c r="RB271"/>
      <c r="RC271"/>
      <c r="RD271"/>
      <c r="RE271"/>
      <c r="RF271"/>
      <c r="RG271"/>
      <c r="RH271"/>
      <c r="RI271"/>
      <c r="RJ271"/>
      <c r="RK271"/>
      <c r="RL271"/>
      <c r="RM271"/>
      <c r="RN271"/>
      <c r="RO271"/>
      <c r="RP271"/>
      <c r="RQ271"/>
      <c r="RR271"/>
      <c r="RS271"/>
      <c r="RT271"/>
      <c r="RU271"/>
      <c r="RV271"/>
      <c r="RW271"/>
      <c r="RX271"/>
      <c r="RY271"/>
      <c r="RZ271"/>
      <c r="SA271"/>
      <c r="SB271"/>
      <c r="SC271"/>
      <c r="SD271"/>
      <c r="SE271"/>
      <c r="SF271"/>
      <c r="SG271"/>
      <c r="SH271"/>
      <c r="SI271"/>
      <c r="SJ271"/>
      <c r="SK271"/>
      <c r="SL271"/>
      <c r="SM271"/>
      <c r="SN271"/>
      <c r="SO271"/>
      <c r="SP271"/>
      <c r="SQ271"/>
      <c r="SR271"/>
      <c r="SS271"/>
      <c r="ST271"/>
      <c r="SU271"/>
      <c r="SV271"/>
      <c r="SW271"/>
      <c r="SX271"/>
      <c r="SY271"/>
      <c r="SZ271"/>
      <c r="TA271"/>
      <c r="TB271"/>
      <c r="TC271"/>
      <c r="TD271"/>
      <c r="TE271"/>
      <c r="TF271"/>
      <c r="TG271"/>
      <c r="TH271"/>
    </row>
    <row r="272" spans="3:528" x14ac:dyDescent="0.25">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c r="PC272"/>
      <c r="PD272"/>
      <c r="PE272"/>
      <c r="PF272"/>
      <c r="PG272"/>
      <c r="PH272"/>
      <c r="PI272"/>
      <c r="PJ272"/>
      <c r="PK272"/>
      <c r="PL272"/>
      <c r="PM272"/>
      <c r="PN272"/>
      <c r="PO272"/>
      <c r="PP272"/>
      <c r="PQ272"/>
      <c r="PR272"/>
      <c r="PS272"/>
      <c r="PT272"/>
      <c r="PU272"/>
      <c r="PV272"/>
      <c r="PW272"/>
      <c r="PX272"/>
      <c r="PY272"/>
      <c r="PZ272"/>
      <c r="QA272"/>
      <c r="QB272"/>
      <c r="QC272"/>
      <c r="QD272"/>
      <c r="QE272"/>
      <c r="QF272"/>
      <c r="QG272"/>
      <c r="QH272"/>
      <c r="QI272"/>
      <c r="QJ272"/>
      <c r="QK272"/>
      <c r="QL272"/>
      <c r="QM272"/>
      <c r="QN272"/>
      <c r="QO272"/>
      <c r="QP272"/>
      <c r="QQ272"/>
      <c r="QR272"/>
      <c r="QS272"/>
      <c r="QT272"/>
      <c r="QU272"/>
      <c r="QV272"/>
      <c r="QW272"/>
      <c r="QX272"/>
      <c r="QY272"/>
      <c r="QZ272"/>
      <c r="RA272"/>
      <c r="RB272"/>
      <c r="RC272"/>
      <c r="RD272"/>
      <c r="RE272"/>
      <c r="RF272"/>
      <c r="RG272"/>
      <c r="RH272"/>
      <c r="RI272"/>
      <c r="RJ272"/>
      <c r="RK272"/>
      <c r="RL272"/>
      <c r="RM272"/>
      <c r="RN272"/>
      <c r="RO272"/>
      <c r="RP272"/>
      <c r="RQ272"/>
      <c r="RR272"/>
      <c r="RS272"/>
      <c r="RT272"/>
      <c r="RU272"/>
      <c r="RV272"/>
      <c r="RW272"/>
      <c r="RX272"/>
      <c r="RY272"/>
      <c r="RZ272"/>
      <c r="SA272"/>
      <c r="SB272"/>
      <c r="SC272"/>
      <c r="SD272"/>
      <c r="SE272"/>
      <c r="SF272"/>
      <c r="SG272"/>
      <c r="SH272"/>
      <c r="SI272"/>
      <c r="SJ272"/>
      <c r="SK272"/>
      <c r="SL272"/>
      <c r="SM272"/>
      <c r="SN272"/>
      <c r="SO272"/>
      <c r="SP272"/>
      <c r="SQ272"/>
      <c r="SR272"/>
      <c r="SS272"/>
      <c r="ST272"/>
      <c r="SU272"/>
      <c r="SV272"/>
      <c r="SW272"/>
      <c r="SX272"/>
      <c r="SY272"/>
      <c r="SZ272"/>
      <c r="TA272"/>
      <c r="TB272"/>
      <c r="TC272"/>
      <c r="TD272"/>
      <c r="TE272"/>
      <c r="TF272"/>
      <c r="TG272"/>
      <c r="TH272"/>
    </row>
    <row r="273" spans="3:528" x14ac:dyDescent="0.25">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c r="PC273"/>
      <c r="PD273"/>
      <c r="PE273"/>
      <c r="PF273"/>
      <c r="PG273"/>
      <c r="PH273"/>
      <c r="PI273"/>
      <c r="PJ273"/>
      <c r="PK273"/>
      <c r="PL273"/>
      <c r="PM273"/>
      <c r="PN273"/>
      <c r="PO273"/>
      <c r="PP273"/>
      <c r="PQ273"/>
      <c r="PR273"/>
      <c r="PS273"/>
      <c r="PT273"/>
      <c r="PU273"/>
      <c r="PV273"/>
      <c r="PW273"/>
      <c r="PX273"/>
      <c r="PY273"/>
      <c r="PZ273"/>
      <c r="QA273"/>
      <c r="QB273"/>
      <c r="QC273"/>
      <c r="QD273"/>
      <c r="QE273"/>
      <c r="QF273"/>
      <c r="QG273"/>
      <c r="QH273"/>
      <c r="QI273"/>
      <c r="QJ273"/>
      <c r="QK273"/>
      <c r="QL273"/>
      <c r="QM273"/>
      <c r="QN273"/>
      <c r="QO273"/>
      <c r="QP273"/>
      <c r="QQ273"/>
      <c r="QR273"/>
      <c r="QS273"/>
      <c r="QT273"/>
      <c r="QU273"/>
      <c r="QV273"/>
      <c r="QW273"/>
      <c r="QX273"/>
      <c r="QY273"/>
      <c r="QZ273"/>
      <c r="RA273"/>
      <c r="RB273"/>
      <c r="RC273"/>
      <c r="RD273"/>
      <c r="RE273"/>
      <c r="RF273"/>
      <c r="RG273"/>
      <c r="RH273"/>
      <c r="RI273"/>
      <c r="RJ273"/>
      <c r="RK273"/>
      <c r="RL273"/>
      <c r="RM273"/>
      <c r="RN273"/>
      <c r="RO273"/>
      <c r="RP273"/>
      <c r="RQ273"/>
      <c r="RR273"/>
      <c r="RS273"/>
      <c r="RT273"/>
      <c r="RU273"/>
      <c r="RV273"/>
      <c r="RW273"/>
      <c r="RX273"/>
      <c r="RY273"/>
      <c r="RZ273"/>
      <c r="SA273"/>
      <c r="SB273"/>
      <c r="SC273"/>
      <c r="SD273"/>
      <c r="SE273"/>
      <c r="SF273"/>
      <c r="SG273"/>
      <c r="SH273"/>
      <c r="SI273"/>
      <c r="SJ273"/>
      <c r="SK273"/>
      <c r="SL273"/>
      <c r="SM273"/>
      <c r="SN273"/>
      <c r="SO273"/>
      <c r="SP273"/>
      <c r="SQ273"/>
      <c r="SR273"/>
      <c r="SS273"/>
      <c r="ST273"/>
      <c r="SU273"/>
      <c r="SV273"/>
      <c r="SW273"/>
      <c r="SX273"/>
      <c r="SY273"/>
      <c r="SZ273"/>
      <c r="TA273"/>
      <c r="TB273"/>
      <c r="TC273"/>
      <c r="TD273"/>
      <c r="TE273"/>
      <c r="TF273"/>
      <c r="TG273"/>
      <c r="TH273"/>
    </row>
    <row r="274" spans="3:528" x14ac:dyDescent="0.25">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c r="PC274"/>
      <c r="PD274"/>
      <c r="PE274"/>
      <c r="PF274"/>
      <c r="PG274"/>
      <c r="PH274"/>
      <c r="PI274"/>
      <c r="PJ274"/>
      <c r="PK274"/>
      <c r="PL274"/>
      <c r="PM274"/>
      <c r="PN274"/>
      <c r="PO274"/>
      <c r="PP274"/>
      <c r="PQ274"/>
      <c r="PR274"/>
      <c r="PS274"/>
      <c r="PT274"/>
      <c r="PU274"/>
      <c r="PV274"/>
      <c r="PW274"/>
      <c r="PX274"/>
      <c r="PY274"/>
      <c r="PZ274"/>
      <c r="QA274"/>
      <c r="QB274"/>
      <c r="QC274"/>
      <c r="QD274"/>
      <c r="QE274"/>
      <c r="QF274"/>
      <c r="QG274"/>
      <c r="QH274"/>
      <c r="QI274"/>
      <c r="QJ274"/>
      <c r="QK274"/>
      <c r="QL274"/>
      <c r="QM274"/>
      <c r="QN274"/>
      <c r="QO274"/>
      <c r="QP274"/>
      <c r="QQ274"/>
      <c r="QR274"/>
      <c r="QS274"/>
      <c r="QT274"/>
      <c r="QU274"/>
      <c r="QV274"/>
      <c r="QW274"/>
      <c r="QX274"/>
      <c r="QY274"/>
      <c r="QZ274"/>
      <c r="RA274"/>
      <c r="RB274"/>
      <c r="RC274"/>
      <c r="RD274"/>
      <c r="RE274"/>
      <c r="RF274"/>
      <c r="RG274"/>
      <c r="RH274"/>
      <c r="RI274"/>
      <c r="RJ274"/>
      <c r="RK274"/>
      <c r="RL274"/>
      <c r="RM274"/>
      <c r="RN274"/>
      <c r="RO274"/>
      <c r="RP274"/>
      <c r="RQ274"/>
      <c r="RR274"/>
      <c r="RS274"/>
      <c r="RT274"/>
      <c r="RU274"/>
      <c r="RV274"/>
      <c r="RW274"/>
      <c r="RX274"/>
      <c r="RY274"/>
      <c r="RZ274"/>
      <c r="SA274"/>
      <c r="SB274"/>
      <c r="SC274"/>
      <c r="SD274"/>
      <c r="SE274"/>
      <c r="SF274"/>
      <c r="SG274"/>
      <c r="SH274"/>
      <c r="SI274"/>
      <c r="SJ274"/>
      <c r="SK274"/>
      <c r="SL274"/>
      <c r="SM274"/>
      <c r="SN274"/>
      <c r="SO274"/>
      <c r="SP274"/>
      <c r="SQ274"/>
      <c r="SR274"/>
      <c r="SS274"/>
      <c r="ST274"/>
      <c r="SU274"/>
      <c r="SV274"/>
      <c r="SW274"/>
      <c r="SX274"/>
      <c r="SY274"/>
      <c r="SZ274"/>
      <c r="TA274"/>
      <c r="TB274"/>
      <c r="TC274"/>
      <c r="TD274"/>
      <c r="TE274"/>
      <c r="TF274"/>
      <c r="TG274"/>
      <c r="TH274"/>
    </row>
    <row r="275" spans="3:528" x14ac:dyDescent="0.2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c r="PC275"/>
      <c r="PD275"/>
      <c r="PE275"/>
      <c r="PF275"/>
      <c r="PG275"/>
      <c r="PH275"/>
      <c r="PI275"/>
      <c r="PJ275"/>
      <c r="PK275"/>
      <c r="PL275"/>
      <c r="PM275"/>
      <c r="PN275"/>
      <c r="PO275"/>
      <c r="PP275"/>
      <c r="PQ275"/>
      <c r="PR275"/>
      <c r="PS275"/>
      <c r="PT275"/>
      <c r="PU275"/>
      <c r="PV275"/>
      <c r="PW275"/>
      <c r="PX275"/>
      <c r="PY275"/>
      <c r="PZ275"/>
      <c r="QA275"/>
      <c r="QB275"/>
      <c r="QC275"/>
      <c r="QD275"/>
      <c r="QE275"/>
      <c r="QF275"/>
      <c r="QG275"/>
      <c r="QH275"/>
      <c r="QI275"/>
      <c r="QJ275"/>
      <c r="QK275"/>
      <c r="QL275"/>
      <c r="QM275"/>
      <c r="QN275"/>
      <c r="QO275"/>
      <c r="QP275"/>
      <c r="QQ275"/>
      <c r="QR275"/>
      <c r="QS275"/>
      <c r="QT275"/>
      <c r="QU275"/>
      <c r="QV275"/>
      <c r="QW275"/>
      <c r="QX275"/>
      <c r="QY275"/>
      <c r="QZ275"/>
      <c r="RA275"/>
      <c r="RB275"/>
      <c r="RC275"/>
      <c r="RD275"/>
      <c r="RE275"/>
      <c r="RF275"/>
      <c r="RG275"/>
      <c r="RH275"/>
      <c r="RI275"/>
      <c r="RJ275"/>
      <c r="RK275"/>
      <c r="RL275"/>
      <c r="RM275"/>
      <c r="RN275"/>
      <c r="RO275"/>
      <c r="RP275"/>
      <c r="RQ275"/>
      <c r="RR275"/>
      <c r="RS275"/>
      <c r="RT275"/>
      <c r="RU275"/>
      <c r="RV275"/>
      <c r="RW275"/>
      <c r="RX275"/>
      <c r="RY275"/>
      <c r="RZ275"/>
      <c r="SA275"/>
      <c r="SB275"/>
      <c r="SC275"/>
      <c r="SD275"/>
      <c r="SE275"/>
      <c r="SF275"/>
      <c r="SG275"/>
      <c r="SH275"/>
      <c r="SI275"/>
      <c r="SJ275"/>
      <c r="SK275"/>
      <c r="SL275"/>
      <c r="SM275"/>
      <c r="SN275"/>
      <c r="SO275"/>
      <c r="SP275"/>
      <c r="SQ275"/>
      <c r="SR275"/>
      <c r="SS275"/>
      <c r="ST275"/>
      <c r="SU275"/>
      <c r="SV275"/>
      <c r="SW275"/>
      <c r="SX275"/>
      <c r="SY275"/>
      <c r="SZ275"/>
      <c r="TA275"/>
      <c r="TB275"/>
      <c r="TC275"/>
      <c r="TD275"/>
      <c r="TE275"/>
      <c r="TF275"/>
      <c r="TG275"/>
      <c r="TH275"/>
    </row>
    <row r="276" spans="3:528" x14ac:dyDescent="0.25">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c r="PC276"/>
      <c r="PD276"/>
      <c r="PE276"/>
      <c r="PF276"/>
      <c r="PG276"/>
      <c r="PH276"/>
      <c r="PI276"/>
      <c r="PJ276"/>
      <c r="PK276"/>
      <c r="PL276"/>
      <c r="PM276"/>
      <c r="PN276"/>
      <c r="PO276"/>
      <c r="PP276"/>
      <c r="PQ276"/>
      <c r="PR276"/>
      <c r="PS276"/>
      <c r="PT276"/>
      <c r="PU276"/>
      <c r="PV276"/>
      <c r="PW276"/>
      <c r="PX276"/>
      <c r="PY276"/>
      <c r="PZ276"/>
      <c r="QA276"/>
      <c r="QB276"/>
      <c r="QC276"/>
      <c r="QD276"/>
      <c r="QE276"/>
      <c r="QF276"/>
      <c r="QG276"/>
      <c r="QH276"/>
      <c r="QI276"/>
      <c r="QJ276"/>
      <c r="QK276"/>
      <c r="QL276"/>
      <c r="QM276"/>
      <c r="QN276"/>
      <c r="QO276"/>
      <c r="QP276"/>
      <c r="QQ276"/>
      <c r="QR276"/>
      <c r="QS276"/>
      <c r="QT276"/>
      <c r="QU276"/>
      <c r="QV276"/>
      <c r="QW276"/>
      <c r="QX276"/>
      <c r="QY276"/>
      <c r="QZ276"/>
      <c r="RA276"/>
      <c r="RB276"/>
      <c r="RC276"/>
      <c r="RD276"/>
      <c r="RE276"/>
      <c r="RF276"/>
      <c r="RG276"/>
      <c r="RH276"/>
      <c r="RI276"/>
      <c r="RJ276"/>
      <c r="RK276"/>
      <c r="RL276"/>
      <c r="RM276"/>
      <c r="RN276"/>
      <c r="RO276"/>
      <c r="RP276"/>
      <c r="RQ276"/>
      <c r="RR276"/>
      <c r="RS276"/>
      <c r="RT276"/>
      <c r="RU276"/>
      <c r="RV276"/>
      <c r="RW276"/>
      <c r="RX276"/>
      <c r="RY276"/>
      <c r="RZ276"/>
      <c r="SA276"/>
      <c r="SB276"/>
      <c r="SC276"/>
      <c r="SD276"/>
      <c r="SE276"/>
      <c r="SF276"/>
      <c r="SG276"/>
      <c r="SH276"/>
      <c r="SI276"/>
      <c r="SJ276"/>
      <c r="SK276"/>
      <c r="SL276"/>
      <c r="SM276"/>
      <c r="SN276"/>
      <c r="SO276"/>
      <c r="SP276"/>
      <c r="SQ276"/>
      <c r="SR276"/>
      <c r="SS276"/>
      <c r="ST276"/>
      <c r="SU276"/>
      <c r="SV276"/>
      <c r="SW276"/>
      <c r="SX276"/>
      <c r="SY276"/>
      <c r="SZ276"/>
      <c r="TA276"/>
      <c r="TB276"/>
      <c r="TC276"/>
      <c r="TD276"/>
      <c r="TE276"/>
      <c r="TF276"/>
      <c r="TG276"/>
      <c r="TH276"/>
    </row>
    <row r="277" spans="3:528" x14ac:dyDescent="0.25">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c r="PC277"/>
      <c r="PD277"/>
      <c r="PE277"/>
      <c r="PF277"/>
      <c r="PG277"/>
      <c r="PH277"/>
      <c r="PI277"/>
      <c r="PJ277"/>
      <c r="PK277"/>
      <c r="PL277"/>
      <c r="PM277"/>
      <c r="PN277"/>
      <c r="PO277"/>
      <c r="PP277"/>
      <c r="PQ277"/>
      <c r="PR277"/>
      <c r="PS277"/>
      <c r="PT277"/>
      <c r="PU277"/>
      <c r="PV277"/>
      <c r="PW277"/>
      <c r="PX277"/>
      <c r="PY277"/>
      <c r="PZ277"/>
      <c r="QA277"/>
      <c r="QB277"/>
      <c r="QC277"/>
      <c r="QD277"/>
      <c r="QE277"/>
      <c r="QF277"/>
      <c r="QG277"/>
      <c r="QH277"/>
      <c r="QI277"/>
      <c r="QJ277"/>
      <c r="QK277"/>
      <c r="QL277"/>
      <c r="QM277"/>
      <c r="QN277"/>
      <c r="QO277"/>
      <c r="QP277"/>
      <c r="QQ277"/>
      <c r="QR277"/>
      <c r="QS277"/>
      <c r="QT277"/>
      <c r="QU277"/>
      <c r="QV277"/>
      <c r="QW277"/>
      <c r="QX277"/>
      <c r="QY277"/>
      <c r="QZ277"/>
      <c r="RA277"/>
      <c r="RB277"/>
      <c r="RC277"/>
      <c r="RD277"/>
      <c r="RE277"/>
      <c r="RF277"/>
      <c r="RG277"/>
      <c r="RH277"/>
      <c r="RI277"/>
      <c r="RJ277"/>
      <c r="RK277"/>
      <c r="RL277"/>
      <c r="RM277"/>
      <c r="RN277"/>
      <c r="RO277"/>
      <c r="RP277"/>
      <c r="RQ277"/>
      <c r="RR277"/>
      <c r="RS277"/>
      <c r="RT277"/>
      <c r="RU277"/>
      <c r="RV277"/>
      <c r="RW277"/>
      <c r="RX277"/>
      <c r="RY277"/>
      <c r="RZ277"/>
      <c r="SA277"/>
      <c r="SB277"/>
      <c r="SC277"/>
      <c r="SD277"/>
      <c r="SE277"/>
      <c r="SF277"/>
      <c r="SG277"/>
      <c r="SH277"/>
      <c r="SI277"/>
      <c r="SJ277"/>
      <c r="SK277"/>
      <c r="SL277"/>
      <c r="SM277"/>
      <c r="SN277"/>
      <c r="SO277"/>
      <c r="SP277"/>
      <c r="SQ277"/>
      <c r="SR277"/>
      <c r="SS277"/>
      <c r="ST277"/>
      <c r="SU277"/>
      <c r="SV277"/>
      <c r="SW277"/>
      <c r="SX277"/>
      <c r="SY277"/>
      <c r="SZ277"/>
      <c r="TA277"/>
      <c r="TB277"/>
      <c r="TC277"/>
      <c r="TD277"/>
      <c r="TE277"/>
      <c r="TF277"/>
      <c r="TG277"/>
      <c r="TH277"/>
    </row>
    <row r="278" spans="3:528" x14ac:dyDescent="0.25">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c r="PC278"/>
      <c r="PD278"/>
      <c r="PE278"/>
      <c r="PF278"/>
      <c r="PG278"/>
      <c r="PH278"/>
      <c r="PI278"/>
      <c r="PJ278"/>
      <c r="PK278"/>
      <c r="PL278"/>
      <c r="PM278"/>
      <c r="PN278"/>
      <c r="PO278"/>
      <c r="PP278"/>
      <c r="PQ278"/>
      <c r="PR278"/>
      <c r="PS278"/>
      <c r="PT278"/>
      <c r="PU278"/>
      <c r="PV278"/>
      <c r="PW278"/>
      <c r="PX278"/>
      <c r="PY278"/>
      <c r="PZ278"/>
      <c r="QA278"/>
      <c r="QB278"/>
      <c r="QC278"/>
      <c r="QD278"/>
      <c r="QE278"/>
      <c r="QF278"/>
      <c r="QG278"/>
      <c r="QH278"/>
      <c r="QI278"/>
      <c r="QJ278"/>
      <c r="QK278"/>
      <c r="QL278"/>
      <c r="QM278"/>
      <c r="QN278"/>
      <c r="QO278"/>
      <c r="QP278"/>
      <c r="QQ278"/>
      <c r="QR278"/>
      <c r="QS278"/>
      <c r="QT278"/>
      <c r="QU278"/>
      <c r="QV278"/>
      <c r="QW278"/>
      <c r="QX278"/>
      <c r="QY278"/>
      <c r="QZ278"/>
      <c r="RA278"/>
      <c r="RB278"/>
      <c r="RC278"/>
      <c r="RD278"/>
      <c r="RE278"/>
      <c r="RF278"/>
      <c r="RG278"/>
      <c r="RH278"/>
      <c r="RI278"/>
      <c r="RJ278"/>
      <c r="RK278"/>
      <c r="RL278"/>
      <c r="RM278"/>
      <c r="RN278"/>
      <c r="RO278"/>
      <c r="RP278"/>
      <c r="RQ278"/>
      <c r="RR278"/>
      <c r="RS278"/>
      <c r="RT278"/>
      <c r="RU278"/>
      <c r="RV278"/>
      <c r="RW278"/>
      <c r="RX278"/>
      <c r="RY278"/>
      <c r="RZ278"/>
      <c r="SA278"/>
      <c r="SB278"/>
      <c r="SC278"/>
      <c r="SD278"/>
      <c r="SE278"/>
      <c r="SF278"/>
      <c r="SG278"/>
      <c r="SH278"/>
      <c r="SI278"/>
      <c r="SJ278"/>
      <c r="SK278"/>
      <c r="SL278"/>
      <c r="SM278"/>
      <c r="SN278"/>
      <c r="SO278"/>
      <c r="SP278"/>
      <c r="SQ278"/>
      <c r="SR278"/>
      <c r="SS278"/>
      <c r="ST278"/>
      <c r="SU278"/>
      <c r="SV278"/>
      <c r="SW278"/>
      <c r="SX278"/>
      <c r="SY278"/>
      <c r="SZ278"/>
      <c r="TA278"/>
      <c r="TB278"/>
      <c r="TC278"/>
      <c r="TD278"/>
      <c r="TE278"/>
      <c r="TF278"/>
      <c r="TG278"/>
      <c r="TH278"/>
    </row>
    <row r="279" spans="3:528" x14ac:dyDescent="0.25">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c r="PC279"/>
      <c r="PD279"/>
      <c r="PE279"/>
      <c r="PF279"/>
      <c r="PG279"/>
      <c r="PH279"/>
      <c r="PI279"/>
      <c r="PJ279"/>
      <c r="PK279"/>
      <c r="PL279"/>
      <c r="PM279"/>
      <c r="PN279"/>
      <c r="PO279"/>
      <c r="PP279"/>
      <c r="PQ279"/>
      <c r="PR279"/>
      <c r="PS279"/>
      <c r="PT279"/>
      <c r="PU279"/>
      <c r="PV279"/>
      <c r="PW279"/>
      <c r="PX279"/>
      <c r="PY279"/>
      <c r="PZ279"/>
      <c r="QA279"/>
      <c r="QB279"/>
      <c r="QC279"/>
      <c r="QD279"/>
      <c r="QE279"/>
      <c r="QF279"/>
      <c r="QG279"/>
      <c r="QH279"/>
      <c r="QI279"/>
      <c r="QJ279"/>
      <c r="QK279"/>
      <c r="QL279"/>
      <c r="QM279"/>
      <c r="QN279"/>
      <c r="QO279"/>
      <c r="QP279"/>
      <c r="QQ279"/>
      <c r="QR279"/>
      <c r="QS279"/>
      <c r="QT279"/>
      <c r="QU279"/>
      <c r="QV279"/>
      <c r="QW279"/>
      <c r="QX279"/>
      <c r="QY279"/>
      <c r="QZ279"/>
      <c r="RA279"/>
      <c r="RB279"/>
      <c r="RC279"/>
      <c r="RD279"/>
      <c r="RE279"/>
      <c r="RF279"/>
      <c r="RG279"/>
      <c r="RH279"/>
      <c r="RI279"/>
      <c r="RJ279"/>
      <c r="RK279"/>
      <c r="RL279"/>
      <c r="RM279"/>
      <c r="RN279"/>
      <c r="RO279"/>
      <c r="RP279"/>
      <c r="RQ279"/>
      <c r="RR279"/>
      <c r="RS279"/>
      <c r="RT279"/>
      <c r="RU279"/>
      <c r="RV279"/>
      <c r="RW279"/>
      <c r="RX279"/>
      <c r="RY279"/>
      <c r="RZ279"/>
      <c r="SA279"/>
      <c r="SB279"/>
      <c r="SC279"/>
      <c r="SD279"/>
      <c r="SE279"/>
      <c r="SF279"/>
      <c r="SG279"/>
      <c r="SH279"/>
      <c r="SI279"/>
      <c r="SJ279"/>
      <c r="SK279"/>
      <c r="SL279"/>
      <c r="SM279"/>
      <c r="SN279"/>
      <c r="SO279"/>
      <c r="SP279"/>
      <c r="SQ279"/>
      <c r="SR279"/>
      <c r="SS279"/>
      <c r="ST279"/>
      <c r="SU279"/>
      <c r="SV279"/>
      <c r="SW279"/>
      <c r="SX279"/>
      <c r="SY279"/>
      <c r="SZ279"/>
      <c r="TA279"/>
      <c r="TB279"/>
      <c r="TC279"/>
      <c r="TD279"/>
      <c r="TE279"/>
      <c r="TF279"/>
      <c r="TG279"/>
      <c r="TH279"/>
    </row>
    <row r="280" spans="3:528" x14ac:dyDescent="0.25">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c r="PC280"/>
      <c r="PD280"/>
      <c r="PE280"/>
      <c r="PF280"/>
      <c r="PG280"/>
      <c r="PH280"/>
      <c r="PI280"/>
      <c r="PJ280"/>
      <c r="PK280"/>
      <c r="PL280"/>
      <c r="PM280"/>
      <c r="PN280"/>
      <c r="PO280"/>
      <c r="PP280"/>
      <c r="PQ280"/>
      <c r="PR280"/>
      <c r="PS280"/>
      <c r="PT280"/>
      <c r="PU280"/>
      <c r="PV280"/>
      <c r="PW280"/>
      <c r="PX280"/>
      <c r="PY280"/>
      <c r="PZ280"/>
      <c r="QA280"/>
      <c r="QB280"/>
      <c r="QC280"/>
      <c r="QD280"/>
      <c r="QE280"/>
      <c r="QF280"/>
      <c r="QG280"/>
      <c r="QH280"/>
      <c r="QI280"/>
      <c r="QJ280"/>
      <c r="QK280"/>
      <c r="QL280"/>
      <c r="QM280"/>
      <c r="QN280"/>
      <c r="QO280"/>
      <c r="QP280"/>
      <c r="QQ280"/>
      <c r="QR280"/>
      <c r="QS280"/>
      <c r="QT280"/>
      <c r="QU280"/>
      <c r="QV280"/>
      <c r="QW280"/>
      <c r="QX280"/>
      <c r="QY280"/>
      <c r="QZ280"/>
      <c r="RA280"/>
      <c r="RB280"/>
      <c r="RC280"/>
      <c r="RD280"/>
      <c r="RE280"/>
      <c r="RF280"/>
      <c r="RG280"/>
      <c r="RH280"/>
      <c r="RI280"/>
      <c r="RJ280"/>
      <c r="RK280"/>
      <c r="RL280"/>
      <c r="RM280"/>
      <c r="RN280"/>
      <c r="RO280"/>
      <c r="RP280"/>
      <c r="RQ280"/>
      <c r="RR280"/>
      <c r="RS280"/>
      <c r="RT280"/>
      <c r="RU280"/>
      <c r="RV280"/>
      <c r="RW280"/>
      <c r="RX280"/>
      <c r="RY280"/>
      <c r="RZ280"/>
      <c r="SA280"/>
      <c r="SB280"/>
      <c r="SC280"/>
      <c r="SD280"/>
      <c r="SE280"/>
      <c r="SF280"/>
      <c r="SG280"/>
      <c r="SH280"/>
      <c r="SI280"/>
      <c r="SJ280"/>
      <c r="SK280"/>
      <c r="SL280"/>
      <c r="SM280"/>
      <c r="SN280"/>
      <c r="SO280"/>
      <c r="SP280"/>
      <c r="SQ280"/>
      <c r="SR280"/>
      <c r="SS280"/>
      <c r="ST280"/>
      <c r="SU280"/>
      <c r="SV280"/>
      <c r="SW280"/>
      <c r="SX280"/>
      <c r="SY280"/>
      <c r="SZ280"/>
      <c r="TA280"/>
      <c r="TB280"/>
      <c r="TC280"/>
      <c r="TD280"/>
      <c r="TE280"/>
      <c r="TF280"/>
      <c r="TG280"/>
      <c r="TH280"/>
    </row>
    <row r="281" spans="3:528" x14ac:dyDescent="0.25">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c r="PC281"/>
      <c r="PD281"/>
      <c r="PE281"/>
      <c r="PF281"/>
      <c r="PG281"/>
      <c r="PH281"/>
      <c r="PI281"/>
      <c r="PJ281"/>
      <c r="PK281"/>
      <c r="PL281"/>
      <c r="PM281"/>
      <c r="PN281"/>
      <c r="PO281"/>
      <c r="PP281"/>
      <c r="PQ281"/>
      <c r="PR281"/>
      <c r="PS281"/>
      <c r="PT281"/>
      <c r="PU281"/>
      <c r="PV281"/>
      <c r="PW281"/>
      <c r="PX281"/>
      <c r="PY281"/>
      <c r="PZ281"/>
      <c r="QA281"/>
      <c r="QB281"/>
      <c r="QC281"/>
      <c r="QD281"/>
      <c r="QE281"/>
      <c r="QF281"/>
      <c r="QG281"/>
      <c r="QH281"/>
      <c r="QI281"/>
      <c r="QJ281"/>
      <c r="QK281"/>
      <c r="QL281"/>
      <c r="QM281"/>
      <c r="QN281"/>
      <c r="QO281"/>
      <c r="QP281"/>
      <c r="QQ281"/>
      <c r="QR281"/>
      <c r="QS281"/>
      <c r="QT281"/>
      <c r="QU281"/>
      <c r="QV281"/>
      <c r="QW281"/>
      <c r="QX281"/>
      <c r="QY281"/>
      <c r="QZ281"/>
      <c r="RA281"/>
      <c r="RB281"/>
      <c r="RC281"/>
      <c r="RD281"/>
      <c r="RE281"/>
      <c r="RF281"/>
      <c r="RG281"/>
      <c r="RH281"/>
      <c r="RI281"/>
      <c r="RJ281"/>
      <c r="RK281"/>
      <c r="RL281"/>
      <c r="RM281"/>
      <c r="RN281"/>
      <c r="RO281"/>
      <c r="RP281"/>
      <c r="RQ281"/>
      <c r="RR281"/>
      <c r="RS281"/>
      <c r="RT281"/>
      <c r="RU281"/>
      <c r="RV281"/>
      <c r="RW281"/>
      <c r="RX281"/>
      <c r="RY281"/>
      <c r="RZ281"/>
      <c r="SA281"/>
      <c r="SB281"/>
      <c r="SC281"/>
      <c r="SD281"/>
      <c r="SE281"/>
      <c r="SF281"/>
      <c r="SG281"/>
      <c r="SH281"/>
      <c r="SI281"/>
      <c r="SJ281"/>
      <c r="SK281"/>
      <c r="SL281"/>
      <c r="SM281"/>
      <c r="SN281"/>
      <c r="SO281"/>
      <c r="SP281"/>
      <c r="SQ281"/>
      <c r="SR281"/>
      <c r="SS281"/>
      <c r="ST281"/>
      <c r="SU281"/>
      <c r="SV281"/>
      <c r="SW281"/>
      <c r="SX281"/>
      <c r="SY281"/>
      <c r="SZ281"/>
      <c r="TA281"/>
      <c r="TB281"/>
      <c r="TC281"/>
      <c r="TD281"/>
      <c r="TE281"/>
      <c r="TF281"/>
      <c r="TG281"/>
      <c r="TH281"/>
    </row>
    <row r="282" spans="3:528" x14ac:dyDescent="0.25">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c r="PC282"/>
      <c r="PD282"/>
      <c r="PE282"/>
      <c r="PF282"/>
      <c r="PG282"/>
      <c r="PH282"/>
      <c r="PI282"/>
      <c r="PJ282"/>
      <c r="PK282"/>
      <c r="PL282"/>
      <c r="PM282"/>
      <c r="PN282"/>
      <c r="PO282"/>
      <c r="PP282"/>
      <c r="PQ282"/>
      <c r="PR282"/>
      <c r="PS282"/>
      <c r="PT282"/>
      <c r="PU282"/>
      <c r="PV282"/>
      <c r="PW282"/>
      <c r="PX282"/>
      <c r="PY282"/>
      <c r="PZ282"/>
      <c r="QA282"/>
      <c r="QB282"/>
      <c r="QC282"/>
      <c r="QD282"/>
      <c r="QE282"/>
      <c r="QF282"/>
      <c r="QG282"/>
      <c r="QH282"/>
      <c r="QI282"/>
      <c r="QJ282"/>
      <c r="QK282"/>
      <c r="QL282"/>
      <c r="QM282"/>
      <c r="QN282"/>
      <c r="QO282"/>
      <c r="QP282"/>
      <c r="QQ282"/>
      <c r="QR282"/>
      <c r="QS282"/>
      <c r="QT282"/>
      <c r="QU282"/>
      <c r="QV282"/>
      <c r="QW282"/>
      <c r="QX282"/>
      <c r="QY282"/>
      <c r="QZ282"/>
      <c r="RA282"/>
      <c r="RB282"/>
      <c r="RC282"/>
      <c r="RD282"/>
      <c r="RE282"/>
      <c r="RF282"/>
      <c r="RG282"/>
      <c r="RH282"/>
      <c r="RI282"/>
      <c r="RJ282"/>
      <c r="RK282"/>
      <c r="RL282"/>
      <c r="RM282"/>
      <c r="RN282"/>
      <c r="RO282"/>
      <c r="RP282"/>
      <c r="RQ282"/>
      <c r="RR282"/>
      <c r="RS282"/>
      <c r="RT282"/>
      <c r="RU282"/>
      <c r="RV282"/>
      <c r="RW282"/>
      <c r="RX282"/>
      <c r="RY282"/>
      <c r="RZ282"/>
      <c r="SA282"/>
      <c r="SB282"/>
      <c r="SC282"/>
      <c r="SD282"/>
      <c r="SE282"/>
      <c r="SF282"/>
      <c r="SG282"/>
      <c r="SH282"/>
      <c r="SI282"/>
      <c r="SJ282"/>
      <c r="SK282"/>
      <c r="SL282"/>
      <c r="SM282"/>
      <c r="SN282"/>
      <c r="SO282"/>
      <c r="SP282"/>
      <c r="SQ282"/>
      <c r="SR282"/>
      <c r="SS282"/>
      <c r="ST282"/>
      <c r="SU282"/>
      <c r="SV282"/>
      <c r="SW282"/>
      <c r="SX282"/>
      <c r="SY282"/>
      <c r="SZ282"/>
      <c r="TA282"/>
      <c r="TB282"/>
      <c r="TC282"/>
      <c r="TD282"/>
      <c r="TE282"/>
      <c r="TF282"/>
      <c r="TG282"/>
      <c r="TH282"/>
    </row>
    <row r="283" spans="3:528" x14ac:dyDescent="0.25">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c r="KT283"/>
      <c r="KU283"/>
      <c r="KV283"/>
      <c r="KW283"/>
      <c r="KX283"/>
      <c r="KY283"/>
      <c r="KZ283"/>
      <c r="LA283"/>
      <c r="LB283"/>
      <c r="LC283"/>
      <c r="LD283"/>
      <c r="LE283"/>
      <c r="LF283"/>
      <c r="LG283"/>
      <c r="LH283"/>
      <c r="LI283"/>
      <c r="LJ283"/>
      <c r="LK283"/>
      <c r="LL283"/>
      <c r="LM283"/>
      <c r="LN283"/>
      <c r="LO283"/>
      <c r="LP283"/>
      <c r="LQ283"/>
      <c r="LR283"/>
      <c r="LS283"/>
      <c r="LT283"/>
      <c r="LU283"/>
      <c r="LV283"/>
      <c r="LW283"/>
      <c r="LX283"/>
      <c r="LY283"/>
      <c r="LZ283"/>
      <c r="MA283"/>
      <c r="MB283"/>
      <c r="MC283"/>
      <c r="MD283"/>
      <c r="ME283"/>
      <c r="MF283"/>
      <c r="MG283"/>
      <c r="MH283"/>
      <c r="MI283"/>
      <c r="MJ283"/>
      <c r="MK283"/>
      <c r="ML283"/>
      <c r="MM283"/>
      <c r="MN283"/>
      <c r="MO283"/>
      <c r="MP283"/>
      <c r="MQ283"/>
      <c r="MR283"/>
      <c r="MS283"/>
      <c r="MT283"/>
      <c r="MU283"/>
      <c r="MV283"/>
      <c r="MW283"/>
      <c r="MX283"/>
      <c r="MY283"/>
      <c r="MZ283"/>
      <c r="NA283"/>
      <c r="NB283"/>
      <c r="NC283"/>
      <c r="ND283"/>
      <c r="NE283"/>
      <c r="NF283"/>
      <c r="NG283"/>
      <c r="NH283"/>
      <c r="NI283"/>
      <c r="NJ283"/>
      <c r="NK283"/>
      <c r="NL283"/>
      <c r="NM283"/>
      <c r="NN283"/>
      <c r="NO283"/>
      <c r="NP283"/>
      <c r="NQ283"/>
      <c r="NR283"/>
      <c r="NS283"/>
      <c r="NT283"/>
      <c r="NU283"/>
      <c r="NV283"/>
      <c r="NW283"/>
      <c r="NX283"/>
      <c r="NY283"/>
      <c r="NZ283"/>
      <c r="OA283"/>
      <c r="OB283"/>
      <c r="OC283"/>
      <c r="OD283"/>
      <c r="OE283"/>
      <c r="OF283"/>
      <c r="OG283"/>
      <c r="OH283"/>
      <c r="OI283"/>
      <c r="OJ283"/>
      <c r="OK283"/>
      <c r="OL283"/>
      <c r="OM283"/>
      <c r="ON283"/>
      <c r="OO283"/>
      <c r="OP283"/>
      <c r="OQ283"/>
      <c r="OR283"/>
      <c r="OS283"/>
      <c r="OT283"/>
      <c r="OU283"/>
      <c r="OV283"/>
      <c r="OW283"/>
      <c r="OX283"/>
      <c r="OY283"/>
      <c r="OZ283"/>
      <c r="PA283"/>
      <c r="PB283"/>
      <c r="PC283"/>
      <c r="PD283"/>
      <c r="PE283"/>
      <c r="PF283"/>
      <c r="PG283"/>
      <c r="PH283"/>
      <c r="PI283"/>
      <c r="PJ283"/>
      <c r="PK283"/>
      <c r="PL283"/>
      <c r="PM283"/>
      <c r="PN283"/>
      <c r="PO283"/>
      <c r="PP283"/>
      <c r="PQ283"/>
      <c r="PR283"/>
      <c r="PS283"/>
      <c r="PT283"/>
      <c r="PU283"/>
      <c r="PV283"/>
      <c r="PW283"/>
      <c r="PX283"/>
      <c r="PY283"/>
      <c r="PZ283"/>
      <c r="QA283"/>
      <c r="QB283"/>
      <c r="QC283"/>
      <c r="QD283"/>
      <c r="QE283"/>
      <c r="QF283"/>
      <c r="QG283"/>
      <c r="QH283"/>
      <c r="QI283"/>
      <c r="QJ283"/>
      <c r="QK283"/>
      <c r="QL283"/>
      <c r="QM283"/>
      <c r="QN283"/>
      <c r="QO283"/>
      <c r="QP283"/>
      <c r="QQ283"/>
      <c r="QR283"/>
      <c r="QS283"/>
      <c r="QT283"/>
      <c r="QU283"/>
      <c r="QV283"/>
      <c r="QW283"/>
      <c r="QX283"/>
      <c r="QY283"/>
      <c r="QZ283"/>
      <c r="RA283"/>
      <c r="RB283"/>
      <c r="RC283"/>
      <c r="RD283"/>
      <c r="RE283"/>
      <c r="RF283"/>
      <c r="RG283"/>
      <c r="RH283"/>
      <c r="RI283"/>
      <c r="RJ283"/>
      <c r="RK283"/>
      <c r="RL283"/>
      <c r="RM283"/>
      <c r="RN283"/>
      <c r="RO283"/>
      <c r="RP283"/>
      <c r="RQ283"/>
      <c r="RR283"/>
      <c r="RS283"/>
      <c r="RT283"/>
      <c r="RU283"/>
      <c r="RV283"/>
      <c r="RW283"/>
      <c r="RX283"/>
      <c r="RY283"/>
      <c r="RZ283"/>
      <c r="SA283"/>
      <c r="SB283"/>
      <c r="SC283"/>
      <c r="SD283"/>
      <c r="SE283"/>
      <c r="SF283"/>
      <c r="SG283"/>
      <c r="SH283"/>
      <c r="SI283"/>
      <c r="SJ283"/>
      <c r="SK283"/>
      <c r="SL283"/>
      <c r="SM283"/>
      <c r="SN283"/>
      <c r="SO283"/>
      <c r="SP283"/>
      <c r="SQ283"/>
      <c r="SR283"/>
      <c r="SS283"/>
      <c r="ST283"/>
      <c r="SU283"/>
      <c r="SV283"/>
      <c r="SW283"/>
      <c r="SX283"/>
      <c r="SY283"/>
      <c r="SZ283"/>
      <c r="TA283"/>
      <c r="TB283"/>
      <c r="TC283"/>
      <c r="TD283"/>
      <c r="TE283"/>
      <c r="TF283"/>
      <c r="TG283"/>
      <c r="TH283"/>
    </row>
    <row r="284" spans="3:528" x14ac:dyDescent="0.25">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c r="KT284"/>
      <c r="KU284"/>
      <c r="KV284"/>
      <c r="KW284"/>
      <c r="KX284"/>
      <c r="KY284"/>
      <c r="KZ284"/>
      <c r="LA284"/>
      <c r="LB284"/>
      <c r="LC284"/>
      <c r="LD284"/>
      <c r="LE284"/>
      <c r="LF284"/>
      <c r="LG284"/>
      <c r="LH284"/>
      <c r="LI284"/>
      <c r="LJ284"/>
      <c r="LK284"/>
      <c r="LL284"/>
      <c r="LM284"/>
      <c r="LN284"/>
      <c r="LO284"/>
      <c r="LP284"/>
      <c r="LQ284"/>
      <c r="LR284"/>
      <c r="LS284"/>
      <c r="LT284"/>
      <c r="LU284"/>
      <c r="LV284"/>
      <c r="LW284"/>
      <c r="LX284"/>
      <c r="LY284"/>
      <c r="LZ284"/>
      <c r="MA284"/>
      <c r="MB284"/>
      <c r="MC284"/>
      <c r="MD284"/>
      <c r="ME284"/>
      <c r="MF284"/>
      <c r="MG284"/>
      <c r="MH284"/>
      <c r="MI284"/>
      <c r="MJ284"/>
      <c r="MK284"/>
      <c r="ML284"/>
      <c r="MM284"/>
      <c r="MN284"/>
      <c r="MO284"/>
      <c r="MP284"/>
      <c r="MQ284"/>
      <c r="MR284"/>
      <c r="MS284"/>
      <c r="MT284"/>
      <c r="MU284"/>
      <c r="MV284"/>
      <c r="MW284"/>
      <c r="MX284"/>
      <c r="MY284"/>
      <c r="MZ284"/>
      <c r="NA284"/>
      <c r="NB284"/>
      <c r="NC284"/>
      <c r="ND284"/>
      <c r="NE284"/>
      <c r="NF284"/>
      <c r="NG284"/>
      <c r="NH284"/>
      <c r="NI284"/>
      <c r="NJ284"/>
      <c r="NK284"/>
      <c r="NL284"/>
      <c r="NM284"/>
      <c r="NN284"/>
      <c r="NO284"/>
      <c r="NP284"/>
      <c r="NQ284"/>
      <c r="NR284"/>
      <c r="NS284"/>
      <c r="NT284"/>
      <c r="NU284"/>
      <c r="NV284"/>
      <c r="NW284"/>
      <c r="NX284"/>
      <c r="NY284"/>
      <c r="NZ284"/>
      <c r="OA284"/>
      <c r="OB284"/>
      <c r="OC284"/>
      <c r="OD284"/>
      <c r="OE284"/>
      <c r="OF284"/>
      <c r="OG284"/>
      <c r="OH284"/>
      <c r="OI284"/>
      <c r="OJ284"/>
      <c r="OK284"/>
      <c r="OL284"/>
      <c r="OM284"/>
      <c r="ON284"/>
      <c r="OO284"/>
      <c r="OP284"/>
      <c r="OQ284"/>
      <c r="OR284"/>
      <c r="OS284"/>
      <c r="OT284"/>
      <c r="OU284"/>
      <c r="OV284"/>
      <c r="OW284"/>
      <c r="OX284"/>
      <c r="OY284"/>
      <c r="OZ284"/>
      <c r="PA284"/>
      <c r="PB284"/>
      <c r="PC284"/>
      <c r="PD284"/>
      <c r="PE284"/>
      <c r="PF284"/>
      <c r="PG284"/>
      <c r="PH284"/>
      <c r="PI284"/>
      <c r="PJ284"/>
      <c r="PK284"/>
      <c r="PL284"/>
      <c r="PM284"/>
      <c r="PN284"/>
      <c r="PO284"/>
      <c r="PP284"/>
      <c r="PQ284"/>
      <c r="PR284"/>
      <c r="PS284"/>
      <c r="PT284"/>
      <c r="PU284"/>
      <c r="PV284"/>
      <c r="PW284"/>
      <c r="PX284"/>
      <c r="PY284"/>
      <c r="PZ284"/>
      <c r="QA284"/>
      <c r="QB284"/>
      <c r="QC284"/>
      <c r="QD284"/>
      <c r="QE284"/>
      <c r="QF284"/>
      <c r="QG284"/>
      <c r="QH284"/>
      <c r="QI284"/>
      <c r="QJ284"/>
      <c r="QK284"/>
      <c r="QL284"/>
      <c r="QM284"/>
      <c r="QN284"/>
      <c r="QO284"/>
      <c r="QP284"/>
      <c r="QQ284"/>
      <c r="QR284"/>
      <c r="QS284"/>
      <c r="QT284"/>
      <c r="QU284"/>
      <c r="QV284"/>
      <c r="QW284"/>
      <c r="QX284"/>
      <c r="QY284"/>
      <c r="QZ284"/>
      <c r="RA284"/>
      <c r="RB284"/>
      <c r="RC284"/>
      <c r="RD284"/>
      <c r="RE284"/>
      <c r="RF284"/>
      <c r="RG284"/>
      <c r="RH284"/>
      <c r="RI284"/>
      <c r="RJ284"/>
      <c r="RK284"/>
      <c r="RL284"/>
      <c r="RM284"/>
      <c r="RN284"/>
      <c r="RO284"/>
      <c r="RP284"/>
      <c r="RQ284"/>
      <c r="RR284"/>
      <c r="RS284"/>
      <c r="RT284"/>
      <c r="RU284"/>
      <c r="RV284"/>
      <c r="RW284"/>
      <c r="RX284"/>
      <c r="RY284"/>
      <c r="RZ284"/>
      <c r="SA284"/>
      <c r="SB284"/>
      <c r="SC284"/>
      <c r="SD284"/>
      <c r="SE284"/>
      <c r="SF284"/>
      <c r="SG284"/>
      <c r="SH284"/>
      <c r="SI284"/>
      <c r="SJ284"/>
      <c r="SK284"/>
      <c r="SL284"/>
      <c r="SM284"/>
      <c r="SN284"/>
      <c r="SO284"/>
      <c r="SP284"/>
      <c r="SQ284"/>
      <c r="SR284"/>
      <c r="SS284"/>
      <c r="ST284"/>
      <c r="SU284"/>
      <c r="SV284"/>
      <c r="SW284"/>
      <c r="SX284"/>
      <c r="SY284"/>
      <c r="SZ284"/>
      <c r="TA284"/>
      <c r="TB284"/>
      <c r="TC284"/>
      <c r="TD284"/>
      <c r="TE284"/>
      <c r="TF284"/>
      <c r="TG284"/>
      <c r="TH284"/>
    </row>
    <row r="285" spans="3:528" x14ac:dyDescent="0.2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c r="KT285"/>
      <c r="KU285"/>
      <c r="KV285"/>
      <c r="KW285"/>
      <c r="KX285"/>
      <c r="KY285"/>
      <c r="KZ285"/>
      <c r="LA285"/>
      <c r="LB285"/>
      <c r="LC285"/>
      <c r="LD285"/>
      <c r="LE285"/>
      <c r="LF285"/>
      <c r="LG285"/>
      <c r="LH285"/>
      <c r="LI285"/>
      <c r="LJ285"/>
      <c r="LK285"/>
      <c r="LL285"/>
      <c r="LM285"/>
      <c r="LN285"/>
      <c r="LO285"/>
      <c r="LP285"/>
      <c r="LQ285"/>
      <c r="LR285"/>
      <c r="LS285"/>
      <c r="LT285"/>
      <c r="LU285"/>
      <c r="LV285"/>
      <c r="LW285"/>
      <c r="LX285"/>
      <c r="LY285"/>
      <c r="LZ285"/>
      <c r="MA285"/>
      <c r="MB285"/>
      <c r="MC285"/>
      <c r="MD285"/>
      <c r="ME285"/>
      <c r="MF285"/>
      <c r="MG285"/>
      <c r="MH285"/>
      <c r="MI285"/>
      <c r="MJ285"/>
      <c r="MK285"/>
      <c r="ML285"/>
      <c r="MM285"/>
      <c r="MN285"/>
      <c r="MO285"/>
      <c r="MP285"/>
      <c r="MQ285"/>
      <c r="MR285"/>
      <c r="MS285"/>
      <c r="MT285"/>
      <c r="MU285"/>
      <c r="MV285"/>
      <c r="MW285"/>
      <c r="MX285"/>
      <c r="MY285"/>
      <c r="MZ285"/>
      <c r="NA285"/>
      <c r="NB285"/>
      <c r="NC285"/>
      <c r="ND285"/>
      <c r="NE285"/>
      <c r="NF285"/>
      <c r="NG285"/>
      <c r="NH285"/>
      <c r="NI285"/>
      <c r="NJ285"/>
      <c r="NK285"/>
      <c r="NL285"/>
      <c r="NM285"/>
      <c r="NN285"/>
      <c r="NO285"/>
      <c r="NP285"/>
      <c r="NQ285"/>
      <c r="NR285"/>
      <c r="NS285"/>
      <c r="NT285"/>
      <c r="NU285"/>
      <c r="NV285"/>
      <c r="NW285"/>
      <c r="NX285"/>
      <c r="NY285"/>
      <c r="NZ285"/>
      <c r="OA285"/>
      <c r="OB285"/>
      <c r="OC285"/>
      <c r="OD285"/>
      <c r="OE285"/>
      <c r="OF285"/>
      <c r="OG285"/>
      <c r="OH285"/>
      <c r="OI285"/>
      <c r="OJ285"/>
      <c r="OK285"/>
      <c r="OL285"/>
      <c r="OM285"/>
      <c r="ON285"/>
      <c r="OO285"/>
      <c r="OP285"/>
      <c r="OQ285"/>
      <c r="OR285"/>
      <c r="OS285"/>
      <c r="OT285"/>
      <c r="OU285"/>
      <c r="OV285"/>
      <c r="OW285"/>
      <c r="OX285"/>
      <c r="OY285"/>
      <c r="OZ285"/>
      <c r="PA285"/>
      <c r="PB285"/>
      <c r="PC285"/>
      <c r="PD285"/>
      <c r="PE285"/>
      <c r="PF285"/>
      <c r="PG285"/>
      <c r="PH285"/>
      <c r="PI285"/>
      <c r="PJ285"/>
      <c r="PK285"/>
      <c r="PL285"/>
      <c r="PM285"/>
      <c r="PN285"/>
      <c r="PO285"/>
      <c r="PP285"/>
      <c r="PQ285"/>
      <c r="PR285"/>
      <c r="PS285"/>
      <c r="PT285"/>
      <c r="PU285"/>
      <c r="PV285"/>
      <c r="PW285"/>
      <c r="PX285"/>
      <c r="PY285"/>
      <c r="PZ285"/>
      <c r="QA285"/>
      <c r="QB285"/>
      <c r="QC285"/>
      <c r="QD285"/>
      <c r="QE285"/>
      <c r="QF285"/>
      <c r="QG285"/>
      <c r="QH285"/>
      <c r="QI285"/>
      <c r="QJ285"/>
      <c r="QK285"/>
      <c r="QL285"/>
      <c r="QM285"/>
      <c r="QN285"/>
      <c r="QO285"/>
      <c r="QP285"/>
      <c r="QQ285"/>
      <c r="QR285"/>
      <c r="QS285"/>
      <c r="QT285"/>
      <c r="QU285"/>
      <c r="QV285"/>
      <c r="QW285"/>
      <c r="QX285"/>
      <c r="QY285"/>
      <c r="QZ285"/>
      <c r="RA285"/>
      <c r="RB285"/>
      <c r="RC285"/>
      <c r="RD285"/>
      <c r="RE285"/>
      <c r="RF285"/>
      <c r="RG285"/>
      <c r="RH285"/>
      <c r="RI285"/>
      <c r="RJ285"/>
      <c r="RK285"/>
      <c r="RL285"/>
      <c r="RM285"/>
      <c r="RN285"/>
      <c r="RO285"/>
      <c r="RP285"/>
      <c r="RQ285"/>
      <c r="RR285"/>
      <c r="RS285"/>
      <c r="RT285"/>
      <c r="RU285"/>
      <c r="RV285"/>
      <c r="RW285"/>
      <c r="RX285"/>
      <c r="RY285"/>
      <c r="RZ285"/>
      <c r="SA285"/>
      <c r="SB285"/>
      <c r="SC285"/>
      <c r="SD285"/>
      <c r="SE285"/>
      <c r="SF285"/>
      <c r="SG285"/>
      <c r="SH285"/>
      <c r="SI285"/>
      <c r="SJ285"/>
      <c r="SK285"/>
      <c r="SL285"/>
      <c r="SM285"/>
      <c r="SN285"/>
      <c r="SO285"/>
      <c r="SP285"/>
      <c r="SQ285"/>
      <c r="SR285"/>
      <c r="SS285"/>
      <c r="ST285"/>
      <c r="SU285"/>
      <c r="SV285"/>
      <c r="SW285"/>
      <c r="SX285"/>
      <c r="SY285"/>
      <c r="SZ285"/>
      <c r="TA285"/>
      <c r="TB285"/>
      <c r="TC285"/>
      <c r="TD285"/>
      <c r="TE285"/>
      <c r="TF285"/>
      <c r="TG285"/>
      <c r="TH285"/>
    </row>
    <row r="286" spans="3:528" x14ac:dyDescent="0.25">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c r="KT286"/>
      <c r="KU286"/>
      <c r="KV286"/>
      <c r="KW286"/>
      <c r="KX286"/>
      <c r="KY286"/>
      <c r="KZ286"/>
      <c r="LA286"/>
      <c r="LB286"/>
      <c r="LC286"/>
      <c r="LD286"/>
      <c r="LE286"/>
      <c r="LF286"/>
      <c r="LG286"/>
      <c r="LH286"/>
      <c r="LI286"/>
      <c r="LJ286"/>
      <c r="LK286"/>
      <c r="LL286"/>
      <c r="LM286"/>
      <c r="LN286"/>
      <c r="LO286"/>
      <c r="LP286"/>
      <c r="LQ286"/>
      <c r="LR286"/>
      <c r="LS286"/>
      <c r="LT286"/>
      <c r="LU286"/>
      <c r="LV286"/>
      <c r="LW286"/>
      <c r="LX286"/>
      <c r="LY286"/>
      <c r="LZ286"/>
      <c r="MA286"/>
      <c r="MB286"/>
      <c r="MC286"/>
      <c r="MD286"/>
      <c r="ME286"/>
      <c r="MF286"/>
      <c r="MG286"/>
      <c r="MH286"/>
      <c r="MI286"/>
      <c r="MJ286"/>
      <c r="MK286"/>
      <c r="ML286"/>
      <c r="MM286"/>
      <c r="MN286"/>
      <c r="MO286"/>
      <c r="MP286"/>
      <c r="MQ286"/>
      <c r="MR286"/>
      <c r="MS286"/>
      <c r="MT286"/>
      <c r="MU286"/>
      <c r="MV286"/>
      <c r="MW286"/>
      <c r="MX286"/>
      <c r="MY286"/>
      <c r="MZ286"/>
      <c r="NA286"/>
      <c r="NB286"/>
      <c r="NC286"/>
      <c r="ND286"/>
      <c r="NE286"/>
      <c r="NF286"/>
      <c r="NG286"/>
      <c r="NH286"/>
      <c r="NI286"/>
      <c r="NJ286"/>
      <c r="NK286"/>
      <c r="NL286"/>
      <c r="NM286"/>
      <c r="NN286"/>
      <c r="NO286"/>
      <c r="NP286"/>
      <c r="NQ286"/>
      <c r="NR286"/>
      <c r="NS286"/>
      <c r="NT286"/>
      <c r="NU286"/>
      <c r="NV286"/>
      <c r="NW286"/>
      <c r="NX286"/>
      <c r="NY286"/>
      <c r="NZ286"/>
      <c r="OA286"/>
      <c r="OB286"/>
      <c r="OC286"/>
      <c r="OD286"/>
      <c r="OE286"/>
      <c r="OF286"/>
      <c r="OG286"/>
      <c r="OH286"/>
      <c r="OI286"/>
      <c r="OJ286"/>
      <c r="OK286"/>
      <c r="OL286"/>
      <c r="OM286"/>
      <c r="ON286"/>
      <c r="OO286"/>
      <c r="OP286"/>
      <c r="OQ286"/>
      <c r="OR286"/>
      <c r="OS286"/>
      <c r="OT286"/>
      <c r="OU286"/>
      <c r="OV286"/>
      <c r="OW286"/>
      <c r="OX286"/>
      <c r="OY286"/>
      <c r="OZ286"/>
      <c r="PA286"/>
      <c r="PB286"/>
      <c r="PC286"/>
      <c r="PD286"/>
      <c r="PE286"/>
      <c r="PF286"/>
      <c r="PG286"/>
      <c r="PH286"/>
      <c r="PI286"/>
      <c r="PJ286"/>
      <c r="PK286"/>
      <c r="PL286"/>
      <c r="PM286"/>
      <c r="PN286"/>
      <c r="PO286"/>
      <c r="PP286"/>
      <c r="PQ286"/>
      <c r="PR286"/>
      <c r="PS286"/>
      <c r="PT286"/>
      <c r="PU286"/>
      <c r="PV286"/>
      <c r="PW286"/>
      <c r="PX286"/>
      <c r="PY286"/>
      <c r="PZ286"/>
      <c r="QA286"/>
      <c r="QB286"/>
      <c r="QC286"/>
      <c r="QD286"/>
      <c r="QE286"/>
      <c r="QF286"/>
      <c r="QG286"/>
      <c r="QH286"/>
      <c r="QI286"/>
      <c r="QJ286"/>
      <c r="QK286"/>
      <c r="QL286"/>
      <c r="QM286"/>
      <c r="QN286"/>
      <c r="QO286"/>
      <c r="QP286"/>
      <c r="QQ286"/>
      <c r="QR286"/>
      <c r="QS286"/>
      <c r="QT286"/>
      <c r="QU286"/>
      <c r="QV286"/>
      <c r="QW286"/>
      <c r="QX286"/>
      <c r="QY286"/>
      <c r="QZ286"/>
      <c r="RA286"/>
      <c r="RB286"/>
      <c r="RC286"/>
      <c r="RD286"/>
      <c r="RE286"/>
      <c r="RF286"/>
      <c r="RG286"/>
      <c r="RH286"/>
      <c r="RI286"/>
      <c r="RJ286"/>
      <c r="RK286"/>
      <c r="RL286"/>
      <c r="RM286"/>
      <c r="RN286"/>
      <c r="RO286"/>
      <c r="RP286"/>
      <c r="RQ286"/>
      <c r="RR286"/>
      <c r="RS286"/>
      <c r="RT286"/>
      <c r="RU286"/>
      <c r="RV286"/>
      <c r="RW286"/>
      <c r="RX286"/>
      <c r="RY286"/>
      <c r="RZ286"/>
      <c r="SA286"/>
      <c r="SB286"/>
      <c r="SC286"/>
      <c r="SD286"/>
      <c r="SE286"/>
      <c r="SF286"/>
      <c r="SG286"/>
      <c r="SH286"/>
      <c r="SI286"/>
      <c r="SJ286"/>
      <c r="SK286"/>
      <c r="SL286"/>
      <c r="SM286"/>
      <c r="SN286"/>
      <c r="SO286"/>
      <c r="SP286"/>
      <c r="SQ286"/>
      <c r="SR286"/>
      <c r="SS286"/>
      <c r="ST286"/>
      <c r="SU286"/>
      <c r="SV286"/>
      <c r="SW286"/>
      <c r="SX286"/>
      <c r="SY286"/>
      <c r="SZ286"/>
      <c r="TA286"/>
      <c r="TB286"/>
      <c r="TC286"/>
      <c r="TD286"/>
      <c r="TE286"/>
      <c r="TF286"/>
      <c r="TG286"/>
      <c r="TH286"/>
    </row>
    <row r="287" spans="3:528" x14ac:dyDescent="0.25">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c r="KT287"/>
      <c r="KU287"/>
      <c r="KV287"/>
      <c r="KW287"/>
      <c r="KX287"/>
      <c r="KY287"/>
      <c r="KZ287"/>
      <c r="LA287"/>
      <c r="LB287"/>
      <c r="LC287"/>
      <c r="LD287"/>
      <c r="LE287"/>
      <c r="LF287"/>
      <c r="LG287"/>
      <c r="LH287"/>
      <c r="LI287"/>
      <c r="LJ287"/>
      <c r="LK287"/>
      <c r="LL287"/>
      <c r="LM287"/>
      <c r="LN287"/>
      <c r="LO287"/>
      <c r="LP287"/>
      <c r="LQ287"/>
      <c r="LR287"/>
      <c r="LS287"/>
      <c r="LT287"/>
      <c r="LU287"/>
      <c r="LV287"/>
      <c r="LW287"/>
      <c r="LX287"/>
      <c r="LY287"/>
      <c r="LZ287"/>
      <c r="MA287"/>
      <c r="MB287"/>
      <c r="MC287"/>
      <c r="MD287"/>
      <c r="ME287"/>
      <c r="MF287"/>
      <c r="MG287"/>
      <c r="MH287"/>
      <c r="MI287"/>
      <c r="MJ287"/>
      <c r="MK287"/>
      <c r="ML287"/>
      <c r="MM287"/>
      <c r="MN287"/>
      <c r="MO287"/>
      <c r="MP287"/>
      <c r="MQ287"/>
      <c r="MR287"/>
      <c r="MS287"/>
      <c r="MT287"/>
      <c r="MU287"/>
      <c r="MV287"/>
      <c r="MW287"/>
      <c r="MX287"/>
      <c r="MY287"/>
      <c r="MZ287"/>
      <c r="NA287"/>
      <c r="NB287"/>
      <c r="NC287"/>
      <c r="ND287"/>
      <c r="NE287"/>
      <c r="NF287"/>
      <c r="NG287"/>
      <c r="NH287"/>
      <c r="NI287"/>
      <c r="NJ287"/>
      <c r="NK287"/>
      <c r="NL287"/>
      <c r="NM287"/>
      <c r="NN287"/>
      <c r="NO287"/>
      <c r="NP287"/>
      <c r="NQ287"/>
      <c r="NR287"/>
      <c r="NS287"/>
      <c r="NT287"/>
      <c r="NU287"/>
      <c r="NV287"/>
      <c r="NW287"/>
      <c r="NX287"/>
      <c r="NY287"/>
      <c r="NZ287"/>
      <c r="OA287"/>
      <c r="OB287"/>
      <c r="OC287"/>
      <c r="OD287"/>
      <c r="OE287"/>
      <c r="OF287"/>
      <c r="OG287"/>
      <c r="OH287"/>
      <c r="OI287"/>
      <c r="OJ287"/>
      <c r="OK287"/>
      <c r="OL287"/>
      <c r="OM287"/>
      <c r="ON287"/>
      <c r="OO287"/>
      <c r="OP287"/>
      <c r="OQ287"/>
      <c r="OR287"/>
      <c r="OS287"/>
      <c r="OT287"/>
      <c r="OU287"/>
      <c r="OV287"/>
      <c r="OW287"/>
      <c r="OX287"/>
      <c r="OY287"/>
      <c r="OZ287"/>
      <c r="PA287"/>
      <c r="PB287"/>
      <c r="PC287"/>
      <c r="PD287"/>
      <c r="PE287"/>
      <c r="PF287"/>
      <c r="PG287"/>
      <c r="PH287"/>
      <c r="PI287"/>
      <c r="PJ287"/>
      <c r="PK287"/>
      <c r="PL287"/>
      <c r="PM287"/>
      <c r="PN287"/>
      <c r="PO287"/>
      <c r="PP287"/>
      <c r="PQ287"/>
      <c r="PR287"/>
      <c r="PS287"/>
      <c r="PT287"/>
      <c r="PU287"/>
      <c r="PV287"/>
      <c r="PW287"/>
      <c r="PX287"/>
      <c r="PY287"/>
      <c r="PZ287"/>
      <c r="QA287"/>
      <c r="QB287"/>
      <c r="QC287"/>
      <c r="QD287"/>
      <c r="QE287"/>
      <c r="QF287"/>
      <c r="QG287"/>
      <c r="QH287"/>
      <c r="QI287"/>
      <c r="QJ287"/>
      <c r="QK287"/>
      <c r="QL287"/>
      <c r="QM287"/>
      <c r="QN287"/>
      <c r="QO287"/>
      <c r="QP287"/>
      <c r="QQ287"/>
      <c r="QR287"/>
      <c r="QS287"/>
      <c r="QT287"/>
      <c r="QU287"/>
      <c r="QV287"/>
      <c r="QW287"/>
      <c r="QX287"/>
      <c r="QY287"/>
      <c r="QZ287"/>
      <c r="RA287"/>
      <c r="RB287"/>
      <c r="RC287"/>
      <c r="RD287"/>
      <c r="RE287"/>
      <c r="RF287"/>
      <c r="RG287"/>
      <c r="RH287"/>
      <c r="RI287"/>
      <c r="RJ287"/>
      <c r="RK287"/>
      <c r="RL287"/>
      <c r="RM287"/>
      <c r="RN287"/>
      <c r="RO287"/>
      <c r="RP287"/>
      <c r="RQ287"/>
      <c r="RR287"/>
      <c r="RS287"/>
      <c r="RT287"/>
      <c r="RU287"/>
      <c r="RV287"/>
      <c r="RW287"/>
      <c r="RX287"/>
      <c r="RY287"/>
      <c r="RZ287"/>
      <c r="SA287"/>
      <c r="SB287"/>
      <c r="SC287"/>
      <c r="SD287"/>
      <c r="SE287"/>
      <c r="SF287"/>
      <c r="SG287"/>
      <c r="SH287"/>
      <c r="SI287"/>
      <c r="SJ287"/>
      <c r="SK287"/>
      <c r="SL287"/>
      <c r="SM287"/>
      <c r="SN287"/>
      <c r="SO287"/>
      <c r="SP287"/>
      <c r="SQ287"/>
      <c r="SR287"/>
      <c r="SS287"/>
      <c r="ST287"/>
      <c r="SU287"/>
      <c r="SV287"/>
      <c r="SW287"/>
      <c r="SX287"/>
      <c r="SY287"/>
      <c r="SZ287"/>
      <c r="TA287"/>
      <c r="TB287"/>
      <c r="TC287"/>
      <c r="TD287"/>
      <c r="TE287"/>
      <c r="TF287"/>
      <c r="TG287"/>
      <c r="TH287"/>
    </row>
    <row r="288" spans="3:528" x14ac:dyDescent="0.25">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c r="KT288"/>
      <c r="KU288"/>
      <c r="KV288"/>
      <c r="KW288"/>
      <c r="KX288"/>
      <c r="KY288"/>
      <c r="KZ288"/>
      <c r="LA288"/>
      <c r="LB288"/>
      <c r="LC288"/>
      <c r="LD288"/>
      <c r="LE288"/>
      <c r="LF288"/>
      <c r="LG288"/>
      <c r="LH288"/>
      <c r="LI288"/>
      <c r="LJ288"/>
      <c r="LK288"/>
      <c r="LL288"/>
      <c r="LM288"/>
      <c r="LN288"/>
      <c r="LO288"/>
      <c r="LP288"/>
      <c r="LQ288"/>
      <c r="LR288"/>
      <c r="LS288"/>
      <c r="LT288"/>
      <c r="LU288"/>
      <c r="LV288"/>
      <c r="LW288"/>
      <c r="LX288"/>
      <c r="LY288"/>
      <c r="LZ288"/>
      <c r="MA288"/>
      <c r="MB288"/>
      <c r="MC288"/>
      <c r="MD288"/>
      <c r="ME288"/>
      <c r="MF288"/>
      <c r="MG288"/>
      <c r="MH288"/>
      <c r="MI288"/>
      <c r="MJ288"/>
      <c r="MK288"/>
      <c r="ML288"/>
      <c r="MM288"/>
      <c r="MN288"/>
      <c r="MO288"/>
      <c r="MP288"/>
      <c r="MQ288"/>
      <c r="MR288"/>
      <c r="MS288"/>
      <c r="MT288"/>
      <c r="MU288"/>
      <c r="MV288"/>
      <c r="MW288"/>
      <c r="MX288"/>
      <c r="MY288"/>
      <c r="MZ288"/>
      <c r="NA288"/>
      <c r="NB288"/>
      <c r="NC288"/>
      <c r="ND288"/>
      <c r="NE288"/>
      <c r="NF288"/>
      <c r="NG288"/>
      <c r="NH288"/>
      <c r="NI288"/>
      <c r="NJ288"/>
      <c r="NK288"/>
      <c r="NL288"/>
      <c r="NM288"/>
      <c r="NN288"/>
      <c r="NO288"/>
      <c r="NP288"/>
      <c r="NQ288"/>
      <c r="NR288"/>
      <c r="NS288"/>
      <c r="NT288"/>
      <c r="NU288"/>
      <c r="NV288"/>
      <c r="NW288"/>
      <c r="NX288"/>
      <c r="NY288"/>
      <c r="NZ288"/>
      <c r="OA288"/>
      <c r="OB288"/>
      <c r="OC288"/>
      <c r="OD288"/>
      <c r="OE288"/>
      <c r="OF288"/>
      <c r="OG288"/>
      <c r="OH288"/>
      <c r="OI288"/>
      <c r="OJ288"/>
      <c r="OK288"/>
      <c r="OL288"/>
      <c r="OM288"/>
      <c r="ON288"/>
      <c r="OO288"/>
      <c r="OP288"/>
      <c r="OQ288"/>
      <c r="OR288"/>
      <c r="OS288"/>
      <c r="OT288"/>
      <c r="OU288"/>
      <c r="OV288"/>
      <c r="OW288"/>
      <c r="OX288"/>
      <c r="OY288"/>
      <c r="OZ288"/>
      <c r="PA288"/>
      <c r="PB288"/>
      <c r="PC288"/>
      <c r="PD288"/>
      <c r="PE288"/>
      <c r="PF288"/>
      <c r="PG288"/>
      <c r="PH288"/>
      <c r="PI288"/>
      <c r="PJ288"/>
      <c r="PK288"/>
      <c r="PL288"/>
      <c r="PM288"/>
      <c r="PN288"/>
      <c r="PO288"/>
      <c r="PP288"/>
      <c r="PQ288"/>
      <c r="PR288"/>
      <c r="PS288"/>
      <c r="PT288"/>
      <c r="PU288"/>
      <c r="PV288"/>
      <c r="PW288"/>
      <c r="PX288"/>
      <c r="PY288"/>
      <c r="PZ288"/>
      <c r="QA288"/>
      <c r="QB288"/>
      <c r="QC288"/>
      <c r="QD288"/>
      <c r="QE288"/>
      <c r="QF288"/>
      <c r="QG288"/>
      <c r="QH288"/>
      <c r="QI288"/>
      <c r="QJ288"/>
      <c r="QK288"/>
      <c r="QL288"/>
      <c r="QM288"/>
      <c r="QN288"/>
      <c r="QO288"/>
      <c r="QP288"/>
      <c r="QQ288"/>
      <c r="QR288"/>
      <c r="QS288"/>
      <c r="QT288"/>
      <c r="QU288"/>
      <c r="QV288"/>
      <c r="QW288"/>
      <c r="QX288"/>
      <c r="QY288"/>
      <c r="QZ288"/>
      <c r="RA288"/>
      <c r="RB288"/>
      <c r="RC288"/>
      <c r="RD288"/>
      <c r="RE288"/>
      <c r="RF288"/>
      <c r="RG288"/>
      <c r="RH288"/>
      <c r="RI288"/>
      <c r="RJ288"/>
      <c r="RK288"/>
      <c r="RL288"/>
      <c r="RM288"/>
      <c r="RN288"/>
      <c r="RO288"/>
      <c r="RP288"/>
      <c r="RQ288"/>
      <c r="RR288"/>
      <c r="RS288"/>
      <c r="RT288"/>
      <c r="RU288"/>
      <c r="RV288"/>
      <c r="RW288"/>
      <c r="RX288"/>
      <c r="RY288"/>
      <c r="RZ288"/>
      <c r="SA288"/>
      <c r="SB288"/>
      <c r="SC288"/>
      <c r="SD288"/>
      <c r="SE288"/>
      <c r="SF288"/>
      <c r="SG288"/>
      <c r="SH288"/>
      <c r="SI288"/>
      <c r="SJ288"/>
      <c r="SK288"/>
      <c r="SL288"/>
      <c r="SM288"/>
      <c r="SN288"/>
      <c r="SO288"/>
      <c r="SP288"/>
      <c r="SQ288"/>
      <c r="SR288"/>
      <c r="SS288"/>
      <c r="ST288"/>
      <c r="SU288"/>
      <c r="SV288"/>
      <c r="SW288"/>
      <c r="SX288"/>
      <c r="SY288"/>
      <c r="SZ288"/>
      <c r="TA288"/>
      <c r="TB288"/>
      <c r="TC288"/>
      <c r="TD288"/>
      <c r="TE288"/>
      <c r="TF288"/>
      <c r="TG288"/>
      <c r="TH288"/>
    </row>
    <row r="289" spans="3:528" x14ac:dyDescent="0.25">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c r="KT289"/>
      <c r="KU289"/>
      <c r="KV289"/>
      <c r="KW289"/>
      <c r="KX289"/>
      <c r="KY289"/>
      <c r="KZ289"/>
      <c r="LA289"/>
      <c r="LB289"/>
      <c r="LC289"/>
      <c r="LD289"/>
      <c r="LE289"/>
      <c r="LF289"/>
      <c r="LG289"/>
      <c r="LH289"/>
      <c r="LI289"/>
      <c r="LJ289"/>
      <c r="LK289"/>
      <c r="LL289"/>
      <c r="LM289"/>
      <c r="LN289"/>
      <c r="LO289"/>
      <c r="LP289"/>
      <c r="LQ289"/>
      <c r="LR289"/>
      <c r="LS289"/>
      <c r="LT289"/>
      <c r="LU289"/>
      <c r="LV289"/>
      <c r="LW289"/>
      <c r="LX289"/>
      <c r="LY289"/>
      <c r="LZ289"/>
      <c r="MA289"/>
      <c r="MB289"/>
      <c r="MC289"/>
      <c r="MD289"/>
      <c r="ME289"/>
      <c r="MF289"/>
      <c r="MG289"/>
      <c r="MH289"/>
      <c r="MI289"/>
      <c r="MJ289"/>
      <c r="MK289"/>
      <c r="ML289"/>
      <c r="MM289"/>
      <c r="MN289"/>
      <c r="MO289"/>
      <c r="MP289"/>
      <c r="MQ289"/>
      <c r="MR289"/>
      <c r="MS289"/>
      <c r="MT289"/>
      <c r="MU289"/>
      <c r="MV289"/>
      <c r="MW289"/>
      <c r="MX289"/>
      <c r="MY289"/>
      <c r="MZ289"/>
      <c r="NA289"/>
      <c r="NB289"/>
      <c r="NC289"/>
      <c r="ND289"/>
      <c r="NE289"/>
      <c r="NF289"/>
      <c r="NG289"/>
      <c r="NH289"/>
      <c r="NI289"/>
      <c r="NJ289"/>
      <c r="NK289"/>
      <c r="NL289"/>
      <c r="NM289"/>
      <c r="NN289"/>
      <c r="NO289"/>
      <c r="NP289"/>
      <c r="NQ289"/>
      <c r="NR289"/>
      <c r="NS289"/>
      <c r="NT289"/>
      <c r="NU289"/>
      <c r="NV289"/>
      <c r="NW289"/>
      <c r="NX289"/>
      <c r="NY289"/>
      <c r="NZ289"/>
      <c r="OA289"/>
      <c r="OB289"/>
      <c r="OC289"/>
      <c r="OD289"/>
      <c r="OE289"/>
      <c r="OF289"/>
      <c r="OG289"/>
      <c r="OH289"/>
      <c r="OI289"/>
      <c r="OJ289"/>
      <c r="OK289"/>
      <c r="OL289"/>
      <c r="OM289"/>
      <c r="ON289"/>
      <c r="OO289"/>
      <c r="OP289"/>
      <c r="OQ289"/>
      <c r="OR289"/>
      <c r="OS289"/>
      <c r="OT289"/>
      <c r="OU289"/>
      <c r="OV289"/>
      <c r="OW289"/>
      <c r="OX289"/>
      <c r="OY289"/>
      <c r="OZ289"/>
      <c r="PA289"/>
      <c r="PB289"/>
      <c r="PC289"/>
      <c r="PD289"/>
      <c r="PE289"/>
      <c r="PF289"/>
      <c r="PG289"/>
      <c r="PH289"/>
      <c r="PI289"/>
      <c r="PJ289"/>
      <c r="PK289"/>
      <c r="PL289"/>
      <c r="PM289"/>
      <c r="PN289"/>
      <c r="PO289"/>
      <c r="PP289"/>
      <c r="PQ289"/>
      <c r="PR289"/>
      <c r="PS289"/>
      <c r="PT289"/>
      <c r="PU289"/>
      <c r="PV289"/>
      <c r="PW289"/>
      <c r="PX289"/>
      <c r="PY289"/>
      <c r="PZ289"/>
      <c r="QA289"/>
      <c r="QB289"/>
      <c r="QC289"/>
      <c r="QD289"/>
      <c r="QE289"/>
      <c r="QF289"/>
      <c r="QG289"/>
      <c r="QH289"/>
      <c r="QI289"/>
      <c r="QJ289"/>
      <c r="QK289"/>
      <c r="QL289"/>
      <c r="QM289"/>
      <c r="QN289"/>
      <c r="QO289"/>
      <c r="QP289"/>
      <c r="QQ289"/>
      <c r="QR289"/>
      <c r="QS289"/>
      <c r="QT289"/>
      <c r="QU289"/>
      <c r="QV289"/>
      <c r="QW289"/>
      <c r="QX289"/>
      <c r="QY289"/>
      <c r="QZ289"/>
      <c r="RA289"/>
      <c r="RB289"/>
      <c r="RC289"/>
      <c r="RD289"/>
      <c r="RE289"/>
      <c r="RF289"/>
      <c r="RG289"/>
      <c r="RH289"/>
      <c r="RI289"/>
      <c r="RJ289"/>
      <c r="RK289"/>
      <c r="RL289"/>
      <c r="RM289"/>
      <c r="RN289"/>
      <c r="RO289"/>
      <c r="RP289"/>
      <c r="RQ289"/>
      <c r="RR289"/>
      <c r="RS289"/>
      <c r="RT289"/>
      <c r="RU289"/>
      <c r="RV289"/>
      <c r="RW289"/>
      <c r="RX289"/>
      <c r="RY289"/>
      <c r="RZ289"/>
      <c r="SA289"/>
      <c r="SB289"/>
      <c r="SC289"/>
      <c r="SD289"/>
      <c r="SE289"/>
      <c r="SF289"/>
      <c r="SG289"/>
      <c r="SH289"/>
      <c r="SI289"/>
      <c r="SJ289"/>
      <c r="SK289"/>
      <c r="SL289"/>
      <c r="SM289"/>
      <c r="SN289"/>
      <c r="SO289"/>
      <c r="SP289"/>
      <c r="SQ289"/>
      <c r="SR289"/>
      <c r="SS289"/>
      <c r="ST289"/>
      <c r="SU289"/>
      <c r="SV289"/>
      <c r="SW289"/>
      <c r="SX289"/>
      <c r="SY289"/>
      <c r="SZ289"/>
      <c r="TA289"/>
      <c r="TB289"/>
      <c r="TC289"/>
      <c r="TD289"/>
      <c r="TE289"/>
      <c r="TF289"/>
      <c r="TG289"/>
      <c r="TH289"/>
    </row>
    <row r="290" spans="3:528" x14ac:dyDescent="0.25">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c r="KT290"/>
      <c r="KU290"/>
      <c r="KV290"/>
      <c r="KW290"/>
      <c r="KX290"/>
      <c r="KY290"/>
      <c r="KZ290"/>
      <c r="LA290"/>
      <c r="LB290"/>
      <c r="LC290"/>
      <c r="LD290"/>
      <c r="LE290"/>
      <c r="LF290"/>
      <c r="LG290"/>
      <c r="LH290"/>
      <c r="LI290"/>
      <c r="LJ290"/>
      <c r="LK290"/>
      <c r="LL290"/>
      <c r="LM290"/>
      <c r="LN290"/>
      <c r="LO290"/>
      <c r="LP290"/>
      <c r="LQ290"/>
      <c r="LR290"/>
      <c r="LS290"/>
      <c r="LT290"/>
      <c r="LU290"/>
      <c r="LV290"/>
      <c r="LW290"/>
      <c r="LX290"/>
      <c r="LY290"/>
      <c r="LZ290"/>
      <c r="MA290"/>
      <c r="MB290"/>
      <c r="MC290"/>
      <c r="MD290"/>
      <c r="ME290"/>
      <c r="MF290"/>
      <c r="MG290"/>
      <c r="MH290"/>
      <c r="MI290"/>
      <c r="MJ290"/>
      <c r="MK290"/>
      <c r="ML290"/>
      <c r="MM290"/>
      <c r="MN290"/>
      <c r="MO290"/>
      <c r="MP290"/>
      <c r="MQ290"/>
      <c r="MR290"/>
      <c r="MS290"/>
      <c r="MT290"/>
      <c r="MU290"/>
      <c r="MV290"/>
      <c r="MW290"/>
      <c r="MX290"/>
      <c r="MY290"/>
      <c r="MZ290"/>
      <c r="NA290"/>
      <c r="NB290"/>
      <c r="NC290"/>
      <c r="ND290"/>
      <c r="NE290"/>
      <c r="NF290"/>
      <c r="NG290"/>
      <c r="NH290"/>
      <c r="NI290"/>
      <c r="NJ290"/>
      <c r="NK290"/>
      <c r="NL290"/>
      <c r="NM290"/>
      <c r="NN290"/>
      <c r="NO290"/>
      <c r="NP290"/>
      <c r="NQ290"/>
      <c r="NR290"/>
      <c r="NS290"/>
      <c r="NT290"/>
      <c r="NU290"/>
      <c r="NV290"/>
      <c r="NW290"/>
      <c r="NX290"/>
      <c r="NY290"/>
      <c r="NZ290"/>
      <c r="OA290"/>
      <c r="OB290"/>
      <c r="OC290"/>
      <c r="OD290"/>
      <c r="OE290"/>
      <c r="OF290"/>
      <c r="OG290"/>
      <c r="OH290"/>
      <c r="OI290"/>
      <c r="OJ290"/>
      <c r="OK290"/>
      <c r="OL290"/>
      <c r="OM290"/>
      <c r="ON290"/>
      <c r="OO290"/>
      <c r="OP290"/>
      <c r="OQ290"/>
      <c r="OR290"/>
      <c r="OS290"/>
      <c r="OT290"/>
      <c r="OU290"/>
      <c r="OV290"/>
      <c r="OW290"/>
      <c r="OX290"/>
      <c r="OY290"/>
      <c r="OZ290"/>
      <c r="PA290"/>
      <c r="PB290"/>
      <c r="PC290"/>
      <c r="PD290"/>
      <c r="PE290"/>
      <c r="PF290"/>
      <c r="PG290"/>
      <c r="PH290"/>
      <c r="PI290"/>
      <c r="PJ290"/>
      <c r="PK290"/>
      <c r="PL290"/>
      <c r="PM290"/>
      <c r="PN290"/>
      <c r="PO290"/>
      <c r="PP290"/>
      <c r="PQ290"/>
      <c r="PR290"/>
      <c r="PS290"/>
      <c r="PT290"/>
      <c r="PU290"/>
      <c r="PV290"/>
      <c r="PW290"/>
      <c r="PX290"/>
      <c r="PY290"/>
      <c r="PZ290"/>
      <c r="QA290"/>
      <c r="QB290"/>
      <c r="QC290"/>
      <c r="QD290"/>
      <c r="QE290"/>
      <c r="QF290"/>
      <c r="QG290"/>
      <c r="QH290"/>
      <c r="QI290"/>
      <c r="QJ290"/>
      <c r="QK290"/>
      <c r="QL290"/>
      <c r="QM290"/>
      <c r="QN290"/>
      <c r="QO290"/>
      <c r="QP290"/>
      <c r="QQ290"/>
      <c r="QR290"/>
      <c r="QS290"/>
      <c r="QT290"/>
      <c r="QU290"/>
      <c r="QV290"/>
      <c r="QW290"/>
      <c r="QX290"/>
      <c r="QY290"/>
      <c r="QZ290"/>
      <c r="RA290"/>
      <c r="RB290"/>
      <c r="RC290"/>
      <c r="RD290"/>
      <c r="RE290"/>
      <c r="RF290"/>
      <c r="RG290"/>
      <c r="RH290"/>
      <c r="RI290"/>
      <c r="RJ290"/>
      <c r="RK290"/>
      <c r="RL290"/>
      <c r="RM290"/>
      <c r="RN290"/>
      <c r="RO290"/>
      <c r="RP290"/>
      <c r="RQ290"/>
      <c r="RR290"/>
      <c r="RS290"/>
      <c r="RT290"/>
      <c r="RU290"/>
      <c r="RV290"/>
      <c r="RW290"/>
      <c r="RX290"/>
      <c r="RY290"/>
      <c r="RZ290"/>
      <c r="SA290"/>
      <c r="SB290"/>
      <c r="SC290"/>
      <c r="SD290"/>
      <c r="SE290"/>
      <c r="SF290"/>
      <c r="SG290"/>
      <c r="SH290"/>
      <c r="SI290"/>
      <c r="SJ290"/>
      <c r="SK290"/>
      <c r="SL290"/>
      <c r="SM290"/>
      <c r="SN290"/>
      <c r="SO290"/>
      <c r="SP290"/>
      <c r="SQ290"/>
      <c r="SR290"/>
      <c r="SS290"/>
      <c r="ST290"/>
      <c r="SU290"/>
      <c r="SV290"/>
      <c r="SW290"/>
      <c r="SX290"/>
      <c r="SY290"/>
      <c r="SZ290"/>
      <c r="TA290"/>
      <c r="TB290"/>
      <c r="TC290"/>
      <c r="TD290"/>
      <c r="TE290"/>
      <c r="TF290"/>
      <c r="TG290"/>
      <c r="TH290"/>
    </row>
    <row r="291" spans="3:528" x14ac:dyDescent="0.25">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c r="KT291"/>
      <c r="KU291"/>
      <c r="KV291"/>
      <c r="KW291"/>
      <c r="KX291"/>
      <c r="KY291"/>
      <c r="KZ291"/>
      <c r="LA291"/>
      <c r="LB291"/>
      <c r="LC291"/>
      <c r="LD291"/>
      <c r="LE291"/>
      <c r="LF291"/>
      <c r="LG291"/>
      <c r="LH291"/>
      <c r="LI291"/>
      <c r="LJ291"/>
      <c r="LK291"/>
      <c r="LL291"/>
      <c r="LM291"/>
      <c r="LN291"/>
      <c r="LO291"/>
      <c r="LP291"/>
      <c r="LQ291"/>
      <c r="LR291"/>
      <c r="LS291"/>
      <c r="LT291"/>
      <c r="LU291"/>
      <c r="LV291"/>
      <c r="LW291"/>
      <c r="LX291"/>
      <c r="LY291"/>
      <c r="LZ291"/>
      <c r="MA291"/>
      <c r="MB291"/>
      <c r="MC291"/>
      <c r="MD291"/>
      <c r="ME291"/>
      <c r="MF291"/>
      <c r="MG291"/>
      <c r="MH291"/>
      <c r="MI291"/>
      <c r="MJ291"/>
      <c r="MK291"/>
      <c r="ML291"/>
      <c r="MM291"/>
      <c r="MN291"/>
      <c r="MO291"/>
      <c r="MP291"/>
      <c r="MQ291"/>
      <c r="MR291"/>
      <c r="MS291"/>
      <c r="MT291"/>
      <c r="MU291"/>
      <c r="MV291"/>
      <c r="MW291"/>
      <c r="MX291"/>
      <c r="MY291"/>
      <c r="MZ291"/>
      <c r="NA291"/>
      <c r="NB291"/>
      <c r="NC291"/>
      <c r="ND291"/>
      <c r="NE291"/>
      <c r="NF291"/>
      <c r="NG291"/>
      <c r="NH291"/>
      <c r="NI291"/>
      <c r="NJ291"/>
      <c r="NK291"/>
      <c r="NL291"/>
      <c r="NM291"/>
      <c r="NN291"/>
      <c r="NO291"/>
      <c r="NP291"/>
      <c r="NQ291"/>
      <c r="NR291"/>
      <c r="NS291"/>
      <c r="NT291"/>
      <c r="NU291"/>
      <c r="NV291"/>
      <c r="NW291"/>
      <c r="NX291"/>
      <c r="NY291"/>
      <c r="NZ291"/>
      <c r="OA291"/>
      <c r="OB291"/>
      <c r="OC291"/>
      <c r="OD291"/>
      <c r="OE291"/>
      <c r="OF291"/>
      <c r="OG291"/>
      <c r="OH291"/>
      <c r="OI291"/>
      <c r="OJ291"/>
      <c r="OK291"/>
      <c r="OL291"/>
      <c r="OM291"/>
      <c r="ON291"/>
      <c r="OO291"/>
      <c r="OP291"/>
      <c r="OQ291"/>
      <c r="OR291"/>
      <c r="OS291"/>
      <c r="OT291"/>
      <c r="OU291"/>
      <c r="OV291"/>
      <c r="OW291"/>
      <c r="OX291"/>
      <c r="OY291"/>
      <c r="OZ291"/>
      <c r="PA291"/>
      <c r="PB291"/>
      <c r="PC291"/>
      <c r="PD291"/>
      <c r="PE291"/>
      <c r="PF291"/>
      <c r="PG291"/>
      <c r="PH291"/>
      <c r="PI291"/>
      <c r="PJ291"/>
      <c r="PK291"/>
      <c r="PL291"/>
      <c r="PM291"/>
      <c r="PN291"/>
      <c r="PO291"/>
      <c r="PP291"/>
      <c r="PQ291"/>
      <c r="PR291"/>
      <c r="PS291"/>
      <c r="PT291"/>
      <c r="PU291"/>
      <c r="PV291"/>
      <c r="PW291"/>
      <c r="PX291"/>
      <c r="PY291"/>
      <c r="PZ291"/>
      <c r="QA291"/>
      <c r="QB291"/>
      <c r="QC291"/>
      <c r="QD291"/>
      <c r="QE291"/>
      <c r="QF291"/>
      <c r="QG291"/>
      <c r="QH291"/>
      <c r="QI291"/>
      <c r="QJ291"/>
      <c r="QK291"/>
      <c r="QL291"/>
      <c r="QM291"/>
      <c r="QN291"/>
      <c r="QO291"/>
      <c r="QP291"/>
      <c r="QQ291"/>
      <c r="QR291"/>
      <c r="QS291"/>
      <c r="QT291"/>
      <c r="QU291"/>
      <c r="QV291"/>
      <c r="QW291"/>
      <c r="QX291"/>
      <c r="QY291"/>
      <c r="QZ291"/>
      <c r="RA291"/>
      <c r="RB291"/>
      <c r="RC291"/>
      <c r="RD291"/>
      <c r="RE291"/>
      <c r="RF291"/>
      <c r="RG291"/>
      <c r="RH291"/>
      <c r="RI291"/>
      <c r="RJ291"/>
      <c r="RK291"/>
      <c r="RL291"/>
      <c r="RM291"/>
      <c r="RN291"/>
      <c r="RO291"/>
      <c r="RP291"/>
      <c r="RQ291"/>
      <c r="RR291"/>
      <c r="RS291"/>
      <c r="RT291"/>
      <c r="RU291"/>
      <c r="RV291"/>
      <c r="RW291"/>
      <c r="RX291"/>
      <c r="RY291"/>
      <c r="RZ291"/>
      <c r="SA291"/>
      <c r="SB291"/>
      <c r="SC291"/>
      <c r="SD291"/>
      <c r="SE291"/>
      <c r="SF291"/>
      <c r="SG291"/>
      <c r="SH291"/>
      <c r="SI291"/>
      <c r="SJ291"/>
      <c r="SK291"/>
      <c r="SL291"/>
      <c r="SM291"/>
      <c r="SN291"/>
      <c r="SO291"/>
      <c r="SP291"/>
      <c r="SQ291"/>
      <c r="SR291"/>
      <c r="SS291"/>
      <c r="ST291"/>
      <c r="SU291"/>
      <c r="SV291"/>
      <c r="SW291"/>
      <c r="SX291"/>
      <c r="SY291"/>
      <c r="SZ291"/>
      <c r="TA291"/>
      <c r="TB291"/>
      <c r="TC291"/>
      <c r="TD291"/>
      <c r="TE291"/>
      <c r="TF291"/>
      <c r="TG291"/>
      <c r="TH291"/>
    </row>
    <row r="292" spans="3:528" x14ac:dyDescent="0.25">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c r="KT292"/>
      <c r="KU292"/>
      <c r="KV292"/>
      <c r="KW292"/>
      <c r="KX292"/>
      <c r="KY292"/>
      <c r="KZ292"/>
      <c r="LA292"/>
      <c r="LB292"/>
      <c r="LC292"/>
      <c r="LD292"/>
      <c r="LE292"/>
      <c r="LF292"/>
      <c r="LG292"/>
      <c r="LH292"/>
      <c r="LI292"/>
      <c r="LJ292"/>
      <c r="LK292"/>
      <c r="LL292"/>
      <c r="LM292"/>
      <c r="LN292"/>
      <c r="LO292"/>
      <c r="LP292"/>
      <c r="LQ292"/>
      <c r="LR292"/>
      <c r="LS292"/>
      <c r="LT292"/>
      <c r="LU292"/>
      <c r="LV292"/>
      <c r="LW292"/>
      <c r="LX292"/>
      <c r="LY292"/>
      <c r="LZ292"/>
      <c r="MA292"/>
      <c r="MB292"/>
      <c r="MC292"/>
      <c r="MD292"/>
      <c r="ME292"/>
      <c r="MF292"/>
      <c r="MG292"/>
      <c r="MH292"/>
      <c r="MI292"/>
      <c r="MJ292"/>
      <c r="MK292"/>
      <c r="ML292"/>
      <c r="MM292"/>
      <c r="MN292"/>
      <c r="MO292"/>
      <c r="MP292"/>
      <c r="MQ292"/>
      <c r="MR292"/>
      <c r="MS292"/>
      <c r="MT292"/>
      <c r="MU292"/>
      <c r="MV292"/>
      <c r="MW292"/>
      <c r="MX292"/>
      <c r="MY292"/>
      <c r="MZ292"/>
      <c r="NA292"/>
      <c r="NB292"/>
      <c r="NC292"/>
      <c r="ND292"/>
      <c r="NE292"/>
      <c r="NF292"/>
      <c r="NG292"/>
      <c r="NH292"/>
      <c r="NI292"/>
      <c r="NJ292"/>
      <c r="NK292"/>
      <c r="NL292"/>
      <c r="NM292"/>
      <c r="NN292"/>
      <c r="NO292"/>
      <c r="NP292"/>
      <c r="NQ292"/>
      <c r="NR292"/>
      <c r="NS292"/>
      <c r="NT292"/>
      <c r="NU292"/>
      <c r="NV292"/>
      <c r="NW292"/>
      <c r="NX292"/>
      <c r="NY292"/>
      <c r="NZ292"/>
      <c r="OA292"/>
      <c r="OB292"/>
      <c r="OC292"/>
      <c r="OD292"/>
      <c r="OE292"/>
      <c r="OF292"/>
      <c r="OG292"/>
      <c r="OH292"/>
      <c r="OI292"/>
      <c r="OJ292"/>
      <c r="OK292"/>
      <c r="OL292"/>
      <c r="OM292"/>
      <c r="ON292"/>
      <c r="OO292"/>
      <c r="OP292"/>
      <c r="OQ292"/>
      <c r="OR292"/>
      <c r="OS292"/>
      <c r="OT292"/>
      <c r="OU292"/>
      <c r="OV292"/>
      <c r="OW292"/>
      <c r="OX292"/>
      <c r="OY292"/>
      <c r="OZ292"/>
      <c r="PA292"/>
      <c r="PB292"/>
      <c r="PC292"/>
      <c r="PD292"/>
      <c r="PE292"/>
      <c r="PF292"/>
      <c r="PG292"/>
      <c r="PH292"/>
      <c r="PI292"/>
      <c r="PJ292"/>
      <c r="PK292"/>
      <c r="PL292"/>
      <c r="PM292"/>
      <c r="PN292"/>
      <c r="PO292"/>
      <c r="PP292"/>
      <c r="PQ292"/>
      <c r="PR292"/>
      <c r="PS292"/>
      <c r="PT292"/>
      <c r="PU292"/>
      <c r="PV292"/>
      <c r="PW292"/>
      <c r="PX292"/>
      <c r="PY292"/>
      <c r="PZ292"/>
      <c r="QA292"/>
      <c r="QB292"/>
      <c r="QC292"/>
      <c r="QD292"/>
      <c r="QE292"/>
      <c r="QF292"/>
      <c r="QG292"/>
      <c r="QH292"/>
      <c r="QI292"/>
      <c r="QJ292"/>
      <c r="QK292"/>
      <c r="QL292"/>
      <c r="QM292"/>
      <c r="QN292"/>
      <c r="QO292"/>
      <c r="QP292"/>
      <c r="QQ292"/>
      <c r="QR292"/>
      <c r="QS292"/>
      <c r="QT292"/>
      <c r="QU292"/>
      <c r="QV292"/>
      <c r="QW292"/>
      <c r="QX292"/>
      <c r="QY292"/>
      <c r="QZ292"/>
      <c r="RA292"/>
      <c r="RB292"/>
      <c r="RC292"/>
      <c r="RD292"/>
      <c r="RE292"/>
      <c r="RF292"/>
      <c r="RG292"/>
      <c r="RH292"/>
      <c r="RI292"/>
      <c r="RJ292"/>
      <c r="RK292"/>
      <c r="RL292"/>
      <c r="RM292"/>
      <c r="RN292"/>
      <c r="RO292"/>
      <c r="RP292"/>
      <c r="RQ292"/>
      <c r="RR292"/>
      <c r="RS292"/>
      <c r="RT292"/>
      <c r="RU292"/>
      <c r="RV292"/>
      <c r="RW292"/>
      <c r="RX292"/>
      <c r="RY292"/>
      <c r="RZ292"/>
      <c r="SA292"/>
      <c r="SB292"/>
      <c r="SC292"/>
      <c r="SD292"/>
      <c r="SE292"/>
      <c r="SF292"/>
      <c r="SG292"/>
      <c r="SH292"/>
      <c r="SI292"/>
      <c r="SJ292"/>
      <c r="SK292"/>
      <c r="SL292"/>
      <c r="SM292"/>
      <c r="SN292"/>
      <c r="SO292"/>
      <c r="SP292"/>
      <c r="SQ292"/>
      <c r="SR292"/>
      <c r="SS292"/>
      <c r="ST292"/>
      <c r="SU292"/>
      <c r="SV292"/>
      <c r="SW292"/>
      <c r="SX292"/>
      <c r="SY292"/>
      <c r="SZ292"/>
      <c r="TA292"/>
      <c r="TB292"/>
      <c r="TC292"/>
      <c r="TD292"/>
      <c r="TE292"/>
      <c r="TF292"/>
      <c r="TG292"/>
      <c r="TH292"/>
    </row>
    <row r="293" spans="3:528" x14ac:dyDescent="0.25">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c r="KT293"/>
      <c r="KU293"/>
      <c r="KV293"/>
      <c r="KW293"/>
      <c r="KX293"/>
      <c r="KY293"/>
      <c r="KZ293"/>
      <c r="LA293"/>
      <c r="LB293"/>
      <c r="LC293"/>
      <c r="LD293"/>
      <c r="LE293"/>
      <c r="LF293"/>
      <c r="LG293"/>
      <c r="LH293"/>
      <c r="LI293"/>
      <c r="LJ293"/>
      <c r="LK293"/>
      <c r="LL293"/>
      <c r="LM293"/>
      <c r="LN293"/>
      <c r="LO293"/>
      <c r="LP293"/>
      <c r="LQ293"/>
      <c r="LR293"/>
      <c r="LS293"/>
      <c r="LT293"/>
      <c r="LU293"/>
      <c r="LV293"/>
      <c r="LW293"/>
      <c r="LX293"/>
      <c r="LY293"/>
      <c r="LZ293"/>
      <c r="MA293"/>
      <c r="MB293"/>
      <c r="MC293"/>
      <c r="MD293"/>
      <c r="ME293"/>
      <c r="MF293"/>
      <c r="MG293"/>
      <c r="MH293"/>
      <c r="MI293"/>
      <c r="MJ293"/>
      <c r="MK293"/>
      <c r="ML293"/>
      <c r="MM293"/>
      <c r="MN293"/>
      <c r="MO293"/>
      <c r="MP293"/>
      <c r="MQ293"/>
      <c r="MR293"/>
      <c r="MS293"/>
      <c r="MT293"/>
      <c r="MU293"/>
      <c r="MV293"/>
      <c r="MW293"/>
      <c r="MX293"/>
      <c r="MY293"/>
      <c r="MZ293"/>
      <c r="NA293"/>
      <c r="NB293"/>
      <c r="NC293"/>
      <c r="ND293"/>
      <c r="NE293"/>
      <c r="NF293"/>
      <c r="NG293"/>
      <c r="NH293"/>
      <c r="NI293"/>
      <c r="NJ293"/>
      <c r="NK293"/>
      <c r="NL293"/>
      <c r="NM293"/>
      <c r="NN293"/>
      <c r="NO293"/>
      <c r="NP293"/>
      <c r="NQ293"/>
      <c r="NR293"/>
      <c r="NS293"/>
      <c r="NT293"/>
      <c r="NU293"/>
      <c r="NV293"/>
      <c r="NW293"/>
      <c r="NX293"/>
      <c r="NY293"/>
      <c r="NZ293"/>
      <c r="OA293"/>
      <c r="OB293"/>
      <c r="OC293"/>
      <c r="OD293"/>
      <c r="OE293"/>
      <c r="OF293"/>
      <c r="OG293"/>
      <c r="OH293"/>
      <c r="OI293"/>
      <c r="OJ293"/>
      <c r="OK293"/>
      <c r="OL293"/>
      <c r="OM293"/>
      <c r="ON293"/>
      <c r="OO293"/>
      <c r="OP293"/>
      <c r="OQ293"/>
      <c r="OR293"/>
      <c r="OS293"/>
      <c r="OT293"/>
      <c r="OU293"/>
      <c r="OV293"/>
      <c r="OW293"/>
      <c r="OX293"/>
      <c r="OY293"/>
      <c r="OZ293"/>
      <c r="PA293"/>
      <c r="PB293"/>
      <c r="PC293"/>
      <c r="PD293"/>
      <c r="PE293"/>
      <c r="PF293"/>
      <c r="PG293"/>
      <c r="PH293"/>
      <c r="PI293"/>
      <c r="PJ293"/>
      <c r="PK293"/>
      <c r="PL293"/>
      <c r="PM293"/>
      <c r="PN293"/>
      <c r="PO293"/>
      <c r="PP293"/>
      <c r="PQ293"/>
      <c r="PR293"/>
      <c r="PS293"/>
      <c r="PT293"/>
      <c r="PU293"/>
      <c r="PV293"/>
      <c r="PW293"/>
      <c r="PX293"/>
      <c r="PY293"/>
      <c r="PZ293"/>
      <c r="QA293"/>
      <c r="QB293"/>
      <c r="QC293"/>
      <c r="QD293"/>
      <c r="QE293"/>
      <c r="QF293"/>
      <c r="QG293"/>
      <c r="QH293"/>
      <c r="QI293"/>
      <c r="QJ293"/>
      <c r="QK293"/>
      <c r="QL293"/>
      <c r="QM293"/>
      <c r="QN293"/>
      <c r="QO293"/>
      <c r="QP293"/>
      <c r="QQ293"/>
      <c r="QR293"/>
      <c r="QS293"/>
      <c r="QT293"/>
      <c r="QU293"/>
      <c r="QV293"/>
      <c r="QW293"/>
      <c r="QX293"/>
      <c r="QY293"/>
      <c r="QZ293"/>
      <c r="RA293"/>
      <c r="RB293"/>
      <c r="RC293"/>
      <c r="RD293"/>
      <c r="RE293"/>
      <c r="RF293"/>
      <c r="RG293"/>
      <c r="RH293"/>
      <c r="RI293"/>
      <c r="RJ293"/>
      <c r="RK293"/>
      <c r="RL293"/>
      <c r="RM293"/>
      <c r="RN293"/>
      <c r="RO293"/>
      <c r="RP293"/>
      <c r="RQ293"/>
      <c r="RR293"/>
      <c r="RS293"/>
      <c r="RT293"/>
      <c r="RU293"/>
      <c r="RV293"/>
      <c r="RW293"/>
      <c r="RX293"/>
      <c r="RY293"/>
      <c r="RZ293"/>
      <c r="SA293"/>
      <c r="SB293"/>
      <c r="SC293"/>
      <c r="SD293"/>
      <c r="SE293"/>
      <c r="SF293"/>
      <c r="SG293"/>
      <c r="SH293"/>
      <c r="SI293"/>
      <c r="SJ293"/>
      <c r="SK293"/>
      <c r="SL293"/>
      <c r="SM293"/>
      <c r="SN293"/>
      <c r="SO293"/>
      <c r="SP293"/>
      <c r="SQ293"/>
      <c r="SR293"/>
      <c r="SS293"/>
      <c r="ST293"/>
      <c r="SU293"/>
      <c r="SV293"/>
      <c r="SW293"/>
      <c r="SX293"/>
      <c r="SY293"/>
      <c r="SZ293"/>
      <c r="TA293"/>
      <c r="TB293"/>
      <c r="TC293"/>
      <c r="TD293"/>
      <c r="TE293"/>
      <c r="TF293"/>
      <c r="TG293"/>
      <c r="TH293"/>
    </row>
    <row r="294" spans="3:528" x14ac:dyDescent="0.25">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c r="KT294"/>
      <c r="KU294"/>
      <c r="KV294"/>
      <c r="KW294"/>
      <c r="KX294"/>
      <c r="KY294"/>
      <c r="KZ294"/>
      <c r="LA294"/>
      <c r="LB294"/>
      <c r="LC294"/>
      <c r="LD294"/>
      <c r="LE294"/>
      <c r="LF294"/>
      <c r="LG294"/>
      <c r="LH294"/>
      <c r="LI294"/>
      <c r="LJ294"/>
      <c r="LK294"/>
      <c r="LL294"/>
      <c r="LM294"/>
      <c r="LN294"/>
      <c r="LO294"/>
      <c r="LP294"/>
      <c r="LQ294"/>
      <c r="LR294"/>
      <c r="LS294"/>
      <c r="LT294"/>
      <c r="LU294"/>
      <c r="LV294"/>
      <c r="LW294"/>
      <c r="LX294"/>
      <c r="LY294"/>
      <c r="LZ294"/>
      <c r="MA294"/>
      <c r="MB294"/>
      <c r="MC294"/>
      <c r="MD294"/>
      <c r="ME294"/>
      <c r="MF294"/>
      <c r="MG294"/>
      <c r="MH294"/>
      <c r="MI294"/>
      <c r="MJ294"/>
      <c r="MK294"/>
      <c r="ML294"/>
      <c r="MM294"/>
      <c r="MN294"/>
      <c r="MO294"/>
      <c r="MP294"/>
      <c r="MQ294"/>
      <c r="MR294"/>
      <c r="MS294"/>
      <c r="MT294"/>
      <c r="MU294"/>
      <c r="MV294"/>
      <c r="MW294"/>
      <c r="MX294"/>
      <c r="MY294"/>
      <c r="MZ294"/>
      <c r="NA294"/>
      <c r="NB294"/>
      <c r="NC294"/>
      <c r="ND294"/>
      <c r="NE294"/>
      <c r="NF294"/>
      <c r="NG294"/>
      <c r="NH294"/>
      <c r="NI294"/>
      <c r="NJ294"/>
      <c r="NK294"/>
      <c r="NL294"/>
      <c r="NM294"/>
      <c r="NN294"/>
      <c r="NO294"/>
      <c r="NP294"/>
      <c r="NQ294"/>
      <c r="NR294"/>
      <c r="NS294"/>
      <c r="NT294"/>
      <c r="NU294"/>
      <c r="NV294"/>
      <c r="NW294"/>
      <c r="NX294"/>
      <c r="NY294"/>
      <c r="NZ294"/>
      <c r="OA294"/>
      <c r="OB294"/>
      <c r="OC294"/>
      <c r="OD294"/>
      <c r="OE294"/>
      <c r="OF294"/>
      <c r="OG294"/>
      <c r="OH294"/>
      <c r="OI294"/>
      <c r="OJ294"/>
      <c r="OK294"/>
      <c r="OL294"/>
      <c r="OM294"/>
      <c r="ON294"/>
      <c r="OO294"/>
      <c r="OP294"/>
      <c r="OQ294"/>
      <c r="OR294"/>
      <c r="OS294"/>
      <c r="OT294"/>
      <c r="OU294"/>
      <c r="OV294"/>
      <c r="OW294"/>
      <c r="OX294"/>
      <c r="OY294"/>
      <c r="OZ294"/>
      <c r="PA294"/>
      <c r="PB294"/>
      <c r="PC294"/>
      <c r="PD294"/>
      <c r="PE294"/>
      <c r="PF294"/>
      <c r="PG294"/>
      <c r="PH294"/>
      <c r="PI294"/>
      <c r="PJ294"/>
      <c r="PK294"/>
      <c r="PL294"/>
      <c r="PM294"/>
      <c r="PN294"/>
      <c r="PO294"/>
      <c r="PP294"/>
      <c r="PQ294"/>
      <c r="PR294"/>
      <c r="PS294"/>
      <c r="PT294"/>
      <c r="PU294"/>
      <c r="PV294"/>
      <c r="PW294"/>
      <c r="PX294"/>
      <c r="PY294"/>
      <c r="PZ294"/>
      <c r="QA294"/>
      <c r="QB294"/>
      <c r="QC294"/>
      <c r="QD294"/>
      <c r="QE294"/>
      <c r="QF294"/>
      <c r="QG294"/>
      <c r="QH294"/>
      <c r="QI294"/>
      <c r="QJ294"/>
      <c r="QK294"/>
      <c r="QL294"/>
      <c r="QM294"/>
      <c r="QN294"/>
      <c r="QO294"/>
      <c r="QP294"/>
      <c r="QQ294"/>
      <c r="QR294"/>
      <c r="QS294"/>
      <c r="QT294"/>
      <c r="QU294"/>
      <c r="QV294"/>
      <c r="QW294"/>
      <c r="QX294"/>
      <c r="QY294"/>
      <c r="QZ294"/>
      <c r="RA294"/>
      <c r="RB294"/>
      <c r="RC294"/>
      <c r="RD294"/>
      <c r="RE294"/>
      <c r="RF294"/>
      <c r="RG294"/>
      <c r="RH294"/>
      <c r="RI294"/>
      <c r="RJ294"/>
      <c r="RK294"/>
      <c r="RL294"/>
      <c r="RM294"/>
      <c r="RN294"/>
      <c r="RO294"/>
      <c r="RP294"/>
      <c r="RQ294"/>
      <c r="RR294"/>
      <c r="RS294"/>
      <c r="RT294"/>
      <c r="RU294"/>
      <c r="RV294"/>
      <c r="RW294"/>
      <c r="RX294"/>
      <c r="RY294"/>
      <c r="RZ294"/>
      <c r="SA294"/>
      <c r="SB294"/>
      <c r="SC294"/>
      <c r="SD294"/>
      <c r="SE294"/>
      <c r="SF294"/>
      <c r="SG294"/>
      <c r="SH294"/>
      <c r="SI294"/>
      <c r="SJ294"/>
      <c r="SK294"/>
      <c r="SL294"/>
      <c r="SM294"/>
      <c r="SN294"/>
      <c r="SO294"/>
      <c r="SP294"/>
      <c r="SQ294"/>
      <c r="SR294"/>
      <c r="SS294"/>
      <c r="ST294"/>
      <c r="SU294"/>
      <c r="SV294"/>
      <c r="SW294"/>
      <c r="SX294"/>
      <c r="SY294"/>
      <c r="SZ294"/>
      <c r="TA294"/>
      <c r="TB294"/>
      <c r="TC294"/>
      <c r="TD294"/>
      <c r="TE294"/>
      <c r="TF294"/>
      <c r="TG294"/>
      <c r="TH294"/>
    </row>
    <row r="295" spans="3:528" x14ac:dyDescent="0.2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c r="KT295"/>
      <c r="KU295"/>
      <c r="KV295"/>
      <c r="KW295"/>
      <c r="KX295"/>
      <c r="KY295"/>
      <c r="KZ295"/>
      <c r="LA295"/>
      <c r="LB295"/>
      <c r="LC295"/>
      <c r="LD295"/>
      <c r="LE295"/>
      <c r="LF295"/>
      <c r="LG295"/>
      <c r="LH295"/>
      <c r="LI295"/>
      <c r="LJ295"/>
      <c r="LK295"/>
      <c r="LL295"/>
      <c r="LM295"/>
      <c r="LN295"/>
      <c r="LO295"/>
      <c r="LP295"/>
      <c r="LQ295"/>
      <c r="LR295"/>
      <c r="LS295"/>
      <c r="LT295"/>
      <c r="LU295"/>
      <c r="LV295"/>
      <c r="LW295"/>
      <c r="LX295"/>
      <c r="LY295"/>
      <c r="LZ295"/>
      <c r="MA295"/>
      <c r="MB295"/>
      <c r="MC295"/>
      <c r="MD295"/>
      <c r="ME295"/>
      <c r="MF295"/>
      <c r="MG295"/>
      <c r="MH295"/>
      <c r="MI295"/>
      <c r="MJ295"/>
      <c r="MK295"/>
      <c r="ML295"/>
      <c r="MM295"/>
      <c r="MN295"/>
      <c r="MO295"/>
      <c r="MP295"/>
      <c r="MQ295"/>
      <c r="MR295"/>
      <c r="MS295"/>
      <c r="MT295"/>
      <c r="MU295"/>
      <c r="MV295"/>
      <c r="MW295"/>
      <c r="MX295"/>
      <c r="MY295"/>
      <c r="MZ295"/>
      <c r="NA295"/>
      <c r="NB295"/>
      <c r="NC295"/>
      <c r="ND295"/>
      <c r="NE295"/>
      <c r="NF295"/>
      <c r="NG295"/>
      <c r="NH295"/>
      <c r="NI295"/>
      <c r="NJ295"/>
      <c r="NK295"/>
      <c r="NL295"/>
      <c r="NM295"/>
      <c r="NN295"/>
      <c r="NO295"/>
      <c r="NP295"/>
      <c r="NQ295"/>
      <c r="NR295"/>
      <c r="NS295"/>
      <c r="NT295"/>
      <c r="NU295"/>
      <c r="NV295"/>
      <c r="NW295"/>
      <c r="NX295"/>
      <c r="NY295"/>
      <c r="NZ295"/>
      <c r="OA295"/>
      <c r="OB295"/>
      <c r="OC295"/>
      <c r="OD295"/>
      <c r="OE295"/>
      <c r="OF295"/>
      <c r="OG295"/>
      <c r="OH295"/>
      <c r="OI295"/>
      <c r="OJ295"/>
      <c r="OK295"/>
      <c r="OL295"/>
      <c r="OM295"/>
      <c r="ON295"/>
      <c r="OO295"/>
      <c r="OP295"/>
      <c r="OQ295"/>
      <c r="OR295"/>
      <c r="OS295"/>
      <c r="OT295"/>
      <c r="OU295"/>
      <c r="OV295"/>
      <c r="OW295"/>
      <c r="OX295"/>
      <c r="OY295"/>
      <c r="OZ295"/>
      <c r="PA295"/>
      <c r="PB295"/>
      <c r="PC295"/>
      <c r="PD295"/>
      <c r="PE295"/>
      <c r="PF295"/>
      <c r="PG295"/>
      <c r="PH295"/>
      <c r="PI295"/>
      <c r="PJ295"/>
      <c r="PK295"/>
      <c r="PL295"/>
      <c r="PM295"/>
      <c r="PN295"/>
      <c r="PO295"/>
      <c r="PP295"/>
      <c r="PQ295"/>
      <c r="PR295"/>
      <c r="PS295"/>
      <c r="PT295"/>
      <c r="PU295"/>
      <c r="PV295"/>
      <c r="PW295"/>
      <c r="PX295"/>
      <c r="PY295"/>
      <c r="PZ295"/>
      <c r="QA295"/>
      <c r="QB295"/>
      <c r="QC295"/>
      <c r="QD295"/>
      <c r="QE295"/>
      <c r="QF295"/>
      <c r="QG295"/>
      <c r="QH295"/>
      <c r="QI295"/>
      <c r="QJ295"/>
      <c r="QK295"/>
      <c r="QL295"/>
      <c r="QM295"/>
      <c r="QN295"/>
      <c r="QO295"/>
      <c r="QP295"/>
      <c r="QQ295"/>
      <c r="QR295"/>
      <c r="QS295"/>
      <c r="QT295"/>
      <c r="QU295"/>
      <c r="QV295"/>
      <c r="QW295"/>
      <c r="QX295"/>
      <c r="QY295"/>
      <c r="QZ295"/>
      <c r="RA295"/>
      <c r="RB295"/>
      <c r="RC295"/>
      <c r="RD295"/>
      <c r="RE295"/>
      <c r="RF295"/>
      <c r="RG295"/>
      <c r="RH295"/>
      <c r="RI295"/>
      <c r="RJ295"/>
      <c r="RK295"/>
      <c r="RL295"/>
      <c r="RM295"/>
      <c r="RN295"/>
      <c r="RO295"/>
      <c r="RP295"/>
      <c r="RQ295"/>
      <c r="RR295"/>
      <c r="RS295"/>
      <c r="RT295"/>
      <c r="RU295"/>
      <c r="RV295"/>
      <c r="RW295"/>
      <c r="RX295"/>
      <c r="RY295"/>
      <c r="RZ295"/>
      <c r="SA295"/>
      <c r="SB295"/>
      <c r="SC295"/>
      <c r="SD295"/>
      <c r="SE295"/>
      <c r="SF295"/>
      <c r="SG295"/>
      <c r="SH295"/>
      <c r="SI295"/>
      <c r="SJ295"/>
      <c r="SK295"/>
      <c r="SL295"/>
      <c r="SM295"/>
      <c r="SN295"/>
      <c r="SO295"/>
      <c r="SP295"/>
      <c r="SQ295"/>
      <c r="SR295"/>
      <c r="SS295"/>
      <c r="ST295"/>
      <c r="SU295"/>
      <c r="SV295"/>
      <c r="SW295"/>
      <c r="SX295"/>
      <c r="SY295"/>
      <c r="SZ295"/>
      <c r="TA295"/>
      <c r="TB295"/>
      <c r="TC295"/>
      <c r="TD295"/>
      <c r="TE295"/>
      <c r="TF295"/>
      <c r="TG295"/>
      <c r="TH295"/>
    </row>
    <row r="296" spans="3:528" x14ac:dyDescent="0.25">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c r="KT296"/>
      <c r="KU296"/>
      <c r="KV296"/>
      <c r="KW296"/>
      <c r="KX296"/>
      <c r="KY296"/>
      <c r="KZ296"/>
      <c r="LA296"/>
      <c r="LB296"/>
      <c r="LC296"/>
      <c r="LD296"/>
      <c r="LE296"/>
      <c r="LF296"/>
      <c r="LG296"/>
      <c r="LH296"/>
      <c r="LI296"/>
      <c r="LJ296"/>
      <c r="LK296"/>
      <c r="LL296"/>
      <c r="LM296"/>
      <c r="LN296"/>
      <c r="LO296"/>
      <c r="LP296"/>
      <c r="LQ296"/>
      <c r="LR296"/>
      <c r="LS296"/>
      <c r="LT296"/>
      <c r="LU296"/>
      <c r="LV296"/>
      <c r="LW296"/>
      <c r="LX296"/>
      <c r="LY296"/>
      <c r="LZ296"/>
      <c r="MA296"/>
      <c r="MB296"/>
      <c r="MC296"/>
      <c r="MD296"/>
      <c r="ME296"/>
      <c r="MF296"/>
      <c r="MG296"/>
      <c r="MH296"/>
      <c r="MI296"/>
      <c r="MJ296"/>
      <c r="MK296"/>
      <c r="ML296"/>
      <c r="MM296"/>
      <c r="MN296"/>
      <c r="MO296"/>
      <c r="MP296"/>
      <c r="MQ296"/>
      <c r="MR296"/>
      <c r="MS296"/>
      <c r="MT296"/>
      <c r="MU296"/>
      <c r="MV296"/>
      <c r="MW296"/>
      <c r="MX296"/>
      <c r="MY296"/>
      <c r="MZ296"/>
      <c r="NA296"/>
      <c r="NB296"/>
      <c r="NC296"/>
      <c r="ND296"/>
      <c r="NE296"/>
      <c r="NF296"/>
      <c r="NG296"/>
      <c r="NH296"/>
      <c r="NI296"/>
      <c r="NJ296"/>
      <c r="NK296"/>
      <c r="NL296"/>
      <c r="NM296"/>
      <c r="NN296"/>
      <c r="NO296"/>
      <c r="NP296"/>
      <c r="NQ296"/>
      <c r="NR296"/>
      <c r="NS296"/>
      <c r="NT296"/>
      <c r="NU296"/>
      <c r="NV296"/>
      <c r="NW296"/>
      <c r="NX296"/>
      <c r="NY296"/>
      <c r="NZ296"/>
      <c r="OA296"/>
      <c r="OB296"/>
      <c r="OC296"/>
      <c r="OD296"/>
      <c r="OE296"/>
      <c r="OF296"/>
      <c r="OG296"/>
      <c r="OH296"/>
      <c r="OI296"/>
      <c r="OJ296"/>
      <c r="OK296"/>
      <c r="OL296"/>
      <c r="OM296"/>
      <c r="ON296"/>
      <c r="OO296"/>
      <c r="OP296"/>
      <c r="OQ296"/>
      <c r="OR296"/>
      <c r="OS296"/>
      <c r="OT296"/>
      <c r="OU296"/>
      <c r="OV296"/>
      <c r="OW296"/>
      <c r="OX296"/>
      <c r="OY296"/>
      <c r="OZ296"/>
      <c r="PA296"/>
      <c r="PB296"/>
      <c r="PC296"/>
      <c r="PD296"/>
      <c r="PE296"/>
      <c r="PF296"/>
      <c r="PG296"/>
      <c r="PH296"/>
      <c r="PI296"/>
      <c r="PJ296"/>
      <c r="PK296"/>
      <c r="PL296"/>
      <c r="PM296"/>
      <c r="PN296"/>
      <c r="PO296"/>
      <c r="PP296"/>
      <c r="PQ296"/>
      <c r="PR296"/>
      <c r="PS296"/>
      <c r="PT296"/>
      <c r="PU296"/>
      <c r="PV296"/>
      <c r="PW296"/>
      <c r="PX296"/>
      <c r="PY296"/>
      <c r="PZ296"/>
      <c r="QA296"/>
      <c r="QB296"/>
      <c r="QC296"/>
      <c r="QD296"/>
      <c r="QE296"/>
      <c r="QF296"/>
      <c r="QG296"/>
      <c r="QH296"/>
      <c r="QI296"/>
      <c r="QJ296"/>
      <c r="QK296"/>
      <c r="QL296"/>
      <c r="QM296"/>
      <c r="QN296"/>
      <c r="QO296"/>
      <c r="QP296"/>
      <c r="QQ296"/>
      <c r="QR296"/>
      <c r="QS296"/>
      <c r="QT296"/>
      <c r="QU296"/>
      <c r="QV296"/>
      <c r="QW296"/>
      <c r="QX296"/>
      <c r="QY296"/>
      <c r="QZ296"/>
      <c r="RA296"/>
      <c r="RB296"/>
      <c r="RC296"/>
      <c r="RD296"/>
      <c r="RE296"/>
      <c r="RF296"/>
      <c r="RG296"/>
      <c r="RH296"/>
      <c r="RI296"/>
      <c r="RJ296"/>
      <c r="RK296"/>
      <c r="RL296"/>
      <c r="RM296"/>
      <c r="RN296"/>
      <c r="RO296"/>
      <c r="RP296"/>
      <c r="RQ296"/>
      <c r="RR296"/>
      <c r="RS296"/>
      <c r="RT296"/>
      <c r="RU296"/>
      <c r="RV296"/>
      <c r="RW296"/>
      <c r="RX296"/>
      <c r="RY296"/>
      <c r="RZ296"/>
      <c r="SA296"/>
      <c r="SB296"/>
      <c r="SC296"/>
      <c r="SD296"/>
      <c r="SE296"/>
      <c r="SF296"/>
      <c r="SG296"/>
      <c r="SH296"/>
      <c r="SI296"/>
      <c r="SJ296"/>
      <c r="SK296"/>
      <c r="SL296"/>
      <c r="SM296"/>
      <c r="SN296"/>
      <c r="SO296"/>
      <c r="SP296"/>
      <c r="SQ296"/>
      <c r="SR296"/>
      <c r="SS296"/>
      <c r="ST296"/>
      <c r="SU296"/>
      <c r="SV296"/>
      <c r="SW296"/>
      <c r="SX296"/>
      <c r="SY296"/>
      <c r="SZ296"/>
      <c r="TA296"/>
      <c r="TB296"/>
      <c r="TC296"/>
      <c r="TD296"/>
      <c r="TE296"/>
      <c r="TF296"/>
      <c r="TG296"/>
      <c r="TH296"/>
    </row>
    <row r="297" spans="3:528" x14ac:dyDescent="0.25">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c r="KT297"/>
      <c r="KU297"/>
      <c r="KV297"/>
      <c r="KW297"/>
      <c r="KX297"/>
      <c r="KY297"/>
      <c r="KZ297"/>
      <c r="LA297"/>
      <c r="LB297"/>
      <c r="LC297"/>
      <c r="LD297"/>
      <c r="LE297"/>
      <c r="LF297"/>
      <c r="LG297"/>
      <c r="LH297"/>
      <c r="LI297"/>
      <c r="LJ297"/>
      <c r="LK297"/>
      <c r="LL297"/>
      <c r="LM297"/>
      <c r="LN297"/>
      <c r="LO297"/>
      <c r="LP297"/>
      <c r="LQ297"/>
      <c r="LR297"/>
      <c r="LS297"/>
      <c r="LT297"/>
      <c r="LU297"/>
      <c r="LV297"/>
      <c r="LW297"/>
      <c r="LX297"/>
      <c r="LY297"/>
      <c r="LZ297"/>
      <c r="MA297"/>
      <c r="MB297"/>
      <c r="MC297"/>
      <c r="MD297"/>
      <c r="ME297"/>
      <c r="MF297"/>
      <c r="MG297"/>
      <c r="MH297"/>
      <c r="MI297"/>
      <c r="MJ297"/>
      <c r="MK297"/>
      <c r="ML297"/>
      <c r="MM297"/>
      <c r="MN297"/>
      <c r="MO297"/>
      <c r="MP297"/>
      <c r="MQ297"/>
      <c r="MR297"/>
      <c r="MS297"/>
      <c r="MT297"/>
      <c r="MU297"/>
      <c r="MV297"/>
      <c r="MW297"/>
      <c r="MX297"/>
      <c r="MY297"/>
      <c r="MZ297"/>
      <c r="NA297"/>
      <c r="NB297"/>
      <c r="NC297"/>
      <c r="ND297"/>
      <c r="NE297"/>
      <c r="NF297"/>
      <c r="NG297"/>
      <c r="NH297"/>
      <c r="NI297"/>
      <c r="NJ297"/>
      <c r="NK297"/>
      <c r="NL297"/>
      <c r="NM297"/>
      <c r="NN297"/>
      <c r="NO297"/>
      <c r="NP297"/>
      <c r="NQ297"/>
      <c r="NR297"/>
      <c r="NS297"/>
      <c r="NT297"/>
      <c r="NU297"/>
      <c r="NV297"/>
      <c r="NW297"/>
      <c r="NX297"/>
      <c r="NY297"/>
      <c r="NZ297"/>
      <c r="OA297"/>
      <c r="OB297"/>
      <c r="OC297"/>
      <c r="OD297"/>
      <c r="OE297"/>
      <c r="OF297"/>
      <c r="OG297"/>
      <c r="OH297"/>
      <c r="OI297"/>
      <c r="OJ297"/>
      <c r="OK297"/>
      <c r="OL297"/>
      <c r="OM297"/>
      <c r="ON297"/>
      <c r="OO297"/>
      <c r="OP297"/>
      <c r="OQ297"/>
      <c r="OR297"/>
      <c r="OS297"/>
      <c r="OT297"/>
      <c r="OU297"/>
      <c r="OV297"/>
      <c r="OW297"/>
      <c r="OX297"/>
      <c r="OY297"/>
      <c r="OZ297"/>
      <c r="PA297"/>
      <c r="PB297"/>
      <c r="PC297"/>
      <c r="PD297"/>
      <c r="PE297"/>
      <c r="PF297"/>
      <c r="PG297"/>
      <c r="PH297"/>
      <c r="PI297"/>
      <c r="PJ297"/>
      <c r="PK297"/>
      <c r="PL297"/>
      <c r="PM297"/>
      <c r="PN297"/>
      <c r="PO297"/>
      <c r="PP297"/>
      <c r="PQ297"/>
      <c r="PR297"/>
      <c r="PS297"/>
      <c r="PT297"/>
      <c r="PU297"/>
      <c r="PV297"/>
      <c r="PW297"/>
      <c r="PX297"/>
      <c r="PY297"/>
      <c r="PZ297"/>
      <c r="QA297"/>
      <c r="QB297"/>
      <c r="QC297"/>
      <c r="QD297"/>
      <c r="QE297"/>
      <c r="QF297"/>
      <c r="QG297"/>
      <c r="QH297"/>
      <c r="QI297"/>
      <c r="QJ297"/>
      <c r="QK297"/>
      <c r="QL297"/>
      <c r="QM297"/>
      <c r="QN297"/>
      <c r="QO297"/>
      <c r="QP297"/>
      <c r="QQ297"/>
      <c r="QR297"/>
      <c r="QS297"/>
      <c r="QT297"/>
      <c r="QU297"/>
      <c r="QV297"/>
      <c r="QW297"/>
      <c r="QX297"/>
      <c r="QY297"/>
      <c r="QZ297"/>
      <c r="RA297"/>
      <c r="RB297"/>
      <c r="RC297"/>
      <c r="RD297"/>
      <c r="RE297"/>
      <c r="RF297"/>
      <c r="RG297"/>
      <c r="RH297"/>
      <c r="RI297"/>
      <c r="RJ297"/>
      <c r="RK297"/>
      <c r="RL297"/>
      <c r="RM297"/>
      <c r="RN297"/>
      <c r="RO297"/>
      <c r="RP297"/>
      <c r="RQ297"/>
      <c r="RR297"/>
      <c r="RS297"/>
      <c r="RT297"/>
      <c r="RU297"/>
      <c r="RV297"/>
      <c r="RW297"/>
      <c r="RX297"/>
      <c r="RY297"/>
      <c r="RZ297"/>
      <c r="SA297"/>
      <c r="SB297"/>
      <c r="SC297"/>
      <c r="SD297"/>
      <c r="SE297"/>
      <c r="SF297"/>
      <c r="SG297"/>
      <c r="SH297"/>
      <c r="SI297"/>
      <c r="SJ297"/>
      <c r="SK297"/>
      <c r="SL297"/>
      <c r="SM297"/>
      <c r="SN297"/>
      <c r="SO297"/>
      <c r="SP297"/>
      <c r="SQ297"/>
      <c r="SR297"/>
      <c r="SS297"/>
      <c r="ST297"/>
      <c r="SU297"/>
      <c r="SV297"/>
      <c r="SW297"/>
      <c r="SX297"/>
      <c r="SY297"/>
      <c r="SZ297"/>
      <c r="TA297"/>
      <c r="TB297"/>
      <c r="TC297"/>
      <c r="TD297"/>
      <c r="TE297"/>
      <c r="TF297"/>
      <c r="TG297"/>
      <c r="TH297"/>
    </row>
    <row r="298" spans="3:528" x14ac:dyDescent="0.25">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c r="KT298"/>
      <c r="KU298"/>
      <c r="KV298"/>
      <c r="KW298"/>
      <c r="KX298"/>
      <c r="KY298"/>
      <c r="KZ298"/>
      <c r="LA298"/>
      <c r="LB298"/>
      <c r="LC298"/>
      <c r="LD298"/>
      <c r="LE298"/>
      <c r="LF298"/>
      <c r="LG298"/>
      <c r="LH298"/>
      <c r="LI298"/>
      <c r="LJ298"/>
      <c r="LK298"/>
      <c r="LL298"/>
      <c r="LM298"/>
      <c r="LN298"/>
      <c r="LO298"/>
      <c r="LP298"/>
      <c r="LQ298"/>
      <c r="LR298"/>
      <c r="LS298"/>
      <c r="LT298"/>
      <c r="LU298"/>
      <c r="LV298"/>
      <c r="LW298"/>
      <c r="LX298"/>
      <c r="LY298"/>
      <c r="LZ298"/>
      <c r="MA298"/>
      <c r="MB298"/>
      <c r="MC298"/>
      <c r="MD298"/>
      <c r="ME298"/>
      <c r="MF298"/>
      <c r="MG298"/>
      <c r="MH298"/>
      <c r="MI298"/>
      <c r="MJ298"/>
      <c r="MK298"/>
      <c r="ML298"/>
      <c r="MM298"/>
      <c r="MN298"/>
      <c r="MO298"/>
      <c r="MP298"/>
      <c r="MQ298"/>
      <c r="MR298"/>
      <c r="MS298"/>
      <c r="MT298"/>
      <c r="MU298"/>
      <c r="MV298"/>
      <c r="MW298"/>
      <c r="MX298"/>
      <c r="MY298"/>
      <c r="MZ298"/>
      <c r="NA298"/>
      <c r="NB298"/>
      <c r="NC298"/>
      <c r="ND298"/>
      <c r="NE298"/>
      <c r="NF298"/>
      <c r="NG298"/>
      <c r="NH298"/>
      <c r="NI298"/>
      <c r="NJ298"/>
      <c r="NK298"/>
      <c r="NL298"/>
      <c r="NM298"/>
      <c r="NN298"/>
      <c r="NO298"/>
      <c r="NP298"/>
      <c r="NQ298"/>
      <c r="NR298"/>
      <c r="NS298"/>
      <c r="NT298"/>
      <c r="NU298"/>
      <c r="NV298"/>
      <c r="NW298"/>
      <c r="NX298"/>
      <c r="NY298"/>
      <c r="NZ298"/>
      <c r="OA298"/>
      <c r="OB298"/>
      <c r="OC298"/>
      <c r="OD298"/>
      <c r="OE298"/>
      <c r="OF298"/>
      <c r="OG298"/>
      <c r="OH298"/>
      <c r="OI298"/>
      <c r="OJ298"/>
      <c r="OK298"/>
      <c r="OL298"/>
      <c r="OM298"/>
      <c r="ON298"/>
      <c r="OO298"/>
      <c r="OP298"/>
      <c r="OQ298"/>
      <c r="OR298"/>
      <c r="OS298"/>
      <c r="OT298"/>
      <c r="OU298"/>
      <c r="OV298"/>
      <c r="OW298"/>
      <c r="OX298"/>
      <c r="OY298"/>
      <c r="OZ298"/>
      <c r="PA298"/>
      <c r="PB298"/>
      <c r="PC298"/>
      <c r="PD298"/>
      <c r="PE298"/>
      <c r="PF298"/>
      <c r="PG298"/>
      <c r="PH298"/>
      <c r="PI298"/>
      <c r="PJ298"/>
      <c r="PK298"/>
      <c r="PL298"/>
      <c r="PM298"/>
      <c r="PN298"/>
      <c r="PO298"/>
      <c r="PP298"/>
      <c r="PQ298"/>
      <c r="PR298"/>
      <c r="PS298"/>
      <c r="PT298"/>
      <c r="PU298"/>
      <c r="PV298"/>
      <c r="PW298"/>
      <c r="PX298"/>
      <c r="PY298"/>
      <c r="PZ298"/>
      <c r="QA298"/>
      <c r="QB298"/>
      <c r="QC298"/>
      <c r="QD298"/>
      <c r="QE298"/>
      <c r="QF298"/>
      <c r="QG298"/>
      <c r="QH298"/>
      <c r="QI298"/>
      <c r="QJ298"/>
      <c r="QK298"/>
      <c r="QL298"/>
      <c r="QM298"/>
      <c r="QN298"/>
      <c r="QO298"/>
      <c r="QP298"/>
      <c r="QQ298"/>
      <c r="QR298"/>
      <c r="QS298"/>
      <c r="QT298"/>
      <c r="QU298"/>
      <c r="QV298"/>
      <c r="QW298"/>
      <c r="QX298"/>
      <c r="QY298"/>
      <c r="QZ298"/>
      <c r="RA298"/>
      <c r="RB298"/>
      <c r="RC298"/>
      <c r="RD298"/>
      <c r="RE298"/>
      <c r="RF298"/>
      <c r="RG298"/>
      <c r="RH298"/>
      <c r="RI298"/>
      <c r="RJ298"/>
      <c r="RK298"/>
      <c r="RL298"/>
      <c r="RM298"/>
      <c r="RN298"/>
      <c r="RO298"/>
      <c r="RP298"/>
      <c r="RQ298"/>
      <c r="RR298"/>
      <c r="RS298"/>
      <c r="RT298"/>
      <c r="RU298"/>
      <c r="RV298"/>
      <c r="RW298"/>
      <c r="RX298"/>
      <c r="RY298"/>
      <c r="RZ298"/>
      <c r="SA298"/>
      <c r="SB298"/>
      <c r="SC298"/>
      <c r="SD298"/>
      <c r="SE298"/>
      <c r="SF298"/>
      <c r="SG298"/>
      <c r="SH298"/>
      <c r="SI298"/>
      <c r="SJ298"/>
      <c r="SK298"/>
      <c r="SL298"/>
      <c r="SM298"/>
      <c r="SN298"/>
      <c r="SO298"/>
      <c r="SP298"/>
      <c r="SQ298"/>
      <c r="SR298"/>
      <c r="SS298"/>
      <c r="ST298"/>
      <c r="SU298"/>
      <c r="SV298"/>
      <c r="SW298"/>
      <c r="SX298"/>
      <c r="SY298"/>
      <c r="SZ298"/>
      <c r="TA298"/>
      <c r="TB298"/>
      <c r="TC298"/>
      <c r="TD298"/>
      <c r="TE298"/>
      <c r="TF298"/>
      <c r="TG298"/>
      <c r="TH298"/>
    </row>
    <row r="299" spans="3:528" x14ac:dyDescent="0.25">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c r="KT299"/>
      <c r="KU299"/>
      <c r="KV299"/>
      <c r="KW299"/>
      <c r="KX299"/>
      <c r="KY299"/>
      <c r="KZ299"/>
      <c r="LA299"/>
      <c r="LB299"/>
      <c r="LC299"/>
      <c r="LD299"/>
      <c r="LE299"/>
      <c r="LF299"/>
      <c r="LG299"/>
      <c r="LH299"/>
      <c r="LI299"/>
      <c r="LJ299"/>
      <c r="LK299"/>
      <c r="LL299"/>
      <c r="LM299"/>
      <c r="LN299"/>
      <c r="LO299"/>
      <c r="LP299"/>
      <c r="LQ299"/>
      <c r="LR299"/>
      <c r="LS299"/>
      <c r="LT299"/>
      <c r="LU299"/>
      <c r="LV299"/>
      <c r="LW299"/>
      <c r="LX299"/>
      <c r="LY299"/>
      <c r="LZ299"/>
      <c r="MA299"/>
      <c r="MB299"/>
      <c r="MC299"/>
      <c r="MD299"/>
      <c r="ME299"/>
      <c r="MF299"/>
      <c r="MG299"/>
      <c r="MH299"/>
      <c r="MI299"/>
      <c r="MJ299"/>
      <c r="MK299"/>
      <c r="ML299"/>
      <c r="MM299"/>
      <c r="MN299"/>
      <c r="MO299"/>
      <c r="MP299"/>
      <c r="MQ299"/>
      <c r="MR299"/>
      <c r="MS299"/>
      <c r="MT299"/>
      <c r="MU299"/>
      <c r="MV299"/>
      <c r="MW299"/>
      <c r="MX299"/>
      <c r="MY299"/>
      <c r="MZ299"/>
      <c r="NA299"/>
      <c r="NB299"/>
      <c r="NC299"/>
      <c r="ND299"/>
      <c r="NE299"/>
      <c r="NF299"/>
      <c r="NG299"/>
      <c r="NH299"/>
      <c r="NI299"/>
      <c r="NJ299"/>
      <c r="NK299"/>
      <c r="NL299"/>
      <c r="NM299"/>
      <c r="NN299"/>
      <c r="NO299"/>
      <c r="NP299"/>
      <c r="NQ299"/>
      <c r="NR299"/>
      <c r="NS299"/>
      <c r="NT299"/>
      <c r="NU299"/>
      <c r="NV299"/>
      <c r="NW299"/>
      <c r="NX299"/>
      <c r="NY299"/>
      <c r="NZ299"/>
      <c r="OA299"/>
      <c r="OB299"/>
      <c r="OC299"/>
      <c r="OD299"/>
      <c r="OE299"/>
      <c r="OF299"/>
      <c r="OG299"/>
      <c r="OH299"/>
      <c r="OI299"/>
      <c r="OJ299"/>
      <c r="OK299"/>
      <c r="OL299"/>
      <c r="OM299"/>
      <c r="ON299"/>
      <c r="OO299"/>
      <c r="OP299"/>
      <c r="OQ299"/>
      <c r="OR299"/>
      <c r="OS299"/>
      <c r="OT299"/>
      <c r="OU299"/>
      <c r="OV299"/>
      <c r="OW299"/>
      <c r="OX299"/>
      <c r="OY299"/>
      <c r="OZ299"/>
      <c r="PA299"/>
      <c r="PB299"/>
      <c r="PC299"/>
      <c r="PD299"/>
      <c r="PE299"/>
      <c r="PF299"/>
      <c r="PG299"/>
      <c r="PH299"/>
      <c r="PI299"/>
      <c r="PJ299"/>
      <c r="PK299"/>
      <c r="PL299"/>
      <c r="PM299"/>
      <c r="PN299"/>
      <c r="PO299"/>
      <c r="PP299"/>
      <c r="PQ299"/>
      <c r="PR299"/>
      <c r="PS299"/>
      <c r="PT299"/>
      <c r="PU299"/>
      <c r="PV299"/>
      <c r="PW299"/>
      <c r="PX299"/>
      <c r="PY299"/>
      <c r="PZ299"/>
      <c r="QA299"/>
      <c r="QB299"/>
      <c r="QC299"/>
      <c r="QD299"/>
      <c r="QE299"/>
      <c r="QF299"/>
      <c r="QG299"/>
      <c r="QH299"/>
      <c r="QI299"/>
      <c r="QJ299"/>
      <c r="QK299"/>
      <c r="QL299"/>
      <c r="QM299"/>
      <c r="QN299"/>
      <c r="QO299"/>
      <c r="QP299"/>
      <c r="QQ299"/>
      <c r="QR299"/>
      <c r="QS299"/>
      <c r="QT299"/>
      <c r="QU299"/>
      <c r="QV299"/>
      <c r="QW299"/>
      <c r="QX299"/>
      <c r="QY299"/>
      <c r="QZ299"/>
      <c r="RA299"/>
      <c r="RB299"/>
      <c r="RC299"/>
      <c r="RD299"/>
      <c r="RE299"/>
      <c r="RF299"/>
      <c r="RG299"/>
      <c r="RH299"/>
      <c r="RI299"/>
      <c r="RJ299"/>
      <c r="RK299"/>
      <c r="RL299"/>
      <c r="RM299"/>
      <c r="RN299"/>
      <c r="RO299"/>
      <c r="RP299"/>
      <c r="RQ299"/>
      <c r="RR299"/>
      <c r="RS299"/>
      <c r="RT299"/>
      <c r="RU299"/>
      <c r="RV299"/>
      <c r="RW299"/>
      <c r="RX299"/>
      <c r="RY299"/>
      <c r="RZ299"/>
      <c r="SA299"/>
      <c r="SB299"/>
      <c r="SC299"/>
      <c r="SD299"/>
      <c r="SE299"/>
      <c r="SF299"/>
      <c r="SG299"/>
      <c r="SH299"/>
      <c r="SI299"/>
      <c r="SJ299"/>
      <c r="SK299"/>
      <c r="SL299"/>
      <c r="SM299"/>
      <c r="SN299"/>
      <c r="SO299"/>
      <c r="SP299"/>
      <c r="SQ299"/>
      <c r="SR299"/>
      <c r="SS299"/>
      <c r="ST299"/>
      <c r="SU299"/>
      <c r="SV299"/>
      <c r="SW299"/>
      <c r="SX299"/>
      <c r="SY299"/>
      <c r="SZ299"/>
      <c r="TA299"/>
      <c r="TB299"/>
      <c r="TC299"/>
      <c r="TD299"/>
      <c r="TE299"/>
      <c r="TF299"/>
      <c r="TG299"/>
      <c r="TH299"/>
    </row>
    <row r="300" spans="3:528" x14ac:dyDescent="0.25">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c r="KT300"/>
      <c r="KU300"/>
      <c r="KV300"/>
      <c r="KW300"/>
      <c r="KX300"/>
      <c r="KY300"/>
      <c r="KZ300"/>
      <c r="LA300"/>
      <c r="LB300"/>
      <c r="LC300"/>
      <c r="LD300"/>
      <c r="LE300"/>
      <c r="LF300"/>
      <c r="LG300"/>
      <c r="LH300"/>
      <c r="LI300"/>
      <c r="LJ300"/>
      <c r="LK300"/>
      <c r="LL300"/>
      <c r="LM300"/>
      <c r="LN300"/>
      <c r="LO300"/>
      <c r="LP300"/>
      <c r="LQ300"/>
      <c r="LR300"/>
      <c r="LS300"/>
      <c r="LT300"/>
      <c r="LU300"/>
      <c r="LV300"/>
      <c r="LW300"/>
      <c r="LX300"/>
      <c r="LY300"/>
      <c r="LZ300"/>
      <c r="MA300"/>
      <c r="MB300"/>
      <c r="MC300"/>
      <c r="MD300"/>
      <c r="ME300"/>
      <c r="MF300"/>
      <c r="MG300"/>
      <c r="MH300"/>
      <c r="MI300"/>
      <c r="MJ300"/>
      <c r="MK300"/>
      <c r="ML300"/>
      <c r="MM300"/>
      <c r="MN300"/>
      <c r="MO300"/>
      <c r="MP300"/>
      <c r="MQ300"/>
      <c r="MR300"/>
      <c r="MS300"/>
      <c r="MT300"/>
      <c r="MU300"/>
      <c r="MV300"/>
      <c r="MW300"/>
      <c r="MX300"/>
      <c r="MY300"/>
      <c r="MZ300"/>
      <c r="NA300"/>
      <c r="NB300"/>
      <c r="NC300"/>
      <c r="ND300"/>
      <c r="NE300"/>
      <c r="NF300"/>
      <c r="NG300"/>
      <c r="NH300"/>
      <c r="NI300"/>
      <c r="NJ300"/>
      <c r="NK300"/>
      <c r="NL300"/>
      <c r="NM300"/>
      <c r="NN300"/>
      <c r="NO300"/>
      <c r="NP300"/>
      <c r="NQ300"/>
      <c r="NR300"/>
      <c r="NS300"/>
      <c r="NT300"/>
      <c r="NU300"/>
      <c r="NV300"/>
      <c r="NW300"/>
      <c r="NX300"/>
      <c r="NY300"/>
      <c r="NZ300"/>
      <c r="OA300"/>
      <c r="OB300"/>
      <c r="OC300"/>
      <c r="OD300"/>
      <c r="OE300"/>
      <c r="OF300"/>
      <c r="OG300"/>
      <c r="OH300"/>
      <c r="OI300"/>
      <c r="OJ300"/>
      <c r="OK300"/>
      <c r="OL300"/>
      <c r="OM300"/>
      <c r="ON300"/>
      <c r="OO300"/>
      <c r="OP300"/>
      <c r="OQ300"/>
      <c r="OR300"/>
      <c r="OS300"/>
      <c r="OT300"/>
      <c r="OU300"/>
      <c r="OV300"/>
      <c r="OW300"/>
      <c r="OX300"/>
      <c r="OY300"/>
      <c r="OZ300"/>
      <c r="PA300"/>
      <c r="PB300"/>
      <c r="PC300"/>
      <c r="PD300"/>
      <c r="PE300"/>
      <c r="PF300"/>
      <c r="PG300"/>
      <c r="PH300"/>
      <c r="PI300"/>
      <c r="PJ300"/>
      <c r="PK300"/>
      <c r="PL300"/>
      <c r="PM300"/>
      <c r="PN300"/>
      <c r="PO300"/>
      <c r="PP300"/>
      <c r="PQ300"/>
      <c r="PR300"/>
      <c r="PS300"/>
      <c r="PT300"/>
      <c r="PU300"/>
      <c r="PV300"/>
      <c r="PW300"/>
      <c r="PX300"/>
      <c r="PY300"/>
      <c r="PZ300"/>
      <c r="QA300"/>
      <c r="QB300"/>
      <c r="QC300"/>
      <c r="QD300"/>
      <c r="QE300"/>
      <c r="QF300"/>
      <c r="QG300"/>
      <c r="QH300"/>
      <c r="QI300"/>
      <c r="QJ300"/>
      <c r="QK300"/>
      <c r="QL300"/>
      <c r="QM300"/>
      <c r="QN300"/>
      <c r="QO300"/>
      <c r="QP300"/>
      <c r="QQ300"/>
      <c r="QR300"/>
      <c r="QS300"/>
      <c r="QT300"/>
      <c r="QU300"/>
      <c r="QV300"/>
      <c r="QW300"/>
      <c r="QX300"/>
      <c r="QY300"/>
      <c r="QZ300"/>
      <c r="RA300"/>
      <c r="RB300"/>
      <c r="RC300"/>
      <c r="RD300"/>
      <c r="RE300"/>
      <c r="RF300"/>
      <c r="RG300"/>
      <c r="RH300"/>
      <c r="RI300"/>
      <c r="RJ300"/>
      <c r="RK300"/>
      <c r="RL300"/>
      <c r="RM300"/>
      <c r="RN300"/>
      <c r="RO300"/>
      <c r="RP300"/>
      <c r="RQ300"/>
      <c r="RR300"/>
      <c r="RS300"/>
      <c r="RT300"/>
      <c r="RU300"/>
      <c r="RV300"/>
      <c r="RW300"/>
      <c r="RX300"/>
      <c r="RY300"/>
      <c r="RZ300"/>
      <c r="SA300"/>
      <c r="SB300"/>
      <c r="SC300"/>
      <c r="SD300"/>
      <c r="SE300"/>
      <c r="SF300"/>
      <c r="SG300"/>
      <c r="SH300"/>
      <c r="SI300"/>
      <c r="SJ300"/>
      <c r="SK300"/>
      <c r="SL300"/>
      <c r="SM300"/>
      <c r="SN300"/>
      <c r="SO300"/>
      <c r="SP300"/>
      <c r="SQ300"/>
      <c r="SR300"/>
      <c r="SS300"/>
      <c r="ST300"/>
      <c r="SU300"/>
      <c r="SV300"/>
      <c r="SW300"/>
      <c r="SX300"/>
      <c r="SY300"/>
      <c r="SZ300"/>
      <c r="TA300"/>
      <c r="TB300"/>
      <c r="TC300"/>
      <c r="TD300"/>
      <c r="TE300"/>
      <c r="TF300"/>
      <c r="TG300"/>
      <c r="TH300"/>
    </row>
    <row r="301" spans="3:528" x14ac:dyDescent="0.25">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c r="KT301"/>
      <c r="KU301"/>
      <c r="KV301"/>
      <c r="KW301"/>
      <c r="KX301"/>
      <c r="KY301"/>
      <c r="KZ301"/>
      <c r="LA301"/>
      <c r="LB301"/>
      <c r="LC301"/>
      <c r="LD301"/>
      <c r="LE301"/>
      <c r="LF301"/>
      <c r="LG301"/>
      <c r="LH301"/>
      <c r="LI301"/>
      <c r="LJ301"/>
      <c r="LK301"/>
      <c r="LL301"/>
      <c r="LM301"/>
      <c r="LN301"/>
      <c r="LO301"/>
      <c r="LP301"/>
      <c r="LQ301"/>
      <c r="LR301"/>
      <c r="LS301"/>
      <c r="LT301"/>
      <c r="LU301"/>
      <c r="LV301"/>
      <c r="LW301"/>
      <c r="LX301"/>
      <c r="LY301"/>
      <c r="LZ301"/>
      <c r="MA301"/>
      <c r="MB301"/>
      <c r="MC301"/>
      <c r="MD301"/>
      <c r="ME301"/>
      <c r="MF301"/>
      <c r="MG301"/>
      <c r="MH301"/>
      <c r="MI301"/>
      <c r="MJ301"/>
      <c r="MK301"/>
      <c r="ML301"/>
      <c r="MM301"/>
      <c r="MN301"/>
      <c r="MO301"/>
      <c r="MP301"/>
      <c r="MQ301"/>
      <c r="MR301"/>
      <c r="MS301"/>
      <c r="MT301"/>
      <c r="MU301"/>
      <c r="MV301"/>
      <c r="MW301"/>
      <c r="MX301"/>
      <c r="MY301"/>
      <c r="MZ301"/>
      <c r="NA301"/>
      <c r="NB301"/>
      <c r="NC301"/>
      <c r="ND301"/>
      <c r="NE301"/>
      <c r="NF301"/>
      <c r="NG301"/>
      <c r="NH301"/>
      <c r="NI301"/>
      <c r="NJ301"/>
      <c r="NK301"/>
      <c r="NL301"/>
      <c r="NM301"/>
      <c r="NN301"/>
      <c r="NO301"/>
      <c r="NP301"/>
      <c r="NQ301"/>
      <c r="NR301"/>
      <c r="NS301"/>
      <c r="NT301"/>
      <c r="NU301"/>
      <c r="NV301"/>
      <c r="NW301"/>
      <c r="NX301"/>
      <c r="NY301"/>
      <c r="NZ301"/>
      <c r="OA301"/>
      <c r="OB301"/>
      <c r="OC301"/>
      <c r="OD301"/>
      <c r="OE301"/>
      <c r="OF301"/>
      <c r="OG301"/>
      <c r="OH301"/>
      <c r="OI301"/>
      <c r="OJ301"/>
      <c r="OK301"/>
      <c r="OL301"/>
      <c r="OM301"/>
      <c r="ON301"/>
      <c r="OO301"/>
      <c r="OP301"/>
      <c r="OQ301"/>
      <c r="OR301"/>
      <c r="OS301"/>
      <c r="OT301"/>
      <c r="OU301"/>
      <c r="OV301"/>
      <c r="OW301"/>
      <c r="OX301"/>
      <c r="OY301"/>
      <c r="OZ301"/>
      <c r="PA301"/>
      <c r="PB301"/>
      <c r="PC301"/>
      <c r="PD301"/>
      <c r="PE301"/>
      <c r="PF301"/>
      <c r="PG301"/>
      <c r="PH301"/>
      <c r="PI301"/>
      <c r="PJ301"/>
      <c r="PK301"/>
      <c r="PL301"/>
      <c r="PM301"/>
      <c r="PN301"/>
      <c r="PO301"/>
      <c r="PP301"/>
      <c r="PQ301"/>
      <c r="PR301"/>
      <c r="PS301"/>
      <c r="PT301"/>
      <c r="PU301"/>
      <c r="PV301"/>
      <c r="PW301"/>
      <c r="PX301"/>
      <c r="PY301"/>
      <c r="PZ301"/>
      <c r="QA301"/>
      <c r="QB301"/>
      <c r="QC301"/>
      <c r="QD301"/>
      <c r="QE301"/>
      <c r="QF301"/>
      <c r="QG301"/>
      <c r="QH301"/>
      <c r="QI301"/>
      <c r="QJ301"/>
      <c r="QK301"/>
      <c r="QL301"/>
      <c r="QM301"/>
      <c r="QN301"/>
      <c r="QO301"/>
      <c r="QP301"/>
      <c r="QQ301"/>
      <c r="QR301"/>
      <c r="QS301"/>
      <c r="QT301"/>
      <c r="QU301"/>
      <c r="QV301"/>
      <c r="QW301"/>
      <c r="QX301"/>
      <c r="QY301"/>
      <c r="QZ301"/>
      <c r="RA301"/>
      <c r="RB301"/>
      <c r="RC301"/>
      <c r="RD301"/>
      <c r="RE301"/>
      <c r="RF301"/>
      <c r="RG301"/>
      <c r="RH301"/>
      <c r="RI301"/>
      <c r="RJ301"/>
      <c r="RK301"/>
      <c r="RL301"/>
      <c r="RM301"/>
      <c r="RN301"/>
      <c r="RO301"/>
      <c r="RP301"/>
      <c r="RQ301"/>
      <c r="RR301"/>
      <c r="RS301"/>
      <c r="RT301"/>
      <c r="RU301"/>
      <c r="RV301"/>
      <c r="RW301"/>
      <c r="RX301"/>
      <c r="RY301"/>
      <c r="RZ301"/>
      <c r="SA301"/>
      <c r="SB301"/>
      <c r="SC301"/>
      <c r="SD301"/>
      <c r="SE301"/>
      <c r="SF301"/>
      <c r="SG301"/>
      <c r="SH301"/>
      <c r="SI301"/>
      <c r="SJ301"/>
      <c r="SK301"/>
      <c r="SL301"/>
      <c r="SM301"/>
      <c r="SN301"/>
      <c r="SO301"/>
      <c r="SP301"/>
      <c r="SQ301"/>
      <c r="SR301"/>
      <c r="SS301"/>
      <c r="ST301"/>
      <c r="SU301"/>
      <c r="SV301"/>
      <c r="SW301"/>
      <c r="SX301"/>
      <c r="SY301"/>
      <c r="SZ301"/>
      <c r="TA301"/>
      <c r="TB301"/>
      <c r="TC301"/>
      <c r="TD301"/>
      <c r="TE301"/>
      <c r="TF301"/>
      <c r="TG301"/>
      <c r="TH301"/>
    </row>
    <row r="302" spans="3:528" x14ac:dyDescent="0.25">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c r="KT302"/>
      <c r="KU302"/>
      <c r="KV302"/>
      <c r="KW302"/>
      <c r="KX302"/>
      <c r="KY302"/>
      <c r="KZ302"/>
      <c r="LA302"/>
      <c r="LB302"/>
      <c r="LC302"/>
      <c r="LD302"/>
      <c r="LE302"/>
      <c r="LF302"/>
      <c r="LG302"/>
      <c r="LH302"/>
      <c r="LI302"/>
      <c r="LJ302"/>
      <c r="LK302"/>
      <c r="LL302"/>
      <c r="LM302"/>
      <c r="LN302"/>
      <c r="LO302"/>
      <c r="LP302"/>
      <c r="LQ302"/>
      <c r="LR302"/>
      <c r="LS302"/>
      <c r="LT302"/>
      <c r="LU302"/>
      <c r="LV302"/>
      <c r="LW302"/>
      <c r="LX302"/>
      <c r="LY302"/>
      <c r="LZ302"/>
      <c r="MA302"/>
      <c r="MB302"/>
      <c r="MC302"/>
      <c r="MD302"/>
      <c r="ME302"/>
      <c r="MF302"/>
      <c r="MG302"/>
      <c r="MH302"/>
      <c r="MI302"/>
      <c r="MJ302"/>
      <c r="MK302"/>
      <c r="ML302"/>
      <c r="MM302"/>
      <c r="MN302"/>
      <c r="MO302"/>
      <c r="MP302"/>
      <c r="MQ302"/>
      <c r="MR302"/>
      <c r="MS302"/>
      <c r="MT302"/>
      <c r="MU302"/>
      <c r="MV302"/>
      <c r="MW302"/>
      <c r="MX302"/>
      <c r="MY302"/>
      <c r="MZ302"/>
      <c r="NA302"/>
      <c r="NB302"/>
      <c r="NC302"/>
      <c r="ND302"/>
      <c r="NE302"/>
      <c r="NF302"/>
      <c r="NG302"/>
      <c r="NH302"/>
      <c r="NI302"/>
      <c r="NJ302"/>
      <c r="NK302"/>
      <c r="NL302"/>
      <c r="NM302"/>
      <c r="NN302"/>
      <c r="NO302"/>
      <c r="NP302"/>
      <c r="NQ302"/>
      <c r="NR302"/>
      <c r="NS302"/>
      <c r="NT302"/>
      <c r="NU302"/>
      <c r="NV302"/>
      <c r="NW302"/>
      <c r="NX302"/>
      <c r="NY302"/>
      <c r="NZ302"/>
      <c r="OA302"/>
      <c r="OB302"/>
      <c r="OC302"/>
      <c r="OD302"/>
      <c r="OE302"/>
      <c r="OF302"/>
      <c r="OG302"/>
      <c r="OH302"/>
      <c r="OI302"/>
      <c r="OJ302"/>
      <c r="OK302"/>
      <c r="OL302"/>
      <c r="OM302"/>
      <c r="ON302"/>
      <c r="OO302"/>
      <c r="OP302"/>
      <c r="OQ302"/>
      <c r="OR302"/>
      <c r="OS302"/>
      <c r="OT302"/>
      <c r="OU302"/>
      <c r="OV302"/>
      <c r="OW302"/>
      <c r="OX302"/>
      <c r="OY302"/>
      <c r="OZ302"/>
      <c r="PA302"/>
      <c r="PB302"/>
      <c r="PC302"/>
      <c r="PD302"/>
      <c r="PE302"/>
      <c r="PF302"/>
      <c r="PG302"/>
      <c r="PH302"/>
      <c r="PI302"/>
      <c r="PJ302"/>
      <c r="PK302"/>
      <c r="PL302"/>
      <c r="PM302"/>
      <c r="PN302"/>
      <c r="PO302"/>
      <c r="PP302"/>
      <c r="PQ302"/>
      <c r="PR302"/>
      <c r="PS302"/>
      <c r="PT302"/>
      <c r="PU302"/>
      <c r="PV302"/>
      <c r="PW302"/>
      <c r="PX302"/>
      <c r="PY302"/>
      <c r="PZ302"/>
      <c r="QA302"/>
      <c r="QB302"/>
      <c r="QC302"/>
      <c r="QD302"/>
      <c r="QE302"/>
      <c r="QF302"/>
      <c r="QG302"/>
      <c r="QH302"/>
      <c r="QI302"/>
      <c r="QJ302"/>
      <c r="QK302"/>
      <c r="QL302"/>
      <c r="QM302"/>
      <c r="QN302"/>
      <c r="QO302"/>
      <c r="QP302"/>
      <c r="QQ302"/>
      <c r="QR302"/>
      <c r="QS302"/>
      <c r="QT302"/>
      <c r="QU302"/>
      <c r="QV302"/>
      <c r="QW302"/>
      <c r="QX302"/>
      <c r="QY302"/>
      <c r="QZ302"/>
      <c r="RA302"/>
      <c r="RB302"/>
      <c r="RC302"/>
      <c r="RD302"/>
      <c r="RE302"/>
      <c r="RF302"/>
      <c r="RG302"/>
      <c r="RH302"/>
      <c r="RI302"/>
      <c r="RJ302"/>
      <c r="RK302"/>
      <c r="RL302"/>
      <c r="RM302"/>
      <c r="RN302"/>
      <c r="RO302"/>
      <c r="RP302"/>
      <c r="RQ302"/>
      <c r="RR302"/>
      <c r="RS302"/>
      <c r="RT302"/>
      <c r="RU302"/>
      <c r="RV302"/>
      <c r="RW302"/>
      <c r="RX302"/>
      <c r="RY302"/>
      <c r="RZ302"/>
      <c r="SA302"/>
      <c r="SB302"/>
      <c r="SC302"/>
      <c r="SD302"/>
      <c r="SE302"/>
      <c r="SF302"/>
      <c r="SG302"/>
      <c r="SH302"/>
      <c r="SI302"/>
      <c r="SJ302"/>
      <c r="SK302"/>
      <c r="SL302"/>
      <c r="SM302"/>
      <c r="SN302"/>
      <c r="SO302"/>
      <c r="SP302"/>
      <c r="SQ302"/>
      <c r="SR302"/>
      <c r="SS302"/>
      <c r="ST302"/>
      <c r="SU302"/>
      <c r="SV302"/>
      <c r="SW302"/>
      <c r="SX302"/>
      <c r="SY302"/>
      <c r="SZ302"/>
      <c r="TA302"/>
      <c r="TB302"/>
      <c r="TC302"/>
      <c r="TD302"/>
      <c r="TE302"/>
      <c r="TF302"/>
      <c r="TG302"/>
      <c r="TH302"/>
    </row>
    <row r="303" spans="3:528" x14ac:dyDescent="0.25">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c r="KT303"/>
      <c r="KU303"/>
      <c r="KV303"/>
      <c r="KW303"/>
      <c r="KX303"/>
      <c r="KY303"/>
      <c r="KZ303"/>
      <c r="LA303"/>
      <c r="LB303"/>
      <c r="LC303"/>
      <c r="LD303"/>
      <c r="LE303"/>
      <c r="LF303"/>
      <c r="LG303"/>
      <c r="LH303"/>
      <c r="LI303"/>
      <c r="LJ303"/>
      <c r="LK303"/>
      <c r="LL303"/>
      <c r="LM303"/>
      <c r="LN303"/>
      <c r="LO303"/>
      <c r="LP303"/>
      <c r="LQ303"/>
      <c r="LR303"/>
      <c r="LS303"/>
      <c r="LT303"/>
      <c r="LU303"/>
      <c r="LV303"/>
      <c r="LW303"/>
      <c r="LX303"/>
      <c r="LY303"/>
      <c r="LZ303"/>
      <c r="MA303"/>
      <c r="MB303"/>
      <c r="MC303"/>
      <c r="MD303"/>
      <c r="ME303"/>
      <c r="MF303"/>
      <c r="MG303"/>
      <c r="MH303"/>
      <c r="MI303"/>
      <c r="MJ303"/>
      <c r="MK303"/>
      <c r="ML303"/>
      <c r="MM303"/>
      <c r="MN303"/>
      <c r="MO303"/>
      <c r="MP303"/>
      <c r="MQ303"/>
      <c r="MR303"/>
      <c r="MS303"/>
      <c r="MT303"/>
      <c r="MU303"/>
      <c r="MV303"/>
      <c r="MW303"/>
      <c r="MX303"/>
      <c r="MY303"/>
      <c r="MZ303"/>
      <c r="NA303"/>
      <c r="NB303"/>
      <c r="NC303"/>
      <c r="ND303"/>
      <c r="NE303"/>
      <c r="NF303"/>
      <c r="NG303"/>
      <c r="NH303"/>
      <c r="NI303"/>
      <c r="NJ303"/>
      <c r="NK303"/>
      <c r="NL303"/>
      <c r="NM303"/>
      <c r="NN303"/>
      <c r="NO303"/>
      <c r="NP303"/>
      <c r="NQ303"/>
      <c r="NR303"/>
      <c r="NS303"/>
      <c r="NT303"/>
      <c r="NU303"/>
      <c r="NV303"/>
      <c r="NW303"/>
      <c r="NX303"/>
      <c r="NY303"/>
      <c r="NZ303"/>
      <c r="OA303"/>
      <c r="OB303"/>
      <c r="OC303"/>
      <c r="OD303"/>
      <c r="OE303"/>
      <c r="OF303"/>
      <c r="OG303"/>
      <c r="OH303"/>
      <c r="OI303"/>
      <c r="OJ303"/>
      <c r="OK303"/>
      <c r="OL303"/>
      <c r="OM303"/>
      <c r="ON303"/>
      <c r="OO303"/>
      <c r="OP303"/>
      <c r="OQ303"/>
      <c r="OR303"/>
      <c r="OS303"/>
      <c r="OT303"/>
      <c r="OU303"/>
      <c r="OV303"/>
      <c r="OW303"/>
      <c r="OX303"/>
      <c r="OY303"/>
      <c r="OZ303"/>
      <c r="PA303"/>
      <c r="PB303"/>
      <c r="PC303"/>
      <c r="PD303"/>
      <c r="PE303"/>
      <c r="PF303"/>
      <c r="PG303"/>
      <c r="PH303"/>
      <c r="PI303"/>
      <c r="PJ303"/>
      <c r="PK303"/>
      <c r="PL303"/>
      <c r="PM303"/>
      <c r="PN303"/>
      <c r="PO303"/>
      <c r="PP303"/>
      <c r="PQ303"/>
      <c r="PR303"/>
      <c r="PS303"/>
      <c r="PT303"/>
      <c r="PU303"/>
      <c r="PV303"/>
      <c r="PW303"/>
      <c r="PX303"/>
      <c r="PY303"/>
      <c r="PZ303"/>
      <c r="QA303"/>
      <c r="QB303"/>
      <c r="QC303"/>
      <c r="QD303"/>
      <c r="QE303"/>
      <c r="QF303"/>
      <c r="QG303"/>
      <c r="QH303"/>
      <c r="QI303"/>
      <c r="QJ303"/>
      <c r="QK303"/>
      <c r="QL303"/>
      <c r="QM303"/>
      <c r="QN303"/>
      <c r="QO303"/>
      <c r="QP303"/>
      <c r="QQ303"/>
      <c r="QR303"/>
      <c r="QS303"/>
      <c r="QT303"/>
      <c r="QU303"/>
      <c r="QV303"/>
      <c r="QW303"/>
      <c r="QX303"/>
      <c r="QY303"/>
      <c r="QZ303"/>
      <c r="RA303"/>
      <c r="RB303"/>
      <c r="RC303"/>
      <c r="RD303"/>
      <c r="RE303"/>
      <c r="RF303"/>
      <c r="RG303"/>
      <c r="RH303"/>
      <c r="RI303"/>
      <c r="RJ303"/>
      <c r="RK303"/>
      <c r="RL303"/>
      <c r="RM303"/>
      <c r="RN303"/>
      <c r="RO303"/>
      <c r="RP303"/>
      <c r="RQ303"/>
      <c r="RR303"/>
      <c r="RS303"/>
      <c r="RT303"/>
      <c r="RU303"/>
      <c r="RV303"/>
      <c r="RW303"/>
      <c r="RX303"/>
      <c r="RY303"/>
      <c r="RZ303"/>
      <c r="SA303"/>
      <c r="SB303"/>
      <c r="SC303"/>
      <c r="SD303"/>
      <c r="SE303"/>
      <c r="SF303"/>
      <c r="SG303"/>
      <c r="SH303"/>
      <c r="SI303"/>
      <c r="SJ303"/>
      <c r="SK303"/>
      <c r="SL303"/>
      <c r="SM303"/>
      <c r="SN303"/>
      <c r="SO303"/>
      <c r="SP303"/>
      <c r="SQ303"/>
      <c r="SR303"/>
      <c r="SS303"/>
      <c r="ST303"/>
      <c r="SU303"/>
      <c r="SV303"/>
      <c r="SW303"/>
      <c r="SX303"/>
      <c r="SY303"/>
      <c r="SZ303"/>
      <c r="TA303"/>
      <c r="TB303"/>
      <c r="TC303"/>
      <c r="TD303"/>
      <c r="TE303"/>
      <c r="TF303"/>
      <c r="TG303"/>
      <c r="TH303"/>
    </row>
    <row r="304" spans="3:528" x14ac:dyDescent="0.25">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c r="KT304"/>
      <c r="KU304"/>
      <c r="KV304"/>
      <c r="KW304"/>
      <c r="KX304"/>
      <c r="KY304"/>
      <c r="KZ304"/>
      <c r="LA304"/>
      <c r="LB304"/>
      <c r="LC304"/>
      <c r="LD304"/>
      <c r="LE304"/>
      <c r="LF304"/>
      <c r="LG304"/>
      <c r="LH304"/>
      <c r="LI304"/>
      <c r="LJ304"/>
      <c r="LK304"/>
      <c r="LL304"/>
      <c r="LM304"/>
      <c r="LN304"/>
      <c r="LO304"/>
      <c r="LP304"/>
      <c r="LQ304"/>
      <c r="LR304"/>
      <c r="LS304"/>
      <c r="LT304"/>
      <c r="LU304"/>
      <c r="LV304"/>
      <c r="LW304"/>
      <c r="LX304"/>
      <c r="LY304"/>
      <c r="LZ304"/>
      <c r="MA304"/>
      <c r="MB304"/>
      <c r="MC304"/>
      <c r="MD304"/>
      <c r="ME304"/>
      <c r="MF304"/>
      <c r="MG304"/>
      <c r="MH304"/>
      <c r="MI304"/>
      <c r="MJ304"/>
      <c r="MK304"/>
      <c r="ML304"/>
      <c r="MM304"/>
      <c r="MN304"/>
      <c r="MO304"/>
      <c r="MP304"/>
      <c r="MQ304"/>
      <c r="MR304"/>
      <c r="MS304"/>
      <c r="MT304"/>
      <c r="MU304"/>
      <c r="MV304"/>
      <c r="MW304"/>
      <c r="MX304"/>
      <c r="MY304"/>
      <c r="MZ304"/>
      <c r="NA304"/>
      <c r="NB304"/>
      <c r="NC304"/>
      <c r="ND304"/>
      <c r="NE304"/>
      <c r="NF304"/>
      <c r="NG304"/>
      <c r="NH304"/>
      <c r="NI304"/>
      <c r="NJ304"/>
      <c r="NK304"/>
      <c r="NL304"/>
      <c r="NM304"/>
      <c r="NN304"/>
      <c r="NO304"/>
      <c r="NP304"/>
      <c r="NQ304"/>
      <c r="NR304"/>
      <c r="NS304"/>
      <c r="NT304"/>
      <c r="NU304"/>
      <c r="NV304"/>
      <c r="NW304"/>
      <c r="NX304"/>
      <c r="NY304"/>
      <c r="NZ304"/>
      <c r="OA304"/>
      <c r="OB304"/>
      <c r="OC304"/>
      <c r="OD304"/>
      <c r="OE304"/>
      <c r="OF304"/>
      <c r="OG304"/>
      <c r="OH304"/>
      <c r="OI304"/>
      <c r="OJ304"/>
      <c r="OK304"/>
      <c r="OL304"/>
      <c r="OM304"/>
      <c r="ON304"/>
      <c r="OO304"/>
      <c r="OP304"/>
      <c r="OQ304"/>
      <c r="OR304"/>
      <c r="OS304"/>
      <c r="OT304"/>
      <c r="OU304"/>
      <c r="OV304"/>
      <c r="OW304"/>
      <c r="OX304"/>
      <c r="OY304"/>
      <c r="OZ304"/>
      <c r="PA304"/>
      <c r="PB304"/>
      <c r="PC304"/>
      <c r="PD304"/>
      <c r="PE304"/>
      <c r="PF304"/>
      <c r="PG304"/>
      <c r="PH304"/>
      <c r="PI304"/>
      <c r="PJ304"/>
      <c r="PK304"/>
      <c r="PL304"/>
      <c r="PM304"/>
      <c r="PN304"/>
      <c r="PO304"/>
      <c r="PP304"/>
      <c r="PQ304"/>
      <c r="PR304"/>
      <c r="PS304"/>
      <c r="PT304"/>
      <c r="PU304"/>
      <c r="PV304"/>
      <c r="PW304"/>
      <c r="PX304"/>
      <c r="PY304"/>
      <c r="PZ304"/>
      <c r="QA304"/>
      <c r="QB304"/>
      <c r="QC304"/>
      <c r="QD304"/>
      <c r="QE304"/>
      <c r="QF304"/>
      <c r="QG304"/>
      <c r="QH304"/>
      <c r="QI304"/>
      <c r="QJ304"/>
      <c r="QK304"/>
      <c r="QL304"/>
      <c r="QM304"/>
      <c r="QN304"/>
      <c r="QO304"/>
      <c r="QP304"/>
      <c r="QQ304"/>
      <c r="QR304"/>
      <c r="QS304"/>
      <c r="QT304"/>
      <c r="QU304"/>
      <c r="QV304"/>
      <c r="QW304"/>
      <c r="QX304"/>
      <c r="QY304"/>
      <c r="QZ304"/>
      <c r="RA304"/>
      <c r="RB304"/>
      <c r="RC304"/>
      <c r="RD304"/>
      <c r="RE304"/>
      <c r="RF304"/>
      <c r="RG304"/>
      <c r="RH304"/>
      <c r="RI304"/>
      <c r="RJ304"/>
      <c r="RK304"/>
      <c r="RL304"/>
      <c r="RM304"/>
      <c r="RN304"/>
      <c r="RO304"/>
      <c r="RP304"/>
      <c r="RQ304"/>
      <c r="RR304"/>
      <c r="RS304"/>
      <c r="RT304"/>
      <c r="RU304"/>
      <c r="RV304"/>
      <c r="RW304"/>
      <c r="RX304"/>
      <c r="RY304"/>
      <c r="RZ304"/>
      <c r="SA304"/>
      <c r="SB304"/>
      <c r="SC304"/>
      <c r="SD304"/>
      <c r="SE304"/>
      <c r="SF304"/>
      <c r="SG304"/>
      <c r="SH304"/>
      <c r="SI304"/>
      <c r="SJ304"/>
      <c r="SK304"/>
      <c r="SL304"/>
      <c r="SM304"/>
      <c r="SN304"/>
      <c r="SO304"/>
      <c r="SP304"/>
      <c r="SQ304"/>
      <c r="SR304"/>
      <c r="SS304"/>
      <c r="ST304"/>
      <c r="SU304"/>
      <c r="SV304"/>
      <c r="SW304"/>
      <c r="SX304"/>
      <c r="SY304"/>
      <c r="SZ304"/>
      <c r="TA304"/>
      <c r="TB304"/>
      <c r="TC304"/>
      <c r="TD304"/>
      <c r="TE304"/>
      <c r="TF304"/>
      <c r="TG304"/>
      <c r="TH304"/>
    </row>
    <row r="305" spans="3:528" x14ac:dyDescent="0.2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c r="KT305"/>
      <c r="KU305"/>
      <c r="KV305"/>
      <c r="KW305"/>
      <c r="KX305"/>
      <c r="KY305"/>
      <c r="KZ305"/>
      <c r="LA305"/>
      <c r="LB305"/>
      <c r="LC305"/>
      <c r="LD305"/>
      <c r="LE305"/>
      <c r="LF305"/>
      <c r="LG305"/>
      <c r="LH305"/>
      <c r="LI305"/>
      <c r="LJ305"/>
      <c r="LK305"/>
      <c r="LL305"/>
      <c r="LM305"/>
      <c r="LN305"/>
      <c r="LO305"/>
      <c r="LP305"/>
      <c r="LQ305"/>
      <c r="LR305"/>
      <c r="LS305"/>
      <c r="LT305"/>
      <c r="LU305"/>
      <c r="LV305"/>
      <c r="LW305"/>
      <c r="LX305"/>
      <c r="LY305"/>
      <c r="LZ305"/>
      <c r="MA305"/>
      <c r="MB305"/>
      <c r="MC305"/>
      <c r="MD305"/>
      <c r="ME305"/>
      <c r="MF305"/>
      <c r="MG305"/>
      <c r="MH305"/>
      <c r="MI305"/>
      <c r="MJ305"/>
      <c r="MK305"/>
      <c r="ML305"/>
      <c r="MM305"/>
      <c r="MN305"/>
      <c r="MO305"/>
      <c r="MP305"/>
      <c r="MQ305"/>
      <c r="MR305"/>
      <c r="MS305"/>
      <c r="MT305"/>
      <c r="MU305"/>
      <c r="MV305"/>
      <c r="MW305"/>
      <c r="MX305"/>
      <c r="MY305"/>
      <c r="MZ305"/>
      <c r="NA305"/>
      <c r="NB305"/>
      <c r="NC305"/>
      <c r="ND305"/>
      <c r="NE305"/>
      <c r="NF305"/>
      <c r="NG305"/>
      <c r="NH305"/>
      <c r="NI305"/>
      <c r="NJ305"/>
      <c r="NK305"/>
      <c r="NL305"/>
      <c r="NM305"/>
      <c r="NN305"/>
      <c r="NO305"/>
      <c r="NP305"/>
      <c r="NQ305"/>
      <c r="NR305"/>
      <c r="NS305"/>
      <c r="NT305"/>
      <c r="NU305"/>
      <c r="NV305"/>
      <c r="NW305"/>
      <c r="NX305"/>
      <c r="NY305"/>
      <c r="NZ305"/>
      <c r="OA305"/>
      <c r="OB305"/>
      <c r="OC305"/>
      <c r="OD305"/>
      <c r="OE305"/>
      <c r="OF305"/>
      <c r="OG305"/>
      <c r="OH305"/>
      <c r="OI305"/>
      <c r="OJ305"/>
      <c r="OK305"/>
      <c r="OL305"/>
      <c r="OM305"/>
      <c r="ON305"/>
      <c r="OO305"/>
      <c r="OP305"/>
      <c r="OQ305"/>
      <c r="OR305"/>
      <c r="OS305"/>
      <c r="OT305"/>
      <c r="OU305"/>
      <c r="OV305"/>
      <c r="OW305"/>
      <c r="OX305"/>
      <c r="OY305"/>
      <c r="OZ305"/>
      <c r="PA305"/>
      <c r="PB305"/>
      <c r="PC305"/>
      <c r="PD305"/>
      <c r="PE305"/>
      <c r="PF305"/>
      <c r="PG305"/>
      <c r="PH305"/>
      <c r="PI305"/>
      <c r="PJ305"/>
      <c r="PK305"/>
      <c r="PL305"/>
      <c r="PM305"/>
      <c r="PN305"/>
      <c r="PO305"/>
      <c r="PP305"/>
      <c r="PQ305"/>
      <c r="PR305"/>
      <c r="PS305"/>
      <c r="PT305"/>
      <c r="PU305"/>
      <c r="PV305"/>
      <c r="PW305"/>
      <c r="PX305"/>
      <c r="PY305"/>
      <c r="PZ305"/>
      <c r="QA305"/>
      <c r="QB305"/>
      <c r="QC305"/>
      <c r="QD305"/>
      <c r="QE305"/>
      <c r="QF305"/>
      <c r="QG305"/>
      <c r="QH305"/>
      <c r="QI305"/>
      <c r="QJ305"/>
      <c r="QK305"/>
      <c r="QL305"/>
      <c r="QM305"/>
      <c r="QN305"/>
      <c r="QO305"/>
      <c r="QP305"/>
      <c r="QQ305"/>
      <c r="QR305"/>
      <c r="QS305"/>
      <c r="QT305"/>
      <c r="QU305"/>
      <c r="QV305"/>
      <c r="QW305"/>
      <c r="QX305"/>
      <c r="QY305"/>
      <c r="QZ305"/>
      <c r="RA305"/>
      <c r="RB305"/>
      <c r="RC305"/>
      <c r="RD305"/>
      <c r="RE305"/>
      <c r="RF305"/>
      <c r="RG305"/>
      <c r="RH305"/>
      <c r="RI305"/>
      <c r="RJ305"/>
      <c r="RK305"/>
      <c r="RL305"/>
      <c r="RM305"/>
      <c r="RN305"/>
      <c r="RO305"/>
      <c r="RP305"/>
      <c r="RQ305"/>
      <c r="RR305"/>
      <c r="RS305"/>
      <c r="RT305"/>
      <c r="RU305"/>
      <c r="RV305"/>
      <c r="RW305"/>
      <c r="RX305"/>
      <c r="RY305"/>
      <c r="RZ305"/>
      <c r="SA305"/>
      <c r="SB305"/>
      <c r="SC305"/>
      <c r="SD305"/>
      <c r="SE305"/>
      <c r="SF305"/>
      <c r="SG305"/>
      <c r="SH305"/>
      <c r="SI305"/>
      <c r="SJ305"/>
      <c r="SK305"/>
      <c r="SL305"/>
      <c r="SM305"/>
      <c r="SN305"/>
      <c r="SO305"/>
      <c r="SP305"/>
      <c r="SQ305"/>
      <c r="SR305"/>
      <c r="SS305"/>
      <c r="ST305"/>
      <c r="SU305"/>
      <c r="SV305"/>
      <c r="SW305"/>
      <c r="SX305"/>
      <c r="SY305"/>
      <c r="SZ305"/>
      <c r="TA305"/>
      <c r="TB305"/>
      <c r="TC305"/>
      <c r="TD305"/>
      <c r="TE305"/>
      <c r="TF305"/>
      <c r="TG305"/>
      <c r="TH305"/>
    </row>
    <row r="306" spans="3:528" x14ac:dyDescent="0.25">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c r="KT306"/>
      <c r="KU306"/>
      <c r="KV306"/>
      <c r="KW306"/>
      <c r="KX306"/>
      <c r="KY306"/>
      <c r="KZ306"/>
      <c r="LA306"/>
      <c r="LB306"/>
      <c r="LC306"/>
      <c r="LD306"/>
      <c r="LE306"/>
      <c r="LF306"/>
      <c r="LG306"/>
      <c r="LH306"/>
      <c r="LI306"/>
      <c r="LJ306"/>
      <c r="LK306"/>
      <c r="LL306"/>
      <c r="LM306"/>
      <c r="LN306"/>
      <c r="LO306"/>
      <c r="LP306"/>
      <c r="LQ306"/>
      <c r="LR306"/>
      <c r="LS306"/>
      <c r="LT306"/>
      <c r="LU306"/>
      <c r="LV306"/>
      <c r="LW306"/>
      <c r="LX306"/>
      <c r="LY306"/>
      <c r="LZ306"/>
      <c r="MA306"/>
      <c r="MB306"/>
      <c r="MC306"/>
      <c r="MD306"/>
      <c r="ME306"/>
      <c r="MF306"/>
      <c r="MG306"/>
      <c r="MH306"/>
      <c r="MI306"/>
      <c r="MJ306"/>
      <c r="MK306"/>
      <c r="ML306"/>
      <c r="MM306"/>
      <c r="MN306"/>
      <c r="MO306"/>
      <c r="MP306"/>
      <c r="MQ306"/>
      <c r="MR306"/>
      <c r="MS306"/>
      <c r="MT306"/>
      <c r="MU306"/>
      <c r="MV306"/>
      <c r="MW306"/>
      <c r="MX306"/>
      <c r="MY306"/>
      <c r="MZ306"/>
      <c r="NA306"/>
      <c r="NB306"/>
      <c r="NC306"/>
      <c r="ND306"/>
      <c r="NE306"/>
      <c r="NF306"/>
      <c r="NG306"/>
      <c r="NH306"/>
      <c r="NI306"/>
      <c r="NJ306"/>
      <c r="NK306"/>
      <c r="NL306"/>
      <c r="NM306"/>
      <c r="NN306"/>
      <c r="NO306"/>
      <c r="NP306"/>
      <c r="NQ306"/>
      <c r="NR306"/>
      <c r="NS306"/>
      <c r="NT306"/>
      <c r="NU306"/>
      <c r="NV306"/>
      <c r="NW306"/>
      <c r="NX306"/>
      <c r="NY306"/>
      <c r="NZ306"/>
      <c r="OA306"/>
      <c r="OB306"/>
      <c r="OC306"/>
      <c r="OD306"/>
      <c r="OE306"/>
      <c r="OF306"/>
      <c r="OG306"/>
      <c r="OH306"/>
      <c r="OI306"/>
      <c r="OJ306"/>
      <c r="OK306"/>
      <c r="OL306"/>
      <c r="OM306"/>
      <c r="ON306"/>
      <c r="OO306"/>
      <c r="OP306"/>
      <c r="OQ306"/>
      <c r="OR306"/>
      <c r="OS306"/>
      <c r="OT306"/>
      <c r="OU306"/>
      <c r="OV306"/>
      <c r="OW306"/>
      <c r="OX306"/>
      <c r="OY306"/>
      <c r="OZ306"/>
      <c r="PA306"/>
      <c r="PB306"/>
      <c r="PC306"/>
      <c r="PD306"/>
      <c r="PE306"/>
      <c r="PF306"/>
      <c r="PG306"/>
      <c r="PH306"/>
      <c r="PI306"/>
      <c r="PJ306"/>
      <c r="PK306"/>
      <c r="PL306"/>
      <c r="PM306"/>
      <c r="PN306"/>
      <c r="PO306"/>
      <c r="PP306"/>
      <c r="PQ306"/>
      <c r="PR306"/>
      <c r="PS306"/>
      <c r="PT306"/>
      <c r="PU306"/>
      <c r="PV306"/>
      <c r="PW306"/>
      <c r="PX306"/>
      <c r="PY306"/>
      <c r="PZ306"/>
      <c r="QA306"/>
      <c r="QB306"/>
      <c r="QC306"/>
      <c r="QD306"/>
      <c r="QE306"/>
      <c r="QF306"/>
      <c r="QG306"/>
      <c r="QH306"/>
      <c r="QI306"/>
      <c r="QJ306"/>
      <c r="QK306"/>
      <c r="QL306"/>
      <c r="QM306"/>
      <c r="QN306"/>
      <c r="QO306"/>
      <c r="QP306"/>
      <c r="QQ306"/>
      <c r="QR306"/>
      <c r="QS306"/>
      <c r="QT306"/>
      <c r="QU306"/>
      <c r="QV306"/>
      <c r="QW306"/>
      <c r="QX306"/>
      <c r="QY306"/>
      <c r="QZ306"/>
      <c r="RA306"/>
      <c r="RB306"/>
      <c r="RC306"/>
      <c r="RD306"/>
      <c r="RE306"/>
      <c r="RF306"/>
      <c r="RG306"/>
      <c r="RH306"/>
      <c r="RI306"/>
      <c r="RJ306"/>
      <c r="RK306"/>
      <c r="RL306"/>
      <c r="RM306"/>
      <c r="RN306"/>
      <c r="RO306"/>
      <c r="RP306"/>
      <c r="RQ306"/>
      <c r="RR306"/>
      <c r="RS306"/>
      <c r="RT306"/>
      <c r="RU306"/>
      <c r="RV306"/>
      <c r="RW306"/>
      <c r="RX306"/>
      <c r="RY306"/>
      <c r="RZ306"/>
      <c r="SA306"/>
      <c r="SB306"/>
      <c r="SC306"/>
      <c r="SD306"/>
      <c r="SE306"/>
      <c r="SF306"/>
      <c r="SG306"/>
      <c r="SH306"/>
      <c r="SI306"/>
      <c r="SJ306"/>
      <c r="SK306"/>
      <c r="SL306"/>
      <c r="SM306"/>
      <c r="SN306"/>
      <c r="SO306"/>
      <c r="SP306"/>
      <c r="SQ306"/>
      <c r="SR306"/>
      <c r="SS306"/>
      <c r="ST306"/>
      <c r="SU306"/>
      <c r="SV306"/>
      <c r="SW306"/>
      <c r="SX306"/>
      <c r="SY306"/>
      <c r="SZ306"/>
      <c r="TA306"/>
      <c r="TB306"/>
      <c r="TC306"/>
      <c r="TD306"/>
      <c r="TE306"/>
      <c r="TF306"/>
      <c r="TG306"/>
      <c r="TH306"/>
    </row>
    <row r="307" spans="3:528" x14ac:dyDescent="0.25">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c r="KT307"/>
      <c r="KU307"/>
      <c r="KV307"/>
      <c r="KW307"/>
      <c r="KX307"/>
      <c r="KY307"/>
      <c r="KZ307"/>
      <c r="LA307"/>
      <c r="LB307"/>
      <c r="LC307"/>
      <c r="LD307"/>
      <c r="LE307"/>
      <c r="LF307"/>
      <c r="LG307"/>
      <c r="LH307"/>
      <c r="LI307"/>
      <c r="LJ307"/>
      <c r="LK307"/>
      <c r="LL307"/>
      <c r="LM307"/>
      <c r="LN307"/>
      <c r="LO307"/>
      <c r="LP307"/>
      <c r="LQ307"/>
      <c r="LR307"/>
      <c r="LS307"/>
      <c r="LT307"/>
      <c r="LU307"/>
      <c r="LV307"/>
      <c r="LW307"/>
      <c r="LX307"/>
      <c r="LY307"/>
      <c r="LZ307"/>
      <c r="MA307"/>
      <c r="MB307"/>
      <c r="MC307"/>
      <c r="MD307"/>
      <c r="ME307"/>
      <c r="MF307"/>
      <c r="MG307"/>
      <c r="MH307"/>
      <c r="MI307"/>
      <c r="MJ307"/>
      <c r="MK307"/>
      <c r="ML307"/>
      <c r="MM307"/>
      <c r="MN307"/>
      <c r="MO307"/>
      <c r="MP307"/>
      <c r="MQ307"/>
      <c r="MR307"/>
      <c r="MS307"/>
      <c r="MT307"/>
      <c r="MU307"/>
      <c r="MV307"/>
      <c r="MW307"/>
      <c r="MX307"/>
      <c r="MY307"/>
      <c r="MZ307"/>
      <c r="NA307"/>
      <c r="NB307"/>
      <c r="NC307"/>
      <c r="ND307"/>
      <c r="NE307"/>
      <c r="NF307"/>
      <c r="NG307"/>
      <c r="NH307"/>
      <c r="NI307"/>
      <c r="NJ307"/>
      <c r="NK307"/>
      <c r="NL307"/>
      <c r="NM307"/>
      <c r="NN307"/>
      <c r="NO307"/>
      <c r="NP307"/>
      <c r="NQ307"/>
      <c r="NR307"/>
      <c r="NS307"/>
      <c r="NT307"/>
      <c r="NU307"/>
      <c r="NV307"/>
      <c r="NW307"/>
      <c r="NX307"/>
      <c r="NY307"/>
      <c r="NZ307"/>
      <c r="OA307"/>
      <c r="OB307"/>
      <c r="OC307"/>
      <c r="OD307"/>
      <c r="OE307"/>
      <c r="OF307"/>
      <c r="OG307"/>
      <c r="OH307"/>
      <c r="OI307"/>
      <c r="OJ307"/>
      <c r="OK307"/>
      <c r="OL307"/>
      <c r="OM307"/>
      <c r="ON307"/>
      <c r="OO307"/>
      <c r="OP307"/>
      <c r="OQ307"/>
      <c r="OR307"/>
      <c r="OS307"/>
      <c r="OT307"/>
      <c r="OU307"/>
      <c r="OV307"/>
      <c r="OW307"/>
      <c r="OX307"/>
      <c r="OY307"/>
      <c r="OZ307"/>
      <c r="PA307"/>
      <c r="PB307"/>
      <c r="PC307"/>
      <c r="PD307"/>
      <c r="PE307"/>
      <c r="PF307"/>
      <c r="PG307"/>
      <c r="PH307"/>
      <c r="PI307"/>
      <c r="PJ307"/>
      <c r="PK307"/>
      <c r="PL307"/>
      <c r="PM307"/>
      <c r="PN307"/>
      <c r="PO307"/>
      <c r="PP307"/>
      <c r="PQ307"/>
      <c r="PR307"/>
      <c r="PS307"/>
      <c r="PT307"/>
      <c r="PU307"/>
      <c r="PV307"/>
      <c r="PW307"/>
      <c r="PX307"/>
      <c r="PY307"/>
      <c r="PZ307"/>
      <c r="QA307"/>
      <c r="QB307"/>
      <c r="QC307"/>
      <c r="QD307"/>
      <c r="QE307"/>
      <c r="QF307"/>
      <c r="QG307"/>
      <c r="QH307"/>
      <c r="QI307"/>
      <c r="QJ307"/>
      <c r="QK307"/>
      <c r="QL307"/>
      <c r="QM307"/>
      <c r="QN307"/>
      <c r="QO307"/>
      <c r="QP307"/>
      <c r="QQ307"/>
      <c r="QR307"/>
      <c r="QS307"/>
      <c r="QT307"/>
      <c r="QU307"/>
      <c r="QV307"/>
      <c r="QW307"/>
      <c r="QX307"/>
      <c r="QY307"/>
      <c r="QZ307"/>
      <c r="RA307"/>
      <c r="RB307"/>
      <c r="RC307"/>
      <c r="RD307"/>
      <c r="RE307"/>
      <c r="RF307"/>
      <c r="RG307"/>
      <c r="RH307"/>
      <c r="RI307"/>
      <c r="RJ307"/>
      <c r="RK307"/>
      <c r="RL307"/>
      <c r="RM307"/>
      <c r="RN307"/>
      <c r="RO307"/>
      <c r="RP307"/>
      <c r="RQ307"/>
      <c r="RR307"/>
      <c r="RS307"/>
      <c r="RT307"/>
      <c r="RU307"/>
      <c r="RV307"/>
      <c r="RW307"/>
      <c r="RX307"/>
      <c r="RY307"/>
      <c r="RZ307"/>
      <c r="SA307"/>
      <c r="SB307"/>
      <c r="SC307"/>
      <c r="SD307"/>
      <c r="SE307"/>
      <c r="SF307"/>
      <c r="SG307"/>
      <c r="SH307"/>
      <c r="SI307"/>
      <c r="SJ307"/>
      <c r="SK307"/>
      <c r="SL307"/>
      <c r="SM307"/>
      <c r="SN307"/>
      <c r="SO307"/>
      <c r="SP307"/>
      <c r="SQ307"/>
      <c r="SR307"/>
      <c r="SS307"/>
      <c r="ST307"/>
      <c r="SU307"/>
      <c r="SV307"/>
      <c r="SW307"/>
      <c r="SX307"/>
      <c r="SY307"/>
      <c r="SZ307"/>
      <c r="TA307"/>
      <c r="TB307"/>
      <c r="TC307"/>
      <c r="TD307"/>
      <c r="TE307"/>
      <c r="TF307"/>
      <c r="TG307"/>
      <c r="TH307"/>
    </row>
    <row r="308" spans="3:528" x14ac:dyDescent="0.25">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c r="KT308"/>
      <c r="KU308"/>
      <c r="KV308"/>
      <c r="KW308"/>
      <c r="KX308"/>
      <c r="KY308"/>
      <c r="KZ308"/>
      <c r="LA308"/>
      <c r="LB308"/>
      <c r="LC308"/>
      <c r="LD308"/>
      <c r="LE308"/>
      <c r="LF308"/>
      <c r="LG308"/>
      <c r="LH308"/>
      <c r="LI308"/>
      <c r="LJ308"/>
      <c r="LK308"/>
      <c r="LL308"/>
      <c r="LM308"/>
      <c r="LN308"/>
      <c r="LO308"/>
      <c r="LP308"/>
      <c r="LQ308"/>
      <c r="LR308"/>
      <c r="LS308"/>
      <c r="LT308"/>
      <c r="LU308"/>
      <c r="LV308"/>
      <c r="LW308"/>
      <c r="LX308"/>
      <c r="LY308"/>
      <c r="LZ308"/>
      <c r="MA308"/>
      <c r="MB308"/>
      <c r="MC308"/>
      <c r="MD308"/>
      <c r="ME308"/>
      <c r="MF308"/>
      <c r="MG308"/>
      <c r="MH308"/>
      <c r="MI308"/>
      <c r="MJ308"/>
      <c r="MK308"/>
      <c r="ML308"/>
      <c r="MM308"/>
      <c r="MN308"/>
      <c r="MO308"/>
      <c r="MP308"/>
      <c r="MQ308"/>
      <c r="MR308"/>
      <c r="MS308"/>
      <c r="MT308"/>
      <c r="MU308"/>
      <c r="MV308"/>
      <c r="MW308"/>
      <c r="MX308"/>
      <c r="MY308"/>
      <c r="MZ308"/>
      <c r="NA308"/>
      <c r="NB308"/>
      <c r="NC308"/>
      <c r="ND308"/>
      <c r="NE308"/>
      <c r="NF308"/>
      <c r="NG308"/>
      <c r="NH308"/>
      <c r="NI308"/>
      <c r="NJ308"/>
      <c r="NK308"/>
      <c r="NL308"/>
      <c r="NM308"/>
      <c r="NN308"/>
      <c r="NO308"/>
      <c r="NP308"/>
      <c r="NQ308"/>
      <c r="NR308"/>
      <c r="NS308"/>
      <c r="NT308"/>
      <c r="NU308"/>
      <c r="NV308"/>
      <c r="NW308"/>
      <c r="NX308"/>
      <c r="NY308"/>
      <c r="NZ308"/>
      <c r="OA308"/>
      <c r="OB308"/>
      <c r="OC308"/>
      <c r="OD308"/>
      <c r="OE308"/>
      <c r="OF308"/>
      <c r="OG308"/>
      <c r="OH308"/>
      <c r="OI308"/>
      <c r="OJ308"/>
      <c r="OK308"/>
      <c r="OL308"/>
      <c r="OM308"/>
      <c r="ON308"/>
      <c r="OO308"/>
      <c r="OP308"/>
      <c r="OQ308"/>
      <c r="OR308"/>
      <c r="OS308"/>
      <c r="OT308"/>
      <c r="OU308"/>
      <c r="OV308"/>
      <c r="OW308"/>
      <c r="OX308"/>
      <c r="OY308"/>
      <c r="OZ308"/>
      <c r="PA308"/>
      <c r="PB308"/>
      <c r="PC308"/>
      <c r="PD308"/>
      <c r="PE308"/>
      <c r="PF308"/>
      <c r="PG308"/>
      <c r="PH308"/>
      <c r="PI308"/>
      <c r="PJ308"/>
      <c r="PK308"/>
      <c r="PL308"/>
      <c r="PM308"/>
      <c r="PN308"/>
      <c r="PO308"/>
      <c r="PP308"/>
      <c r="PQ308"/>
      <c r="PR308"/>
      <c r="PS308"/>
      <c r="PT308"/>
      <c r="PU308"/>
      <c r="PV308"/>
      <c r="PW308"/>
      <c r="PX308"/>
      <c r="PY308"/>
      <c r="PZ308"/>
      <c r="QA308"/>
      <c r="QB308"/>
      <c r="QC308"/>
      <c r="QD308"/>
      <c r="QE308"/>
      <c r="QF308"/>
      <c r="QG308"/>
      <c r="QH308"/>
      <c r="QI308"/>
      <c r="QJ308"/>
      <c r="QK308"/>
      <c r="QL308"/>
      <c r="QM308"/>
      <c r="QN308"/>
      <c r="QO308"/>
      <c r="QP308"/>
      <c r="QQ308"/>
      <c r="QR308"/>
      <c r="QS308"/>
      <c r="QT308"/>
      <c r="QU308"/>
      <c r="QV308"/>
      <c r="QW308"/>
      <c r="QX308"/>
      <c r="QY308"/>
      <c r="QZ308"/>
      <c r="RA308"/>
      <c r="RB308"/>
      <c r="RC308"/>
      <c r="RD308"/>
      <c r="RE308"/>
      <c r="RF308"/>
      <c r="RG308"/>
      <c r="RH308"/>
      <c r="RI308"/>
      <c r="RJ308"/>
      <c r="RK308"/>
      <c r="RL308"/>
      <c r="RM308"/>
      <c r="RN308"/>
      <c r="RO308"/>
      <c r="RP308"/>
      <c r="RQ308"/>
      <c r="RR308"/>
      <c r="RS308"/>
      <c r="RT308"/>
      <c r="RU308"/>
      <c r="RV308"/>
      <c r="RW308"/>
      <c r="RX308"/>
      <c r="RY308"/>
      <c r="RZ308"/>
      <c r="SA308"/>
      <c r="SB308"/>
      <c r="SC308"/>
      <c r="SD308"/>
      <c r="SE308"/>
      <c r="SF308"/>
      <c r="SG308"/>
      <c r="SH308"/>
      <c r="SI308"/>
      <c r="SJ308"/>
      <c r="SK308"/>
      <c r="SL308"/>
      <c r="SM308"/>
      <c r="SN308"/>
      <c r="SO308"/>
      <c r="SP308"/>
      <c r="SQ308"/>
      <c r="SR308"/>
      <c r="SS308"/>
      <c r="ST308"/>
      <c r="SU308"/>
      <c r="SV308"/>
      <c r="SW308"/>
      <c r="SX308"/>
      <c r="SY308"/>
      <c r="SZ308"/>
      <c r="TA308"/>
      <c r="TB308"/>
      <c r="TC308"/>
      <c r="TD308"/>
      <c r="TE308"/>
      <c r="TF308"/>
      <c r="TG308"/>
      <c r="TH308"/>
    </row>
    <row r="309" spans="3:528" x14ac:dyDescent="0.25">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c r="LZ309"/>
      <c r="MA309"/>
      <c r="MB309"/>
      <c r="MC309"/>
      <c r="MD309"/>
      <c r="ME309"/>
      <c r="MF309"/>
      <c r="MG309"/>
      <c r="MH309"/>
      <c r="MI309"/>
      <c r="MJ309"/>
      <c r="MK309"/>
      <c r="ML309"/>
      <c r="MM309"/>
      <c r="MN309"/>
      <c r="MO309"/>
      <c r="MP309"/>
      <c r="MQ309"/>
      <c r="MR309"/>
      <c r="MS309"/>
      <c r="MT309"/>
      <c r="MU309"/>
      <c r="MV309"/>
      <c r="MW309"/>
      <c r="MX309"/>
      <c r="MY309"/>
      <c r="MZ309"/>
      <c r="NA309"/>
      <c r="NB309"/>
      <c r="NC309"/>
      <c r="ND309"/>
      <c r="NE309"/>
      <c r="NF309"/>
      <c r="NG309"/>
      <c r="NH309"/>
      <c r="NI309"/>
      <c r="NJ309"/>
      <c r="NK309"/>
      <c r="NL309"/>
      <c r="NM309"/>
      <c r="NN309"/>
      <c r="NO309"/>
      <c r="NP309"/>
      <c r="NQ309"/>
      <c r="NR309"/>
      <c r="NS309"/>
      <c r="NT309"/>
      <c r="NU309"/>
      <c r="NV309"/>
      <c r="NW309"/>
      <c r="NX309"/>
      <c r="NY309"/>
      <c r="NZ309"/>
      <c r="OA309"/>
      <c r="OB309"/>
      <c r="OC309"/>
      <c r="OD309"/>
      <c r="OE309"/>
      <c r="OF309"/>
      <c r="OG309"/>
      <c r="OH309"/>
      <c r="OI309"/>
      <c r="OJ309"/>
      <c r="OK309"/>
      <c r="OL309"/>
      <c r="OM309"/>
      <c r="ON309"/>
      <c r="OO309"/>
      <c r="OP309"/>
      <c r="OQ309"/>
      <c r="OR309"/>
      <c r="OS309"/>
      <c r="OT309"/>
      <c r="OU309"/>
      <c r="OV309"/>
      <c r="OW309"/>
      <c r="OX309"/>
      <c r="OY309"/>
      <c r="OZ309"/>
      <c r="PA309"/>
      <c r="PB309"/>
      <c r="PC309"/>
      <c r="PD309"/>
      <c r="PE309"/>
      <c r="PF309"/>
      <c r="PG309"/>
      <c r="PH309"/>
      <c r="PI309"/>
      <c r="PJ309"/>
      <c r="PK309"/>
      <c r="PL309"/>
      <c r="PM309"/>
      <c r="PN309"/>
      <c r="PO309"/>
      <c r="PP309"/>
      <c r="PQ309"/>
      <c r="PR309"/>
      <c r="PS309"/>
      <c r="PT309"/>
      <c r="PU309"/>
      <c r="PV309"/>
      <c r="PW309"/>
      <c r="PX309"/>
      <c r="PY309"/>
      <c r="PZ309"/>
      <c r="QA309"/>
      <c r="QB309"/>
      <c r="QC309"/>
      <c r="QD309"/>
      <c r="QE309"/>
      <c r="QF309"/>
      <c r="QG309"/>
      <c r="QH309"/>
      <c r="QI309"/>
      <c r="QJ309"/>
      <c r="QK309"/>
      <c r="QL309"/>
      <c r="QM309"/>
      <c r="QN309"/>
      <c r="QO309"/>
      <c r="QP309"/>
      <c r="QQ309"/>
      <c r="QR309"/>
      <c r="QS309"/>
      <c r="QT309"/>
      <c r="QU309"/>
      <c r="QV309"/>
      <c r="QW309"/>
      <c r="QX309"/>
      <c r="QY309"/>
      <c r="QZ309"/>
      <c r="RA309"/>
      <c r="RB309"/>
      <c r="RC309"/>
      <c r="RD309"/>
      <c r="RE309"/>
      <c r="RF309"/>
      <c r="RG309"/>
      <c r="RH309"/>
      <c r="RI309"/>
      <c r="RJ309"/>
      <c r="RK309"/>
      <c r="RL309"/>
      <c r="RM309"/>
      <c r="RN309"/>
      <c r="RO309"/>
      <c r="RP309"/>
      <c r="RQ309"/>
      <c r="RR309"/>
      <c r="RS309"/>
      <c r="RT309"/>
      <c r="RU309"/>
      <c r="RV309"/>
      <c r="RW309"/>
      <c r="RX309"/>
      <c r="RY309"/>
      <c r="RZ309"/>
      <c r="SA309"/>
      <c r="SB309"/>
      <c r="SC309"/>
      <c r="SD309"/>
      <c r="SE309"/>
      <c r="SF309"/>
      <c r="SG309"/>
      <c r="SH309"/>
      <c r="SI309"/>
      <c r="SJ309"/>
      <c r="SK309"/>
      <c r="SL309"/>
      <c r="SM309"/>
      <c r="SN309"/>
      <c r="SO309"/>
      <c r="SP309"/>
      <c r="SQ309"/>
      <c r="SR309"/>
      <c r="SS309"/>
      <c r="ST309"/>
      <c r="SU309"/>
      <c r="SV309"/>
      <c r="SW309"/>
      <c r="SX309"/>
      <c r="SY309"/>
      <c r="SZ309"/>
      <c r="TA309"/>
      <c r="TB309"/>
      <c r="TC309"/>
      <c r="TD309"/>
      <c r="TE309"/>
      <c r="TF309"/>
      <c r="TG309"/>
      <c r="TH309"/>
    </row>
    <row r="310" spans="3:528" x14ac:dyDescent="0.25">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c r="KT310"/>
      <c r="KU310"/>
      <c r="KV310"/>
      <c r="KW310"/>
      <c r="KX310"/>
      <c r="KY310"/>
      <c r="KZ310"/>
      <c r="LA310"/>
      <c r="LB310"/>
      <c r="LC310"/>
      <c r="LD310"/>
      <c r="LE310"/>
      <c r="LF310"/>
      <c r="LG310"/>
      <c r="LH310"/>
      <c r="LI310"/>
      <c r="LJ310"/>
      <c r="LK310"/>
      <c r="LL310"/>
      <c r="LM310"/>
      <c r="LN310"/>
      <c r="LO310"/>
      <c r="LP310"/>
      <c r="LQ310"/>
      <c r="LR310"/>
      <c r="LS310"/>
      <c r="LT310"/>
      <c r="LU310"/>
      <c r="LV310"/>
      <c r="LW310"/>
      <c r="LX310"/>
      <c r="LY310"/>
      <c r="LZ310"/>
      <c r="MA310"/>
      <c r="MB310"/>
      <c r="MC310"/>
      <c r="MD310"/>
      <c r="ME310"/>
      <c r="MF310"/>
      <c r="MG310"/>
      <c r="MH310"/>
      <c r="MI310"/>
      <c r="MJ310"/>
      <c r="MK310"/>
      <c r="ML310"/>
      <c r="MM310"/>
      <c r="MN310"/>
      <c r="MO310"/>
      <c r="MP310"/>
      <c r="MQ310"/>
      <c r="MR310"/>
      <c r="MS310"/>
      <c r="MT310"/>
      <c r="MU310"/>
      <c r="MV310"/>
      <c r="MW310"/>
      <c r="MX310"/>
      <c r="MY310"/>
      <c r="MZ310"/>
      <c r="NA310"/>
      <c r="NB310"/>
      <c r="NC310"/>
      <c r="ND310"/>
      <c r="NE310"/>
      <c r="NF310"/>
      <c r="NG310"/>
      <c r="NH310"/>
      <c r="NI310"/>
      <c r="NJ310"/>
      <c r="NK310"/>
      <c r="NL310"/>
      <c r="NM310"/>
      <c r="NN310"/>
      <c r="NO310"/>
      <c r="NP310"/>
      <c r="NQ310"/>
      <c r="NR310"/>
      <c r="NS310"/>
      <c r="NT310"/>
      <c r="NU310"/>
      <c r="NV310"/>
      <c r="NW310"/>
      <c r="NX310"/>
      <c r="NY310"/>
      <c r="NZ310"/>
      <c r="OA310"/>
      <c r="OB310"/>
      <c r="OC310"/>
      <c r="OD310"/>
      <c r="OE310"/>
      <c r="OF310"/>
      <c r="OG310"/>
      <c r="OH310"/>
      <c r="OI310"/>
      <c r="OJ310"/>
      <c r="OK310"/>
      <c r="OL310"/>
      <c r="OM310"/>
      <c r="ON310"/>
      <c r="OO310"/>
      <c r="OP310"/>
      <c r="OQ310"/>
      <c r="OR310"/>
      <c r="OS310"/>
      <c r="OT310"/>
      <c r="OU310"/>
      <c r="OV310"/>
      <c r="OW310"/>
      <c r="OX310"/>
      <c r="OY310"/>
      <c r="OZ310"/>
      <c r="PA310"/>
      <c r="PB310"/>
      <c r="PC310"/>
      <c r="PD310"/>
      <c r="PE310"/>
      <c r="PF310"/>
      <c r="PG310"/>
      <c r="PH310"/>
      <c r="PI310"/>
      <c r="PJ310"/>
      <c r="PK310"/>
      <c r="PL310"/>
      <c r="PM310"/>
      <c r="PN310"/>
      <c r="PO310"/>
      <c r="PP310"/>
      <c r="PQ310"/>
      <c r="PR310"/>
      <c r="PS310"/>
      <c r="PT310"/>
      <c r="PU310"/>
      <c r="PV310"/>
      <c r="PW310"/>
      <c r="PX310"/>
      <c r="PY310"/>
      <c r="PZ310"/>
      <c r="QA310"/>
      <c r="QB310"/>
      <c r="QC310"/>
      <c r="QD310"/>
      <c r="QE310"/>
      <c r="QF310"/>
      <c r="QG310"/>
      <c r="QH310"/>
      <c r="QI310"/>
      <c r="QJ310"/>
      <c r="QK310"/>
      <c r="QL310"/>
      <c r="QM310"/>
      <c r="QN310"/>
      <c r="QO310"/>
      <c r="QP310"/>
      <c r="QQ310"/>
      <c r="QR310"/>
      <c r="QS310"/>
      <c r="QT310"/>
      <c r="QU310"/>
      <c r="QV310"/>
      <c r="QW310"/>
      <c r="QX310"/>
      <c r="QY310"/>
      <c r="QZ310"/>
      <c r="RA310"/>
      <c r="RB310"/>
      <c r="RC310"/>
      <c r="RD310"/>
      <c r="RE310"/>
      <c r="RF310"/>
      <c r="RG310"/>
      <c r="RH310"/>
      <c r="RI310"/>
      <c r="RJ310"/>
      <c r="RK310"/>
      <c r="RL310"/>
      <c r="RM310"/>
      <c r="RN310"/>
      <c r="RO310"/>
      <c r="RP310"/>
      <c r="RQ310"/>
      <c r="RR310"/>
      <c r="RS310"/>
      <c r="RT310"/>
      <c r="RU310"/>
      <c r="RV310"/>
      <c r="RW310"/>
      <c r="RX310"/>
      <c r="RY310"/>
      <c r="RZ310"/>
      <c r="SA310"/>
      <c r="SB310"/>
      <c r="SC310"/>
      <c r="SD310"/>
      <c r="SE310"/>
      <c r="SF310"/>
      <c r="SG310"/>
      <c r="SH310"/>
      <c r="SI310"/>
      <c r="SJ310"/>
      <c r="SK310"/>
      <c r="SL310"/>
      <c r="SM310"/>
      <c r="SN310"/>
      <c r="SO310"/>
      <c r="SP310"/>
      <c r="SQ310"/>
      <c r="SR310"/>
      <c r="SS310"/>
      <c r="ST310"/>
      <c r="SU310"/>
      <c r="SV310"/>
      <c r="SW310"/>
      <c r="SX310"/>
      <c r="SY310"/>
      <c r="SZ310"/>
      <c r="TA310"/>
      <c r="TB310"/>
      <c r="TC310"/>
      <c r="TD310"/>
      <c r="TE310"/>
      <c r="TF310"/>
      <c r="TG310"/>
      <c r="TH310"/>
    </row>
    <row r="311" spans="3:528" x14ac:dyDescent="0.25">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c r="KT311"/>
      <c r="KU311"/>
      <c r="KV311"/>
      <c r="KW311"/>
      <c r="KX311"/>
      <c r="KY311"/>
      <c r="KZ311"/>
      <c r="LA311"/>
      <c r="LB311"/>
      <c r="LC311"/>
      <c r="LD311"/>
      <c r="LE311"/>
      <c r="LF311"/>
      <c r="LG311"/>
      <c r="LH311"/>
      <c r="LI311"/>
      <c r="LJ311"/>
      <c r="LK311"/>
      <c r="LL311"/>
      <c r="LM311"/>
      <c r="LN311"/>
      <c r="LO311"/>
      <c r="LP311"/>
      <c r="LQ311"/>
      <c r="LR311"/>
      <c r="LS311"/>
      <c r="LT311"/>
      <c r="LU311"/>
      <c r="LV311"/>
      <c r="LW311"/>
      <c r="LX311"/>
      <c r="LY311"/>
      <c r="LZ311"/>
      <c r="MA311"/>
      <c r="MB311"/>
      <c r="MC311"/>
      <c r="MD311"/>
      <c r="ME311"/>
      <c r="MF311"/>
      <c r="MG311"/>
      <c r="MH311"/>
      <c r="MI311"/>
      <c r="MJ311"/>
      <c r="MK311"/>
      <c r="ML311"/>
      <c r="MM311"/>
      <c r="MN311"/>
      <c r="MO311"/>
      <c r="MP311"/>
      <c r="MQ311"/>
      <c r="MR311"/>
      <c r="MS311"/>
      <c r="MT311"/>
      <c r="MU311"/>
      <c r="MV311"/>
      <c r="MW311"/>
      <c r="MX311"/>
      <c r="MY311"/>
      <c r="MZ311"/>
      <c r="NA311"/>
      <c r="NB311"/>
      <c r="NC311"/>
      <c r="ND311"/>
      <c r="NE311"/>
      <c r="NF311"/>
      <c r="NG311"/>
      <c r="NH311"/>
      <c r="NI311"/>
      <c r="NJ311"/>
      <c r="NK311"/>
      <c r="NL311"/>
      <c r="NM311"/>
      <c r="NN311"/>
      <c r="NO311"/>
      <c r="NP311"/>
      <c r="NQ311"/>
      <c r="NR311"/>
      <c r="NS311"/>
      <c r="NT311"/>
      <c r="NU311"/>
      <c r="NV311"/>
      <c r="NW311"/>
      <c r="NX311"/>
      <c r="NY311"/>
      <c r="NZ311"/>
      <c r="OA311"/>
      <c r="OB311"/>
      <c r="OC311"/>
      <c r="OD311"/>
      <c r="OE311"/>
      <c r="OF311"/>
      <c r="OG311"/>
      <c r="OH311"/>
      <c r="OI311"/>
      <c r="OJ311"/>
      <c r="OK311"/>
      <c r="OL311"/>
      <c r="OM311"/>
      <c r="ON311"/>
      <c r="OO311"/>
      <c r="OP311"/>
      <c r="OQ311"/>
      <c r="OR311"/>
      <c r="OS311"/>
      <c r="OT311"/>
      <c r="OU311"/>
      <c r="OV311"/>
      <c r="OW311"/>
      <c r="OX311"/>
      <c r="OY311"/>
      <c r="OZ311"/>
      <c r="PA311"/>
      <c r="PB311"/>
      <c r="PC311"/>
      <c r="PD311"/>
      <c r="PE311"/>
      <c r="PF311"/>
      <c r="PG311"/>
      <c r="PH311"/>
      <c r="PI311"/>
      <c r="PJ311"/>
      <c r="PK311"/>
      <c r="PL311"/>
      <c r="PM311"/>
      <c r="PN311"/>
      <c r="PO311"/>
      <c r="PP311"/>
      <c r="PQ311"/>
      <c r="PR311"/>
      <c r="PS311"/>
      <c r="PT311"/>
      <c r="PU311"/>
      <c r="PV311"/>
      <c r="PW311"/>
      <c r="PX311"/>
      <c r="PY311"/>
      <c r="PZ311"/>
      <c r="QA311"/>
      <c r="QB311"/>
      <c r="QC311"/>
      <c r="QD311"/>
      <c r="QE311"/>
      <c r="QF311"/>
      <c r="QG311"/>
      <c r="QH311"/>
      <c r="QI311"/>
      <c r="QJ311"/>
      <c r="QK311"/>
      <c r="QL311"/>
      <c r="QM311"/>
      <c r="QN311"/>
      <c r="QO311"/>
      <c r="QP311"/>
      <c r="QQ311"/>
      <c r="QR311"/>
      <c r="QS311"/>
      <c r="QT311"/>
      <c r="QU311"/>
      <c r="QV311"/>
      <c r="QW311"/>
      <c r="QX311"/>
      <c r="QY311"/>
      <c r="QZ311"/>
      <c r="RA311"/>
      <c r="RB311"/>
      <c r="RC311"/>
      <c r="RD311"/>
      <c r="RE311"/>
      <c r="RF311"/>
      <c r="RG311"/>
      <c r="RH311"/>
      <c r="RI311"/>
      <c r="RJ311"/>
      <c r="RK311"/>
      <c r="RL311"/>
      <c r="RM311"/>
      <c r="RN311"/>
      <c r="RO311"/>
      <c r="RP311"/>
      <c r="RQ311"/>
      <c r="RR311"/>
      <c r="RS311"/>
      <c r="RT311"/>
      <c r="RU311"/>
      <c r="RV311"/>
      <c r="RW311"/>
      <c r="RX311"/>
      <c r="RY311"/>
      <c r="RZ311"/>
      <c r="SA311"/>
      <c r="SB311"/>
      <c r="SC311"/>
      <c r="SD311"/>
      <c r="SE311"/>
      <c r="SF311"/>
      <c r="SG311"/>
      <c r="SH311"/>
      <c r="SI311"/>
      <c r="SJ311"/>
      <c r="SK311"/>
      <c r="SL311"/>
      <c r="SM311"/>
      <c r="SN311"/>
      <c r="SO311"/>
      <c r="SP311"/>
      <c r="SQ311"/>
      <c r="SR311"/>
      <c r="SS311"/>
      <c r="ST311"/>
      <c r="SU311"/>
      <c r="SV311"/>
      <c r="SW311"/>
      <c r="SX311"/>
      <c r="SY311"/>
      <c r="SZ311"/>
      <c r="TA311"/>
      <c r="TB311"/>
      <c r="TC311"/>
      <c r="TD311"/>
      <c r="TE311"/>
      <c r="TF311"/>
      <c r="TG311"/>
      <c r="TH311"/>
    </row>
    <row r="312" spans="3:528" x14ac:dyDescent="0.25">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c r="KT312"/>
      <c r="KU312"/>
      <c r="KV312"/>
      <c r="KW312"/>
      <c r="KX312"/>
      <c r="KY312"/>
      <c r="KZ312"/>
      <c r="LA312"/>
      <c r="LB312"/>
      <c r="LC312"/>
      <c r="LD312"/>
      <c r="LE312"/>
      <c r="LF312"/>
      <c r="LG312"/>
      <c r="LH312"/>
      <c r="LI312"/>
      <c r="LJ312"/>
      <c r="LK312"/>
      <c r="LL312"/>
      <c r="LM312"/>
      <c r="LN312"/>
      <c r="LO312"/>
      <c r="LP312"/>
      <c r="LQ312"/>
      <c r="LR312"/>
      <c r="LS312"/>
      <c r="LT312"/>
      <c r="LU312"/>
      <c r="LV312"/>
      <c r="LW312"/>
      <c r="LX312"/>
      <c r="LY312"/>
      <c r="LZ312"/>
      <c r="MA312"/>
      <c r="MB312"/>
      <c r="MC312"/>
      <c r="MD312"/>
      <c r="ME312"/>
      <c r="MF312"/>
      <c r="MG312"/>
      <c r="MH312"/>
      <c r="MI312"/>
      <c r="MJ312"/>
      <c r="MK312"/>
      <c r="ML312"/>
      <c r="MM312"/>
      <c r="MN312"/>
      <c r="MO312"/>
      <c r="MP312"/>
      <c r="MQ312"/>
      <c r="MR312"/>
      <c r="MS312"/>
      <c r="MT312"/>
      <c r="MU312"/>
      <c r="MV312"/>
      <c r="MW312"/>
      <c r="MX312"/>
      <c r="MY312"/>
      <c r="MZ312"/>
      <c r="NA312"/>
      <c r="NB312"/>
      <c r="NC312"/>
      <c r="ND312"/>
      <c r="NE312"/>
      <c r="NF312"/>
      <c r="NG312"/>
      <c r="NH312"/>
      <c r="NI312"/>
      <c r="NJ312"/>
      <c r="NK312"/>
      <c r="NL312"/>
      <c r="NM312"/>
      <c r="NN312"/>
      <c r="NO312"/>
      <c r="NP312"/>
      <c r="NQ312"/>
      <c r="NR312"/>
      <c r="NS312"/>
      <c r="NT312"/>
      <c r="NU312"/>
      <c r="NV312"/>
      <c r="NW312"/>
      <c r="NX312"/>
      <c r="NY312"/>
      <c r="NZ312"/>
      <c r="OA312"/>
      <c r="OB312"/>
      <c r="OC312"/>
      <c r="OD312"/>
      <c r="OE312"/>
      <c r="OF312"/>
      <c r="OG312"/>
      <c r="OH312"/>
      <c r="OI312"/>
      <c r="OJ312"/>
      <c r="OK312"/>
      <c r="OL312"/>
      <c r="OM312"/>
      <c r="ON312"/>
      <c r="OO312"/>
      <c r="OP312"/>
      <c r="OQ312"/>
      <c r="OR312"/>
      <c r="OS312"/>
      <c r="OT312"/>
      <c r="OU312"/>
      <c r="OV312"/>
      <c r="OW312"/>
      <c r="OX312"/>
      <c r="OY312"/>
      <c r="OZ312"/>
      <c r="PA312"/>
      <c r="PB312"/>
      <c r="PC312"/>
      <c r="PD312"/>
      <c r="PE312"/>
      <c r="PF312"/>
      <c r="PG312"/>
      <c r="PH312"/>
      <c r="PI312"/>
      <c r="PJ312"/>
      <c r="PK312"/>
      <c r="PL312"/>
      <c r="PM312"/>
      <c r="PN312"/>
      <c r="PO312"/>
      <c r="PP312"/>
      <c r="PQ312"/>
      <c r="PR312"/>
      <c r="PS312"/>
      <c r="PT312"/>
      <c r="PU312"/>
      <c r="PV312"/>
      <c r="PW312"/>
      <c r="PX312"/>
      <c r="PY312"/>
      <c r="PZ312"/>
      <c r="QA312"/>
      <c r="QB312"/>
      <c r="QC312"/>
      <c r="QD312"/>
      <c r="QE312"/>
      <c r="QF312"/>
      <c r="QG312"/>
      <c r="QH312"/>
      <c r="QI312"/>
      <c r="QJ312"/>
      <c r="QK312"/>
      <c r="QL312"/>
      <c r="QM312"/>
      <c r="QN312"/>
      <c r="QO312"/>
      <c r="QP312"/>
      <c r="QQ312"/>
      <c r="QR312"/>
      <c r="QS312"/>
      <c r="QT312"/>
      <c r="QU312"/>
      <c r="QV312"/>
      <c r="QW312"/>
      <c r="QX312"/>
      <c r="QY312"/>
      <c r="QZ312"/>
      <c r="RA312"/>
      <c r="RB312"/>
      <c r="RC312"/>
      <c r="RD312"/>
      <c r="RE312"/>
      <c r="RF312"/>
      <c r="RG312"/>
      <c r="RH312"/>
      <c r="RI312"/>
      <c r="RJ312"/>
      <c r="RK312"/>
      <c r="RL312"/>
      <c r="RM312"/>
      <c r="RN312"/>
      <c r="RO312"/>
      <c r="RP312"/>
      <c r="RQ312"/>
      <c r="RR312"/>
      <c r="RS312"/>
      <c r="RT312"/>
      <c r="RU312"/>
      <c r="RV312"/>
      <c r="RW312"/>
      <c r="RX312"/>
      <c r="RY312"/>
      <c r="RZ312"/>
      <c r="SA312"/>
      <c r="SB312"/>
      <c r="SC312"/>
      <c r="SD312"/>
      <c r="SE312"/>
      <c r="SF312"/>
      <c r="SG312"/>
      <c r="SH312"/>
      <c r="SI312"/>
      <c r="SJ312"/>
      <c r="SK312"/>
      <c r="SL312"/>
      <c r="SM312"/>
      <c r="SN312"/>
      <c r="SO312"/>
      <c r="SP312"/>
      <c r="SQ312"/>
      <c r="SR312"/>
      <c r="SS312"/>
      <c r="ST312"/>
      <c r="SU312"/>
      <c r="SV312"/>
      <c r="SW312"/>
      <c r="SX312"/>
      <c r="SY312"/>
      <c r="SZ312"/>
      <c r="TA312"/>
      <c r="TB312"/>
      <c r="TC312"/>
      <c r="TD312"/>
      <c r="TE312"/>
      <c r="TF312"/>
      <c r="TG312"/>
      <c r="TH312"/>
    </row>
    <row r="313" spans="3:528" x14ac:dyDescent="0.25">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c r="KT313"/>
      <c r="KU313"/>
      <c r="KV313"/>
      <c r="KW313"/>
      <c r="KX313"/>
      <c r="KY313"/>
      <c r="KZ313"/>
      <c r="LA313"/>
      <c r="LB313"/>
      <c r="LC313"/>
      <c r="LD313"/>
      <c r="LE313"/>
      <c r="LF313"/>
      <c r="LG313"/>
      <c r="LH313"/>
      <c r="LI313"/>
      <c r="LJ313"/>
      <c r="LK313"/>
      <c r="LL313"/>
      <c r="LM313"/>
      <c r="LN313"/>
      <c r="LO313"/>
      <c r="LP313"/>
      <c r="LQ313"/>
      <c r="LR313"/>
      <c r="LS313"/>
      <c r="LT313"/>
      <c r="LU313"/>
      <c r="LV313"/>
      <c r="LW313"/>
      <c r="LX313"/>
      <c r="LY313"/>
      <c r="LZ313"/>
      <c r="MA313"/>
      <c r="MB313"/>
      <c r="MC313"/>
      <c r="MD313"/>
      <c r="ME313"/>
      <c r="MF313"/>
      <c r="MG313"/>
      <c r="MH313"/>
      <c r="MI313"/>
      <c r="MJ313"/>
      <c r="MK313"/>
      <c r="ML313"/>
      <c r="MM313"/>
      <c r="MN313"/>
      <c r="MO313"/>
      <c r="MP313"/>
      <c r="MQ313"/>
      <c r="MR313"/>
      <c r="MS313"/>
      <c r="MT313"/>
      <c r="MU313"/>
      <c r="MV313"/>
      <c r="MW313"/>
      <c r="MX313"/>
      <c r="MY313"/>
      <c r="MZ313"/>
      <c r="NA313"/>
      <c r="NB313"/>
      <c r="NC313"/>
      <c r="ND313"/>
      <c r="NE313"/>
      <c r="NF313"/>
      <c r="NG313"/>
      <c r="NH313"/>
      <c r="NI313"/>
      <c r="NJ313"/>
      <c r="NK313"/>
      <c r="NL313"/>
      <c r="NM313"/>
      <c r="NN313"/>
      <c r="NO313"/>
      <c r="NP313"/>
      <c r="NQ313"/>
      <c r="NR313"/>
      <c r="NS313"/>
      <c r="NT313"/>
      <c r="NU313"/>
      <c r="NV313"/>
      <c r="NW313"/>
      <c r="NX313"/>
      <c r="NY313"/>
      <c r="NZ313"/>
      <c r="OA313"/>
      <c r="OB313"/>
      <c r="OC313"/>
      <c r="OD313"/>
      <c r="OE313"/>
      <c r="OF313"/>
      <c r="OG313"/>
      <c r="OH313"/>
      <c r="OI313"/>
      <c r="OJ313"/>
      <c r="OK313"/>
      <c r="OL313"/>
      <c r="OM313"/>
      <c r="ON313"/>
      <c r="OO313"/>
      <c r="OP313"/>
      <c r="OQ313"/>
      <c r="OR313"/>
      <c r="OS313"/>
      <c r="OT313"/>
      <c r="OU313"/>
      <c r="OV313"/>
      <c r="OW313"/>
      <c r="OX313"/>
      <c r="OY313"/>
      <c r="OZ313"/>
      <c r="PA313"/>
      <c r="PB313"/>
      <c r="PC313"/>
      <c r="PD313"/>
      <c r="PE313"/>
      <c r="PF313"/>
      <c r="PG313"/>
      <c r="PH313"/>
      <c r="PI313"/>
      <c r="PJ313"/>
      <c r="PK313"/>
      <c r="PL313"/>
      <c r="PM313"/>
      <c r="PN313"/>
      <c r="PO313"/>
      <c r="PP313"/>
      <c r="PQ313"/>
      <c r="PR313"/>
      <c r="PS313"/>
      <c r="PT313"/>
      <c r="PU313"/>
      <c r="PV313"/>
      <c r="PW313"/>
      <c r="PX313"/>
      <c r="PY313"/>
      <c r="PZ313"/>
      <c r="QA313"/>
      <c r="QB313"/>
      <c r="QC313"/>
      <c r="QD313"/>
      <c r="QE313"/>
      <c r="QF313"/>
      <c r="QG313"/>
      <c r="QH313"/>
      <c r="QI313"/>
      <c r="QJ313"/>
      <c r="QK313"/>
      <c r="QL313"/>
      <c r="QM313"/>
      <c r="QN313"/>
      <c r="QO313"/>
      <c r="QP313"/>
      <c r="QQ313"/>
      <c r="QR313"/>
      <c r="QS313"/>
      <c r="QT313"/>
      <c r="QU313"/>
      <c r="QV313"/>
      <c r="QW313"/>
      <c r="QX313"/>
      <c r="QY313"/>
      <c r="QZ313"/>
      <c r="RA313"/>
      <c r="RB313"/>
      <c r="RC313"/>
      <c r="RD313"/>
      <c r="RE313"/>
      <c r="RF313"/>
      <c r="RG313"/>
      <c r="RH313"/>
      <c r="RI313"/>
      <c r="RJ313"/>
      <c r="RK313"/>
      <c r="RL313"/>
      <c r="RM313"/>
      <c r="RN313"/>
      <c r="RO313"/>
      <c r="RP313"/>
      <c r="RQ313"/>
      <c r="RR313"/>
      <c r="RS313"/>
      <c r="RT313"/>
      <c r="RU313"/>
      <c r="RV313"/>
      <c r="RW313"/>
      <c r="RX313"/>
      <c r="RY313"/>
      <c r="RZ313"/>
      <c r="SA313"/>
      <c r="SB313"/>
      <c r="SC313"/>
      <c r="SD313"/>
      <c r="SE313"/>
      <c r="SF313"/>
      <c r="SG313"/>
      <c r="SH313"/>
      <c r="SI313"/>
      <c r="SJ313"/>
      <c r="SK313"/>
      <c r="SL313"/>
      <c r="SM313"/>
      <c r="SN313"/>
      <c r="SO313"/>
      <c r="SP313"/>
      <c r="SQ313"/>
      <c r="SR313"/>
      <c r="SS313"/>
      <c r="ST313"/>
      <c r="SU313"/>
      <c r="SV313"/>
      <c r="SW313"/>
      <c r="SX313"/>
      <c r="SY313"/>
      <c r="SZ313"/>
      <c r="TA313"/>
      <c r="TB313"/>
      <c r="TC313"/>
      <c r="TD313"/>
      <c r="TE313"/>
      <c r="TF313"/>
      <c r="TG313"/>
      <c r="TH313"/>
    </row>
    <row r="314" spans="3:528" x14ac:dyDescent="0.25">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c r="KT314"/>
      <c r="KU314"/>
      <c r="KV314"/>
      <c r="KW314"/>
      <c r="KX314"/>
      <c r="KY314"/>
      <c r="KZ314"/>
      <c r="LA314"/>
      <c r="LB314"/>
      <c r="LC314"/>
      <c r="LD314"/>
      <c r="LE314"/>
      <c r="LF314"/>
      <c r="LG314"/>
      <c r="LH314"/>
      <c r="LI314"/>
      <c r="LJ314"/>
      <c r="LK314"/>
      <c r="LL314"/>
      <c r="LM314"/>
      <c r="LN314"/>
      <c r="LO314"/>
      <c r="LP314"/>
      <c r="LQ314"/>
      <c r="LR314"/>
      <c r="LS314"/>
      <c r="LT314"/>
      <c r="LU314"/>
      <c r="LV314"/>
      <c r="LW314"/>
      <c r="LX314"/>
      <c r="LY314"/>
      <c r="LZ314"/>
      <c r="MA314"/>
      <c r="MB314"/>
      <c r="MC314"/>
      <c r="MD314"/>
      <c r="ME314"/>
      <c r="MF314"/>
      <c r="MG314"/>
      <c r="MH314"/>
      <c r="MI314"/>
      <c r="MJ314"/>
      <c r="MK314"/>
      <c r="ML314"/>
      <c r="MM314"/>
      <c r="MN314"/>
      <c r="MO314"/>
      <c r="MP314"/>
      <c r="MQ314"/>
      <c r="MR314"/>
      <c r="MS314"/>
      <c r="MT314"/>
      <c r="MU314"/>
      <c r="MV314"/>
      <c r="MW314"/>
      <c r="MX314"/>
      <c r="MY314"/>
      <c r="MZ314"/>
      <c r="NA314"/>
      <c r="NB314"/>
      <c r="NC314"/>
      <c r="ND314"/>
      <c r="NE314"/>
      <c r="NF314"/>
      <c r="NG314"/>
      <c r="NH314"/>
      <c r="NI314"/>
      <c r="NJ314"/>
      <c r="NK314"/>
      <c r="NL314"/>
      <c r="NM314"/>
      <c r="NN314"/>
      <c r="NO314"/>
      <c r="NP314"/>
      <c r="NQ314"/>
      <c r="NR314"/>
      <c r="NS314"/>
      <c r="NT314"/>
      <c r="NU314"/>
      <c r="NV314"/>
      <c r="NW314"/>
      <c r="NX314"/>
      <c r="NY314"/>
      <c r="NZ314"/>
      <c r="OA314"/>
      <c r="OB314"/>
      <c r="OC314"/>
      <c r="OD314"/>
      <c r="OE314"/>
      <c r="OF314"/>
      <c r="OG314"/>
      <c r="OH314"/>
      <c r="OI314"/>
      <c r="OJ314"/>
      <c r="OK314"/>
      <c r="OL314"/>
      <c r="OM314"/>
      <c r="ON314"/>
      <c r="OO314"/>
      <c r="OP314"/>
      <c r="OQ314"/>
      <c r="OR314"/>
      <c r="OS314"/>
      <c r="OT314"/>
      <c r="OU314"/>
      <c r="OV314"/>
      <c r="OW314"/>
      <c r="OX314"/>
      <c r="OY314"/>
      <c r="OZ314"/>
      <c r="PA314"/>
      <c r="PB314"/>
      <c r="PC314"/>
      <c r="PD314"/>
      <c r="PE314"/>
      <c r="PF314"/>
      <c r="PG314"/>
      <c r="PH314"/>
      <c r="PI314"/>
      <c r="PJ314"/>
      <c r="PK314"/>
      <c r="PL314"/>
      <c r="PM314"/>
      <c r="PN314"/>
      <c r="PO314"/>
      <c r="PP314"/>
      <c r="PQ314"/>
      <c r="PR314"/>
      <c r="PS314"/>
      <c r="PT314"/>
      <c r="PU314"/>
      <c r="PV314"/>
      <c r="PW314"/>
      <c r="PX314"/>
      <c r="PY314"/>
      <c r="PZ314"/>
      <c r="QA314"/>
      <c r="QB314"/>
      <c r="QC314"/>
      <c r="QD314"/>
      <c r="QE314"/>
      <c r="QF314"/>
      <c r="QG314"/>
      <c r="QH314"/>
      <c r="QI314"/>
      <c r="QJ314"/>
      <c r="QK314"/>
      <c r="QL314"/>
      <c r="QM314"/>
      <c r="QN314"/>
      <c r="QO314"/>
      <c r="QP314"/>
      <c r="QQ314"/>
      <c r="QR314"/>
      <c r="QS314"/>
      <c r="QT314"/>
      <c r="QU314"/>
      <c r="QV314"/>
      <c r="QW314"/>
      <c r="QX314"/>
      <c r="QY314"/>
      <c r="QZ314"/>
      <c r="RA314"/>
      <c r="RB314"/>
      <c r="RC314"/>
      <c r="RD314"/>
      <c r="RE314"/>
      <c r="RF314"/>
      <c r="RG314"/>
      <c r="RH314"/>
      <c r="RI314"/>
      <c r="RJ314"/>
      <c r="RK314"/>
      <c r="RL314"/>
      <c r="RM314"/>
      <c r="RN314"/>
      <c r="RO314"/>
      <c r="RP314"/>
      <c r="RQ314"/>
      <c r="RR314"/>
      <c r="RS314"/>
      <c r="RT314"/>
      <c r="RU314"/>
      <c r="RV314"/>
      <c r="RW314"/>
      <c r="RX314"/>
      <c r="RY314"/>
      <c r="RZ314"/>
      <c r="SA314"/>
      <c r="SB314"/>
      <c r="SC314"/>
      <c r="SD314"/>
      <c r="SE314"/>
      <c r="SF314"/>
      <c r="SG314"/>
      <c r="SH314"/>
      <c r="SI314"/>
      <c r="SJ314"/>
      <c r="SK314"/>
      <c r="SL314"/>
      <c r="SM314"/>
      <c r="SN314"/>
      <c r="SO314"/>
      <c r="SP314"/>
      <c r="SQ314"/>
      <c r="SR314"/>
      <c r="SS314"/>
      <c r="ST314"/>
      <c r="SU314"/>
      <c r="SV314"/>
      <c r="SW314"/>
      <c r="SX314"/>
      <c r="SY314"/>
      <c r="SZ314"/>
      <c r="TA314"/>
      <c r="TB314"/>
      <c r="TC314"/>
      <c r="TD314"/>
      <c r="TE314"/>
      <c r="TF314"/>
      <c r="TG314"/>
      <c r="TH314"/>
    </row>
    <row r="315" spans="3:528" x14ac:dyDescent="0.2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c r="MV315"/>
      <c r="MW315"/>
      <c r="MX315"/>
      <c r="MY315"/>
      <c r="MZ315"/>
      <c r="NA315"/>
      <c r="NB315"/>
      <c r="NC315"/>
      <c r="ND315"/>
      <c r="NE315"/>
      <c r="NF315"/>
      <c r="NG315"/>
      <c r="NH315"/>
      <c r="NI315"/>
      <c r="NJ315"/>
      <c r="NK315"/>
      <c r="NL315"/>
      <c r="NM315"/>
      <c r="NN315"/>
      <c r="NO315"/>
      <c r="NP315"/>
      <c r="NQ315"/>
      <c r="NR315"/>
      <c r="NS315"/>
      <c r="NT315"/>
      <c r="NU315"/>
      <c r="NV315"/>
      <c r="NW315"/>
      <c r="NX315"/>
      <c r="NY315"/>
      <c r="NZ315"/>
      <c r="OA315"/>
      <c r="OB315"/>
      <c r="OC315"/>
      <c r="OD315"/>
      <c r="OE315"/>
      <c r="OF315"/>
      <c r="OG315"/>
      <c r="OH315"/>
      <c r="OI315"/>
      <c r="OJ315"/>
      <c r="OK315"/>
      <c r="OL315"/>
      <c r="OM315"/>
      <c r="ON315"/>
      <c r="OO315"/>
      <c r="OP315"/>
      <c r="OQ315"/>
      <c r="OR315"/>
      <c r="OS315"/>
      <c r="OT315"/>
      <c r="OU315"/>
      <c r="OV315"/>
      <c r="OW315"/>
      <c r="OX315"/>
      <c r="OY315"/>
      <c r="OZ315"/>
      <c r="PA315"/>
      <c r="PB315"/>
      <c r="PC315"/>
      <c r="PD315"/>
      <c r="PE315"/>
      <c r="PF315"/>
      <c r="PG315"/>
      <c r="PH315"/>
      <c r="PI315"/>
      <c r="PJ315"/>
      <c r="PK315"/>
      <c r="PL315"/>
      <c r="PM315"/>
      <c r="PN315"/>
      <c r="PO315"/>
      <c r="PP315"/>
      <c r="PQ315"/>
      <c r="PR315"/>
      <c r="PS315"/>
      <c r="PT315"/>
      <c r="PU315"/>
      <c r="PV315"/>
      <c r="PW315"/>
      <c r="PX315"/>
      <c r="PY315"/>
      <c r="PZ315"/>
      <c r="QA315"/>
      <c r="QB315"/>
      <c r="QC315"/>
      <c r="QD315"/>
      <c r="QE315"/>
      <c r="QF315"/>
      <c r="QG315"/>
      <c r="QH315"/>
      <c r="QI315"/>
      <c r="QJ315"/>
      <c r="QK315"/>
      <c r="QL315"/>
      <c r="QM315"/>
      <c r="QN315"/>
      <c r="QO315"/>
      <c r="QP315"/>
      <c r="QQ315"/>
      <c r="QR315"/>
      <c r="QS315"/>
      <c r="QT315"/>
      <c r="QU315"/>
      <c r="QV315"/>
      <c r="QW315"/>
      <c r="QX315"/>
      <c r="QY315"/>
      <c r="QZ315"/>
      <c r="RA315"/>
      <c r="RB315"/>
      <c r="RC315"/>
      <c r="RD315"/>
      <c r="RE315"/>
      <c r="RF315"/>
      <c r="RG315"/>
      <c r="RH315"/>
      <c r="RI315"/>
      <c r="RJ315"/>
      <c r="RK315"/>
      <c r="RL315"/>
      <c r="RM315"/>
      <c r="RN315"/>
      <c r="RO315"/>
      <c r="RP315"/>
      <c r="RQ315"/>
      <c r="RR315"/>
      <c r="RS315"/>
      <c r="RT315"/>
      <c r="RU315"/>
      <c r="RV315"/>
      <c r="RW315"/>
      <c r="RX315"/>
      <c r="RY315"/>
      <c r="RZ315"/>
      <c r="SA315"/>
      <c r="SB315"/>
      <c r="SC315"/>
      <c r="SD315"/>
      <c r="SE315"/>
      <c r="SF315"/>
      <c r="SG315"/>
      <c r="SH315"/>
      <c r="SI315"/>
      <c r="SJ315"/>
      <c r="SK315"/>
      <c r="SL315"/>
      <c r="SM315"/>
      <c r="SN315"/>
      <c r="SO315"/>
      <c r="SP315"/>
      <c r="SQ315"/>
      <c r="SR315"/>
      <c r="SS315"/>
      <c r="ST315"/>
      <c r="SU315"/>
      <c r="SV315"/>
      <c r="SW315"/>
      <c r="SX315"/>
      <c r="SY315"/>
      <c r="SZ315"/>
      <c r="TA315"/>
      <c r="TB315"/>
      <c r="TC315"/>
      <c r="TD315"/>
      <c r="TE315"/>
      <c r="TF315"/>
      <c r="TG315"/>
      <c r="TH315"/>
    </row>
    <row r="316" spans="3:528" x14ac:dyDescent="0.25">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c r="MV316"/>
      <c r="MW316"/>
      <c r="MX316"/>
      <c r="MY316"/>
      <c r="MZ316"/>
      <c r="NA316"/>
      <c r="NB316"/>
      <c r="NC316"/>
      <c r="ND316"/>
      <c r="NE316"/>
      <c r="NF316"/>
      <c r="NG316"/>
      <c r="NH316"/>
      <c r="NI316"/>
      <c r="NJ316"/>
      <c r="NK316"/>
      <c r="NL316"/>
      <c r="NM316"/>
      <c r="NN316"/>
      <c r="NO316"/>
      <c r="NP316"/>
      <c r="NQ316"/>
      <c r="NR316"/>
      <c r="NS316"/>
      <c r="NT316"/>
      <c r="NU316"/>
      <c r="NV316"/>
      <c r="NW316"/>
      <c r="NX316"/>
      <c r="NY316"/>
      <c r="NZ316"/>
      <c r="OA316"/>
      <c r="OB316"/>
      <c r="OC316"/>
      <c r="OD316"/>
      <c r="OE316"/>
      <c r="OF316"/>
      <c r="OG316"/>
      <c r="OH316"/>
      <c r="OI316"/>
      <c r="OJ316"/>
      <c r="OK316"/>
      <c r="OL316"/>
      <c r="OM316"/>
      <c r="ON316"/>
      <c r="OO316"/>
      <c r="OP316"/>
      <c r="OQ316"/>
      <c r="OR316"/>
      <c r="OS316"/>
      <c r="OT316"/>
      <c r="OU316"/>
      <c r="OV316"/>
      <c r="OW316"/>
      <c r="OX316"/>
      <c r="OY316"/>
      <c r="OZ316"/>
      <c r="PA316"/>
      <c r="PB316"/>
      <c r="PC316"/>
      <c r="PD316"/>
      <c r="PE316"/>
      <c r="PF316"/>
      <c r="PG316"/>
      <c r="PH316"/>
      <c r="PI316"/>
      <c r="PJ316"/>
      <c r="PK316"/>
      <c r="PL316"/>
      <c r="PM316"/>
      <c r="PN316"/>
      <c r="PO316"/>
      <c r="PP316"/>
      <c r="PQ316"/>
      <c r="PR316"/>
      <c r="PS316"/>
      <c r="PT316"/>
      <c r="PU316"/>
      <c r="PV316"/>
      <c r="PW316"/>
      <c r="PX316"/>
      <c r="PY316"/>
      <c r="PZ316"/>
      <c r="QA316"/>
      <c r="QB316"/>
      <c r="QC316"/>
      <c r="QD316"/>
      <c r="QE316"/>
      <c r="QF316"/>
      <c r="QG316"/>
      <c r="QH316"/>
      <c r="QI316"/>
      <c r="QJ316"/>
      <c r="QK316"/>
      <c r="QL316"/>
      <c r="QM316"/>
      <c r="QN316"/>
      <c r="QO316"/>
      <c r="QP316"/>
      <c r="QQ316"/>
      <c r="QR316"/>
      <c r="QS316"/>
      <c r="QT316"/>
      <c r="QU316"/>
      <c r="QV316"/>
      <c r="QW316"/>
      <c r="QX316"/>
      <c r="QY316"/>
      <c r="QZ316"/>
      <c r="RA316"/>
      <c r="RB316"/>
      <c r="RC316"/>
      <c r="RD316"/>
      <c r="RE316"/>
      <c r="RF316"/>
      <c r="RG316"/>
      <c r="RH316"/>
      <c r="RI316"/>
      <c r="RJ316"/>
      <c r="RK316"/>
      <c r="RL316"/>
      <c r="RM316"/>
      <c r="RN316"/>
      <c r="RO316"/>
      <c r="RP316"/>
      <c r="RQ316"/>
      <c r="RR316"/>
      <c r="RS316"/>
      <c r="RT316"/>
      <c r="RU316"/>
      <c r="RV316"/>
      <c r="RW316"/>
      <c r="RX316"/>
      <c r="RY316"/>
      <c r="RZ316"/>
      <c r="SA316"/>
      <c r="SB316"/>
      <c r="SC316"/>
      <c r="SD316"/>
      <c r="SE316"/>
      <c r="SF316"/>
      <c r="SG316"/>
      <c r="SH316"/>
      <c r="SI316"/>
      <c r="SJ316"/>
      <c r="SK316"/>
      <c r="SL316"/>
      <c r="SM316"/>
      <c r="SN316"/>
      <c r="SO316"/>
      <c r="SP316"/>
      <c r="SQ316"/>
      <c r="SR316"/>
      <c r="SS316"/>
      <c r="ST316"/>
      <c r="SU316"/>
      <c r="SV316"/>
      <c r="SW316"/>
      <c r="SX316"/>
      <c r="SY316"/>
      <c r="SZ316"/>
      <c r="TA316"/>
      <c r="TB316"/>
      <c r="TC316"/>
      <c r="TD316"/>
      <c r="TE316"/>
      <c r="TF316"/>
      <c r="TG316"/>
      <c r="TH316"/>
    </row>
    <row r="317" spans="3:528" x14ac:dyDescent="0.25">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c r="MV317"/>
      <c r="MW317"/>
      <c r="MX317"/>
      <c r="MY317"/>
      <c r="MZ317"/>
      <c r="NA317"/>
      <c r="NB317"/>
      <c r="NC317"/>
      <c r="ND317"/>
      <c r="NE317"/>
      <c r="NF317"/>
      <c r="NG317"/>
      <c r="NH317"/>
      <c r="NI317"/>
      <c r="NJ317"/>
      <c r="NK317"/>
      <c r="NL317"/>
      <c r="NM317"/>
      <c r="NN317"/>
      <c r="NO317"/>
      <c r="NP317"/>
      <c r="NQ317"/>
      <c r="NR317"/>
      <c r="NS317"/>
      <c r="NT317"/>
      <c r="NU317"/>
      <c r="NV317"/>
      <c r="NW317"/>
      <c r="NX317"/>
      <c r="NY317"/>
      <c r="NZ317"/>
      <c r="OA317"/>
      <c r="OB317"/>
      <c r="OC317"/>
      <c r="OD317"/>
      <c r="OE317"/>
      <c r="OF317"/>
      <c r="OG317"/>
      <c r="OH317"/>
      <c r="OI317"/>
      <c r="OJ317"/>
      <c r="OK317"/>
      <c r="OL317"/>
      <c r="OM317"/>
      <c r="ON317"/>
      <c r="OO317"/>
      <c r="OP317"/>
      <c r="OQ317"/>
      <c r="OR317"/>
      <c r="OS317"/>
      <c r="OT317"/>
      <c r="OU317"/>
      <c r="OV317"/>
      <c r="OW317"/>
      <c r="OX317"/>
      <c r="OY317"/>
      <c r="OZ317"/>
      <c r="PA317"/>
      <c r="PB317"/>
      <c r="PC317"/>
      <c r="PD317"/>
      <c r="PE317"/>
      <c r="PF317"/>
      <c r="PG317"/>
      <c r="PH317"/>
      <c r="PI317"/>
      <c r="PJ317"/>
      <c r="PK317"/>
      <c r="PL317"/>
      <c r="PM317"/>
      <c r="PN317"/>
      <c r="PO317"/>
      <c r="PP317"/>
      <c r="PQ317"/>
      <c r="PR317"/>
      <c r="PS317"/>
      <c r="PT317"/>
      <c r="PU317"/>
      <c r="PV317"/>
      <c r="PW317"/>
      <c r="PX317"/>
      <c r="PY317"/>
      <c r="PZ317"/>
      <c r="QA317"/>
      <c r="QB317"/>
      <c r="QC317"/>
      <c r="QD317"/>
      <c r="QE317"/>
      <c r="QF317"/>
      <c r="QG317"/>
      <c r="QH317"/>
      <c r="QI317"/>
      <c r="QJ317"/>
      <c r="QK317"/>
      <c r="QL317"/>
      <c r="QM317"/>
      <c r="QN317"/>
      <c r="QO317"/>
      <c r="QP317"/>
      <c r="QQ317"/>
      <c r="QR317"/>
      <c r="QS317"/>
      <c r="QT317"/>
      <c r="QU317"/>
      <c r="QV317"/>
      <c r="QW317"/>
      <c r="QX317"/>
      <c r="QY317"/>
      <c r="QZ317"/>
      <c r="RA317"/>
      <c r="RB317"/>
      <c r="RC317"/>
      <c r="RD317"/>
      <c r="RE317"/>
      <c r="RF317"/>
      <c r="RG317"/>
      <c r="RH317"/>
      <c r="RI317"/>
      <c r="RJ317"/>
      <c r="RK317"/>
      <c r="RL317"/>
      <c r="RM317"/>
      <c r="RN317"/>
      <c r="RO317"/>
      <c r="RP317"/>
      <c r="RQ317"/>
      <c r="RR317"/>
      <c r="RS317"/>
      <c r="RT317"/>
      <c r="RU317"/>
      <c r="RV317"/>
      <c r="RW317"/>
      <c r="RX317"/>
      <c r="RY317"/>
      <c r="RZ317"/>
      <c r="SA317"/>
      <c r="SB317"/>
      <c r="SC317"/>
      <c r="SD317"/>
      <c r="SE317"/>
      <c r="SF317"/>
      <c r="SG317"/>
      <c r="SH317"/>
      <c r="SI317"/>
      <c r="SJ317"/>
      <c r="SK317"/>
      <c r="SL317"/>
      <c r="SM317"/>
      <c r="SN317"/>
      <c r="SO317"/>
      <c r="SP317"/>
      <c r="SQ317"/>
      <c r="SR317"/>
      <c r="SS317"/>
      <c r="ST317"/>
      <c r="SU317"/>
      <c r="SV317"/>
      <c r="SW317"/>
      <c r="SX317"/>
      <c r="SY317"/>
      <c r="SZ317"/>
      <c r="TA317"/>
      <c r="TB317"/>
      <c r="TC317"/>
      <c r="TD317"/>
      <c r="TE317"/>
      <c r="TF317"/>
      <c r="TG317"/>
      <c r="TH317"/>
    </row>
    <row r="318" spans="3:528" x14ac:dyDescent="0.25">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c r="MV318"/>
      <c r="MW318"/>
      <c r="MX318"/>
      <c r="MY318"/>
      <c r="MZ318"/>
      <c r="NA318"/>
      <c r="NB318"/>
      <c r="NC318"/>
      <c r="ND318"/>
      <c r="NE318"/>
      <c r="NF318"/>
      <c r="NG318"/>
      <c r="NH318"/>
      <c r="NI318"/>
      <c r="NJ318"/>
      <c r="NK318"/>
      <c r="NL318"/>
      <c r="NM318"/>
      <c r="NN318"/>
      <c r="NO318"/>
      <c r="NP318"/>
      <c r="NQ318"/>
      <c r="NR318"/>
      <c r="NS318"/>
      <c r="NT318"/>
      <c r="NU318"/>
      <c r="NV318"/>
      <c r="NW318"/>
      <c r="NX318"/>
      <c r="NY318"/>
      <c r="NZ318"/>
      <c r="OA318"/>
      <c r="OB318"/>
      <c r="OC318"/>
      <c r="OD318"/>
      <c r="OE318"/>
      <c r="OF318"/>
      <c r="OG318"/>
      <c r="OH318"/>
      <c r="OI318"/>
      <c r="OJ318"/>
      <c r="OK318"/>
      <c r="OL318"/>
      <c r="OM318"/>
      <c r="ON318"/>
      <c r="OO318"/>
      <c r="OP318"/>
      <c r="OQ318"/>
      <c r="OR318"/>
      <c r="OS318"/>
      <c r="OT318"/>
      <c r="OU318"/>
      <c r="OV318"/>
      <c r="OW318"/>
      <c r="OX318"/>
      <c r="OY318"/>
      <c r="OZ318"/>
      <c r="PA318"/>
      <c r="PB318"/>
      <c r="PC318"/>
      <c r="PD318"/>
      <c r="PE318"/>
      <c r="PF318"/>
      <c r="PG318"/>
      <c r="PH318"/>
      <c r="PI318"/>
      <c r="PJ318"/>
      <c r="PK318"/>
      <c r="PL318"/>
      <c r="PM318"/>
      <c r="PN318"/>
      <c r="PO318"/>
      <c r="PP318"/>
      <c r="PQ318"/>
      <c r="PR318"/>
      <c r="PS318"/>
      <c r="PT318"/>
      <c r="PU318"/>
      <c r="PV318"/>
      <c r="PW318"/>
      <c r="PX318"/>
      <c r="PY318"/>
      <c r="PZ318"/>
      <c r="QA318"/>
      <c r="QB318"/>
      <c r="QC318"/>
      <c r="QD318"/>
      <c r="QE318"/>
      <c r="QF318"/>
      <c r="QG318"/>
      <c r="QH318"/>
      <c r="QI318"/>
      <c r="QJ318"/>
      <c r="QK318"/>
      <c r="QL318"/>
      <c r="QM318"/>
      <c r="QN318"/>
      <c r="QO318"/>
      <c r="QP318"/>
      <c r="QQ318"/>
      <c r="QR318"/>
      <c r="QS318"/>
      <c r="QT318"/>
      <c r="QU318"/>
      <c r="QV318"/>
      <c r="QW318"/>
      <c r="QX318"/>
      <c r="QY318"/>
      <c r="QZ318"/>
      <c r="RA318"/>
      <c r="RB318"/>
      <c r="RC318"/>
      <c r="RD318"/>
      <c r="RE318"/>
      <c r="RF318"/>
      <c r="RG318"/>
      <c r="RH318"/>
      <c r="RI318"/>
      <c r="RJ318"/>
      <c r="RK318"/>
      <c r="RL318"/>
      <c r="RM318"/>
      <c r="RN318"/>
      <c r="RO318"/>
      <c r="RP318"/>
      <c r="RQ318"/>
      <c r="RR318"/>
      <c r="RS318"/>
      <c r="RT318"/>
      <c r="RU318"/>
      <c r="RV318"/>
      <c r="RW318"/>
      <c r="RX318"/>
      <c r="RY318"/>
      <c r="RZ318"/>
      <c r="SA318"/>
      <c r="SB318"/>
      <c r="SC318"/>
      <c r="SD318"/>
      <c r="SE318"/>
      <c r="SF318"/>
      <c r="SG318"/>
      <c r="SH318"/>
      <c r="SI318"/>
      <c r="SJ318"/>
      <c r="SK318"/>
      <c r="SL318"/>
      <c r="SM318"/>
      <c r="SN318"/>
      <c r="SO318"/>
      <c r="SP318"/>
      <c r="SQ318"/>
      <c r="SR318"/>
      <c r="SS318"/>
      <c r="ST318"/>
      <c r="SU318"/>
      <c r="SV318"/>
      <c r="SW318"/>
      <c r="SX318"/>
      <c r="SY318"/>
      <c r="SZ318"/>
      <c r="TA318"/>
      <c r="TB318"/>
      <c r="TC318"/>
      <c r="TD318"/>
      <c r="TE318"/>
      <c r="TF318"/>
      <c r="TG318"/>
      <c r="TH318"/>
    </row>
    <row r="319" spans="3:528" x14ac:dyDescent="0.25">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c r="MV319"/>
      <c r="MW319"/>
      <c r="MX319"/>
      <c r="MY319"/>
      <c r="MZ319"/>
      <c r="NA319"/>
      <c r="NB319"/>
      <c r="NC319"/>
      <c r="ND319"/>
      <c r="NE319"/>
      <c r="NF319"/>
      <c r="NG319"/>
      <c r="NH319"/>
      <c r="NI319"/>
      <c r="NJ319"/>
      <c r="NK319"/>
      <c r="NL319"/>
      <c r="NM319"/>
      <c r="NN319"/>
      <c r="NO319"/>
      <c r="NP319"/>
      <c r="NQ319"/>
      <c r="NR319"/>
      <c r="NS319"/>
      <c r="NT319"/>
      <c r="NU319"/>
      <c r="NV319"/>
      <c r="NW319"/>
      <c r="NX319"/>
      <c r="NY319"/>
      <c r="NZ319"/>
      <c r="OA319"/>
      <c r="OB319"/>
      <c r="OC319"/>
      <c r="OD319"/>
      <c r="OE319"/>
      <c r="OF319"/>
      <c r="OG319"/>
      <c r="OH319"/>
      <c r="OI319"/>
      <c r="OJ319"/>
      <c r="OK319"/>
      <c r="OL319"/>
      <c r="OM319"/>
      <c r="ON319"/>
      <c r="OO319"/>
      <c r="OP319"/>
      <c r="OQ319"/>
      <c r="OR319"/>
      <c r="OS319"/>
      <c r="OT319"/>
      <c r="OU319"/>
      <c r="OV319"/>
      <c r="OW319"/>
      <c r="OX319"/>
      <c r="OY319"/>
      <c r="OZ319"/>
      <c r="PA319"/>
      <c r="PB319"/>
      <c r="PC319"/>
      <c r="PD319"/>
      <c r="PE319"/>
      <c r="PF319"/>
      <c r="PG319"/>
      <c r="PH319"/>
      <c r="PI319"/>
      <c r="PJ319"/>
      <c r="PK319"/>
      <c r="PL319"/>
      <c r="PM319"/>
      <c r="PN319"/>
      <c r="PO319"/>
      <c r="PP319"/>
      <c r="PQ319"/>
      <c r="PR319"/>
      <c r="PS319"/>
      <c r="PT319"/>
      <c r="PU319"/>
      <c r="PV319"/>
      <c r="PW319"/>
      <c r="PX319"/>
      <c r="PY319"/>
      <c r="PZ319"/>
      <c r="QA319"/>
      <c r="QB319"/>
      <c r="QC319"/>
      <c r="QD319"/>
      <c r="QE319"/>
      <c r="QF319"/>
      <c r="QG319"/>
      <c r="QH319"/>
      <c r="QI319"/>
      <c r="QJ319"/>
      <c r="QK319"/>
      <c r="QL319"/>
      <c r="QM319"/>
      <c r="QN319"/>
      <c r="QO319"/>
      <c r="QP319"/>
      <c r="QQ319"/>
      <c r="QR319"/>
      <c r="QS319"/>
      <c r="QT319"/>
      <c r="QU319"/>
      <c r="QV319"/>
      <c r="QW319"/>
      <c r="QX319"/>
      <c r="QY319"/>
      <c r="QZ319"/>
      <c r="RA319"/>
      <c r="RB319"/>
      <c r="RC319"/>
      <c r="RD319"/>
      <c r="RE319"/>
      <c r="RF319"/>
      <c r="RG319"/>
      <c r="RH319"/>
      <c r="RI319"/>
      <c r="RJ319"/>
      <c r="RK319"/>
      <c r="RL319"/>
      <c r="RM319"/>
      <c r="RN319"/>
      <c r="RO319"/>
      <c r="RP319"/>
      <c r="RQ319"/>
      <c r="RR319"/>
      <c r="RS319"/>
      <c r="RT319"/>
      <c r="RU319"/>
      <c r="RV319"/>
      <c r="RW319"/>
      <c r="RX319"/>
      <c r="RY319"/>
      <c r="RZ319"/>
      <c r="SA319"/>
      <c r="SB319"/>
      <c r="SC319"/>
      <c r="SD319"/>
      <c r="SE319"/>
      <c r="SF319"/>
      <c r="SG319"/>
      <c r="SH319"/>
      <c r="SI319"/>
      <c r="SJ319"/>
      <c r="SK319"/>
      <c r="SL319"/>
      <c r="SM319"/>
      <c r="SN319"/>
      <c r="SO319"/>
      <c r="SP319"/>
      <c r="SQ319"/>
      <c r="SR319"/>
      <c r="SS319"/>
      <c r="ST319"/>
      <c r="SU319"/>
      <c r="SV319"/>
      <c r="SW319"/>
      <c r="SX319"/>
      <c r="SY319"/>
      <c r="SZ319"/>
      <c r="TA319"/>
      <c r="TB319"/>
      <c r="TC319"/>
      <c r="TD319"/>
      <c r="TE319"/>
      <c r="TF319"/>
      <c r="TG319"/>
      <c r="TH319"/>
    </row>
    <row r="320" spans="3:528" x14ac:dyDescent="0.25">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c r="MV320"/>
      <c r="MW320"/>
      <c r="MX320"/>
      <c r="MY320"/>
      <c r="MZ320"/>
      <c r="NA320"/>
      <c r="NB320"/>
      <c r="NC320"/>
      <c r="ND320"/>
      <c r="NE320"/>
      <c r="NF320"/>
      <c r="NG320"/>
      <c r="NH320"/>
      <c r="NI320"/>
      <c r="NJ320"/>
      <c r="NK320"/>
      <c r="NL320"/>
      <c r="NM320"/>
      <c r="NN320"/>
      <c r="NO320"/>
      <c r="NP320"/>
      <c r="NQ320"/>
      <c r="NR320"/>
      <c r="NS320"/>
      <c r="NT320"/>
      <c r="NU320"/>
      <c r="NV320"/>
      <c r="NW320"/>
      <c r="NX320"/>
      <c r="NY320"/>
      <c r="NZ320"/>
      <c r="OA320"/>
      <c r="OB320"/>
      <c r="OC320"/>
      <c r="OD320"/>
      <c r="OE320"/>
      <c r="OF320"/>
      <c r="OG320"/>
      <c r="OH320"/>
      <c r="OI320"/>
      <c r="OJ320"/>
      <c r="OK320"/>
      <c r="OL320"/>
      <c r="OM320"/>
      <c r="ON320"/>
      <c r="OO320"/>
      <c r="OP320"/>
      <c r="OQ320"/>
      <c r="OR320"/>
      <c r="OS320"/>
      <c r="OT320"/>
      <c r="OU320"/>
      <c r="OV320"/>
      <c r="OW320"/>
      <c r="OX320"/>
      <c r="OY320"/>
      <c r="OZ320"/>
      <c r="PA320"/>
      <c r="PB320"/>
      <c r="PC320"/>
      <c r="PD320"/>
      <c r="PE320"/>
      <c r="PF320"/>
      <c r="PG320"/>
      <c r="PH320"/>
      <c r="PI320"/>
      <c r="PJ320"/>
      <c r="PK320"/>
      <c r="PL320"/>
      <c r="PM320"/>
      <c r="PN320"/>
      <c r="PO320"/>
      <c r="PP320"/>
      <c r="PQ320"/>
      <c r="PR320"/>
      <c r="PS320"/>
      <c r="PT320"/>
      <c r="PU320"/>
      <c r="PV320"/>
      <c r="PW320"/>
      <c r="PX320"/>
      <c r="PY320"/>
      <c r="PZ320"/>
      <c r="QA320"/>
      <c r="QB320"/>
      <c r="QC320"/>
      <c r="QD320"/>
      <c r="QE320"/>
      <c r="QF320"/>
      <c r="QG320"/>
      <c r="QH320"/>
      <c r="QI320"/>
      <c r="QJ320"/>
      <c r="QK320"/>
      <c r="QL320"/>
      <c r="QM320"/>
      <c r="QN320"/>
      <c r="QO320"/>
      <c r="QP320"/>
      <c r="QQ320"/>
      <c r="QR320"/>
      <c r="QS320"/>
      <c r="QT320"/>
      <c r="QU320"/>
      <c r="QV320"/>
      <c r="QW320"/>
      <c r="QX320"/>
      <c r="QY320"/>
      <c r="QZ320"/>
      <c r="RA320"/>
      <c r="RB320"/>
      <c r="RC320"/>
      <c r="RD320"/>
      <c r="RE320"/>
      <c r="RF320"/>
      <c r="RG320"/>
      <c r="RH320"/>
      <c r="RI320"/>
      <c r="RJ320"/>
      <c r="RK320"/>
      <c r="RL320"/>
      <c r="RM320"/>
      <c r="RN320"/>
      <c r="RO320"/>
      <c r="RP320"/>
      <c r="RQ320"/>
      <c r="RR320"/>
      <c r="RS320"/>
      <c r="RT320"/>
      <c r="RU320"/>
      <c r="RV320"/>
      <c r="RW320"/>
      <c r="RX320"/>
      <c r="RY320"/>
      <c r="RZ320"/>
      <c r="SA320"/>
      <c r="SB320"/>
      <c r="SC320"/>
      <c r="SD320"/>
      <c r="SE320"/>
      <c r="SF320"/>
      <c r="SG320"/>
      <c r="SH320"/>
      <c r="SI320"/>
      <c r="SJ320"/>
      <c r="SK320"/>
      <c r="SL320"/>
      <c r="SM320"/>
      <c r="SN320"/>
      <c r="SO320"/>
      <c r="SP320"/>
      <c r="SQ320"/>
      <c r="SR320"/>
      <c r="SS320"/>
      <c r="ST320"/>
      <c r="SU320"/>
      <c r="SV320"/>
      <c r="SW320"/>
      <c r="SX320"/>
      <c r="SY320"/>
      <c r="SZ320"/>
      <c r="TA320"/>
      <c r="TB320"/>
      <c r="TC320"/>
      <c r="TD320"/>
      <c r="TE320"/>
      <c r="TF320"/>
      <c r="TG320"/>
      <c r="TH320"/>
    </row>
    <row r="321" spans="3:528" x14ac:dyDescent="0.25">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c r="MV321"/>
      <c r="MW321"/>
      <c r="MX321"/>
      <c r="MY321"/>
      <c r="MZ321"/>
      <c r="NA321"/>
      <c r="NB321"/>
      <c r="NC321"/>
      <c r="ND321"/>
      <c r="NE321"/>
      <c r="NF321"/>
      <c r="NG321"/>
      <c r="NH321"/>
      <c r="NI321"/>
      <c r="NJ321"/>
      <c r="NK321"/>
      <c r="NL321"/>
      <c r="NM321"/>
      <c r="NN321"/>
      <c r="NO321"/>
      <c r="NP321"/>
      <c r="NQ321"/>
      <c r="NR321"/>
      <c r="NS321"/>
      <c r="NT321"/>
      <c r="NU321"/>
      <c r="NV321"/>
      <c r="NW321"/>
      <c r="NX321"/>
      <c r="NY321"/>
      <c r="NZ321"/>
      <c r="OA321"/>
      <c r="OB321"/>
      <c r="OC321"/>
      <c r="OD321"/>
      <c r="OE321"/>
      <c r="OF321"/>
      <c r="OG321"/>
      <c r="OH321"/>
      <c r="OI321"/>
      <c r="OJ321"/>
      <c r="OK321"/>
      <c r="OL321"/>
      <c r="OM321"/>
      <c r="ON321"/>
      <c r="OO321"/>
      <c r="OP321"/>
      <c r="OQ321"/>
      <c r="OR321"/>
      <c r="OS321"/>
      <c r="OT321"/>
      <c r="OU321"/>
      <c r="OV321"/>
      <c r="OW321"/>
      <c r="OX321"/>
      <c r="OY321"/>
      <c r="OZ321"/>
      <c r="PA321"/>
      <c r="PB321"/>
      <c r="PC321"/>
      <c r="PD321"/>
      <c r="PE321"/>
      <c r="PF321"/>
      <c r="PG321"/>
      <c r="PH321"/>
      <c r="PI321"/>
      <c r="PJ321"/>
      <c r="PK321"/>
      <c r="PL321"/>
      <c r="PM321"/>
      <c r="PN321"/>
      <c r="PO321"/>
      <c r="PP321"/>
      <c r="PQ321"/>
      <c r="PR321"/>
      <c r="PS321"/>
      <c r="PT321"/>
      <c r="PU321"/>
      <c r="PV321"/>
      <c r="PW321"/>
      <c r="PX321"/>
      <c r="PY321"/>
      <c r="PZ321"/>
      <c r="QA321"/>
      <c r="QB321"/>
      <c r="QC321"/>
      <c r="QD321"/>
      <c r="QE321"/>
      <c r="QF321"/>
      <c r="QG321"/>
      <c r="QH321"/>
      <c r="QI321"/>
      <c r="QJ321"/>
      <c r="QK321"/>
      <c r="QL321"/>
      <c r="QM321"/>
      <c r="QN321"/>
      <c r="QO321"/>
      <c r="QP321"/>
      <c r="QQ321"/>
      <c r="QR321"/>
      <c r="QS321"/>
      <c r="QT321"/>
      <c r="QU321"/>
      <c r="QV321"/>
      <c r="QW321"/>
      <c r="QX321"/>
      <c r="QY321"/>
      <c r="QZ321"/>
      <c r="RA321"/>
      <c r="RB321"/>
      <c r="RC321"/>
      <c r="RD321"/>
      <c r="RE321"/>
      <c r="RF321"/>
      <c r="RG321"/>
      <c r="RH321"/>
      <c r="RI321"/>
      <c r="RJ321"/>
      <c r="RK321"/>
      <c r="RL321"/>
      <c r="RM321"/>
      <c r="RN321"/>
      <c r="RO321"/>
      <c r="RP321"/>
      <c r="RQ321"/>
      <c r="RR321"/>
      <c r="RS321"/>
      <c r="RT321"/>
      <c r="RU321"/>
      <c r="RV321"/>
      <c r="RW321"/>
      <c r="RX321"/>
      <c r="RY321"/>
      <c r="RZ321"/>
      <c r="SA321"/>
      <c r="SB321"/>
      <c r="SC321"/>
      <c r="SD321"/>
      <c r="SE321"/>
      <c r="SF321"/>
      <c r="SG321"/>
      <c r="SH321"/>
      <c r="SI321"/>
      <c r="SJ321"/>
      <c r="SK321"/>
      <c r="SL321"/>
      <c r="SM321"/>
      <c r="SN321"/>
      <c r="SO321"/>
      <c r="SP321"/>
      <c r="SQ321"/>
      <c r="SR321"/>
      <c r="SS321"/>
      <c r="ST321"/>
      <c r="SU321"/>
      <c r="SV321"/>
      <c r="SW321"/>
      <c r="SX321"/>
      <c r="SY321"/>
      <c r="SZ321"/>
      <c r="TA321"/>
      <c r="TB321"/>
      <c r="TC321"/>
      <c r="TD321"/>
      <c r="TE321"/>
      <c r="TF321"/>
      <c r="TG321"/>
      <c r="TH321"/>
    </row>
    <row r="322" spans="3:528" x14ac:dyDescent="0.25">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c r="KT322"/>
      <c r="KU322"/>
      <c r="KV322"/>
      <c r="KW322"/>
      <c r="KX322"/>
      <c r="KY322"/>
      <c r="KZ322"/>
      <c r="LA322"/>
      <c r="LB322"/>
      <c r="LC322"/>
      <c r="LD322"/>
      <c r="LE322"/>
      <c r="LF322"/>
      <c r="LG322"/>
      <c r="LH322"/>
      <c r="LI322"/>
      <c r="LJ322"/>
      <c r="LK322"/>
      <c r="LL322"/>
      <c r="LM322"/>
      <c r="LN322"/>
      <c r="LO322"/>
      <c r="LP322"/>
      <c r="LQ322"/>
      <c r="LR322"/>
      <c r="LS322"/>
      <c r="LT322"/>
      <c r="LU322"/>
      <c r="LV322"/>
      <c r="LW322"/>
      <c r="LX322"/>
      <c r="LY322"/>
      <c r="LZ322"/>
      <c r="MA322"/>
      <c r="MB322"/>
      <c r="MC322"/>
      <c r="MD322"/>
      <c r="ME322"/>
      <c r="MF322"/>
      <c r="MG322"/>
      <c r="MH322"/>
      <c r="MI322"/>
      <c r="MJ322"/>
      <c r="MK322"/>
      <c r="ML322"/>
      <c r="MM322"/>
      <c r="MN322"/>
      <c r="MO322"/>
      <c r="MP322"/>
      <c r="MQ322"/>
      <c r="MR322"/>
      <c r="MS322"/>
      <c r="MT322"/>
      <c r="MU322"/>
      <c r="MV322"/>
      <c r="MW322"/>
      <c r="MX322"/>
      <c r="MY322"/>
      <c r="MZ322"/>
      <c r="NA322"/>
      <c r="NB322"/>
      <c r="NC322"/>
      <c r="ND322"/>
      <c r="NE322"/>
      <c r="NF322"/>
      <c r="NG322"/>
      <c r="NH322"/>
      <c r="NI322"/>
      <c r="NJ322"/>
      <c r="NK322"/>
      <c r="NL322"/>
      <c r="NM322"/>
      <c r="NN322"/>
      <c r="NO322"/>
      <c r="NP322"/>
      <c r="NQ322"/>
      <c r="NR322"/>
      <c r="NS322"/>
      <c r="NT322"/>
      <c r="NU322"/>
      <c r="NV322"/>
      <c r="NW322"/>
      <c r="NX322"/>
      <c r="NY322"/>
      <c r="NZ322"/>
      <c r="OA322"/>
      <c r="OB322"/>
      <c r="OC322"/>
      <c r="OD322"/>
      <c r="OE322"/>
      <c r="OF322"/>
      <c r="OG322"/>
      <c r="OH322"/>
      <c r="OI322"/>
      <c r="OJ322"/>
      <c r="OK322"/>
      <c r="OL322"/>
      <c r="OM322"/>
      <c r="ON322"/>
      <c r="OO322"/>
      <c r="OP322"/>
      <c r="OQ322"/>
      <c r="OR322"/>
      <c r="OS322"/>
      <c r="OT322"/>
      <c r="OU322"/>
      <c r="OV322"/>
      <c r="OW322"/>
      <c r="OX322"/>
      <c r="OY322"/>
      <c r="OZ322"/>
      <c r="PA322"/>
      <c r="PB322"/>
      <c r="PC322"/>
      <c r="PD322"/>
      <c r="PE322"/>
      <c r="PF322"/>
      <c r="PG322"/>
      <c r="PH322"/>
      <c r="PI322"/>
      <c r="PJ322"/>
      <c r="PK322"/>
      <c r="PL322"/>
      <c r="PM322"/>
      <c r="PN322"/>
      <c r="PO322"/>
      <c r="PP322"/>
      <c r="PQ322"/>
      <c r="PR322"/>
      <c r="PS322"/>
      <c r="PT322"/>
      <c r="PU322"/>
      <c r="PV322"/>
      <c r="PW322"/>
      <c r="PX322"/>
      <c r="PY322"/>
      <c r="PZ322"/>
      <c r="QA322"/>
      <c r="QB322"/>
      <c r="QC322"/>
      <c r="QD322"/>
      <c r="QE322"/>
      <c r="QF322"/>
      <c r="QG322"/>
      <c r="QH322"/>
      <c r="QI322"/>
      <c r="QJ322"/>
      <c r="QK322"/>
      <c r="QL322"/>
      <c r="QM322"/>
      <c r="QN322"/>
      <c r="QO322"/>
      <c r="QP322"/>
      <c r="QQ322"/>
      <c r="QR322"/>
      <c r="QS322"/>
      <c r="QT322"/>
      <c r="QU322"/>
      <c r="QV322"/>
      <c r="QW322"/>
      <c r="QX322"/>
      <c r="QY322"/>
      <c r="QZ322"/>
      <c r="RA322"/>
      <c r="RB322"/>
      <c r="RC322"/>
      <c r="RD322"/>
      <c r="RE322"/>
      <c r="RF322"/>
      <c r="RG322"/>
      <c r="RH322"/>
      <c r="RI322"/>
      <c r="RJ322"/>
      <c r="RK322"/>
      <c r="RL322"/>
      <c r="RM322"/>
      <c r="RN322"/>
      <c r="RO322"/>
      <c r="RP322"/>
      <c r="RQ322"/>
      <c r="RR322"/>
      <c r="RS322"/>
      <c r="RT322"/>
      <c r="RU322"/>
      <c r="RV322"/>
      <c r="RW322"/>
      <c r="RX322"/>
      <c r="RY322"/>
      <c r="RZ322"/>
      <c r="SA322"/>
      <c r="SB322"/>
      <c r="SC322"/>
      <c r="SD322"/>
      <c r="SE322"/>
      <c r="SF322"/>
      <c r="SG322"/>
      <c r="SH322"/>
      <c r="SI322"/>
      <c r="SJ322"/>
      <c r="SK322"/>
      <c r="SL322"/>
      <c r="SM322"/>
      <c r="SN322"/>
      <c r="SO322"/>
      <c r="SP322"/>
      <c r="SQ322"/>
      <c r="SR322"/>
      <c r="SS322"/>
      <c r="ST322"/>
      <c r="SU322"/>
      <c r="SV322"/>
      <c r="SW322"/>
      <c r="SX322"/>
      <c r="SY322"/>
      <c r="SZ322"/>
      <c r="TA322"/>
      <c r="TB322"/>
      <c r="TC322"/>
      <c r="TD322"/>
      <c r="TE322"/>
      <c r="TF322"/>
      <c r="TG322"/>
      <c r="TH322"/>
    </row>
    <row r="323" spans="3:528" x14ac:dyDescent="0.25">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c r="KT323"/>
      <c r="KU323"/>
      <c r="KV323"/>
      <c r="KW323"/>
      <c r="KX323"/>
      <c r="KY323"/>
      <c r="KZ323"/>
      <c r="LA323"/>
      <c r="LB323"/>
      <c r="LC323"/>
      <c r="LD323"/>
      <c r="LE323"/>
      <c r="LF323"/>
      <c r="LG323"/>
      <c r="LH323"/>
      <c r="LI323"/>
      <c r="LJ323"/>
      <c r="LK323"/>
      <c r="LL323"/>
      <c r="LM323"/>
      <c r="LN323"/>
      <c r="LO323"/>
      <c r="LP323"/>
      <c r="LQ323"/>
      <c r="LR323"/>
      <c r="LS323"/>
      <c r="LT323"/>
      <c r="LU323"/>
      <c r="LV323"/>
      <c r="LW323"/>
      <c r="LX323"/>
      <c r="LY323"/>
      <c r="LZ323"/>
      <c r="MA323"/>
      <c r="MB323"/>
      <c r="MC323"/>
      <c r="MD323"/>
      <c r="ME323"/>
      <c r="MF323"/>
      <c r="MG323"/>
      <c r="MH323"/>
      <c r="MI323"/>
      <c r="MJ323"/>
      <c r="MK323"/>
      <c r="ML323"/>
      <c r="MM323"/>
      <c r="MN323"/>
      <c r="MO323"/>
      <c r="MP323"/>
      <c r="MQ323"/>
      <c r="MR323"/>
      <c r="MS323"/>
      <c r="MT323"/>
      <c r="MU323"/>
      <c r="MV323"/>
      <c r="MW323"/>
      <c r="MX323"/>
      <c r="MY323"/>
      <c r="MZ323"/>
      <c r="NA323"/>
      <c r="NB323"/>
      <c r="NC323"/>
      <c r="ND323"/>
      <c r="NE323"/>
      <c r="NF323"/>
      <c r="NG323"/>
      <c r="NH323"/>
      <c r="NI323"/>
      <c r="NJ323"/>
      <c r="NK323"/>
      <c r="NL323"/>
      <c r="NM323"/>
      <c r="NN323"/>
      <c r="NO323"/>
      <c r="NP323"/>
      <c r="NQ323"/>
      <c r="NR323"/>
      <c r="NS323"/>
      <c r="NT323"/>
      <c r="NU323"/>
      <c r="NV323"/>
      <c r="NW323"/>
      <c r="NX323"/>
      <c r="NY323"/>
      <c r="NZ323"/>
      <c r="OA323"/>
      <c r="OB323"/>
      <c r="OC323"/>
      <c r="OD323"/>
      <c r="OE323"/>
      <c r="OF323"/>
      <c r="OG323"/>
      <c r="OH323"/>
      <c r="OI323"/>
      <c r="OJ323"/>
      <c r="OK323"/>
      <c r="OL323"/>
      <c r="OM323"/>
      <c r="ON323"/>
      <c r="OO323"/>
      <c r="OP323"/>
      <c r="OQ323"/>
      <c r="OR323"/>
      <c r="OS323"/>
      <c r="OT323"/>
      <c r="OU323"/>
      <c r="OV323"/>
      <c r="OW323"/>
      <c r="OX323"/>
      <c r="OY323"/>
      <c r="OZ323"/>
      <c r="PA323"/>
      <c r="PB323"/>
      <c r="PC323"/>
      <c r="PD323"/>
      <c r="PE323"/>
      <c r="PF323"/>
      <c r="PG323"/>
      <c r="PH323"/>
      <c r="PI323"/>
      <c r="PJ323"/>
      <c r="PK323"/>
      <c r="PL323"/>
      <c r="PM323"/>
      <c r="PN323"/>
      <c r="PO323"/>
      <c r="PP323"/>
      <c r="PQ323"/>
      <c r="PR323"/>
      <c r="PS323"/>
      <c r="PT323"/>
      <c r="PU323"/>
      <c r="PV323"/>
      <c r="PW323"/>
      <c r="PX323"/>
      <c r="PY323"/>
      <c r="PZ323"/>
      <c r="QA323"/>
      <c r="QB323"/>
      <c r="QC323"/>
      <c r="QD323"/>
      <c r="QE323"/>
      <c r="QF323"/>
      <c r="QG323"/>
      <c r="QH323"/>
      <c r="QI323"/>
      <c r="QJ323"/>
      <c r="QK323"/>
      <c r="QL323"/>
      <c r="QM323"/>
      <c r="QN323"/>
      <c r="QO323"/>
      <c r="QP323"/>
      <c r="QQ323"/>
      <c r="QR323"/>
      <c r="QS323"/>
      <c r="QT323"/>
      <c r="QU323"/>
      <c r="QV323"/>
      <c r="QW323"/>
      <c r="QX323"/>
      <c r="QY323"/>
      <c r="QZ323"/>
      <c r="RA323"/>
      <c r="RB323"/>
      <c r="RC323"/>
      <c r="RD323"/>
      <c r="RE323"/>
      <c r="RF323"/>
      <c r="RG323"/>
      <c r="RH323"/>
      <c r="RI323"/>
      <c r="RJ323"/>
      <c r="RK323"/>
      <c r="RL323"/>
      <c r="RM323"/>
      <c r="RN323"/>
      <c r="RO323"/>
      <c r="RP323"/>
      <c r="RQ323"/>
      <c r="RR323"/>
      <c r="RS323"/>
      <c r="RT323"/>
      <c r="RU323"/>
      <c r="RV323"/>
      <c r="RW323"/>
      <c r="RX323"/>
      <c r="RY323"/>
      <c r="RZ323"/>
      <c r="SA323"/>
      <c r="SB323"/>
      <c r="SC323"/>
      <c r="SD323"/>
      <c r="SE323"/>
      <c r="SF323"/>
      <c r="SG323"/>
      <c r="SH323"/>
      <c r="SI323"/>
      <c r="SJ323"/>
      <c r="SK323"/>
      <c r="SL323"/>
      <c r="SM323"/>
      <c r="SN323"/>
      <c r="SO323"/>
      <c r="SP323"/>
      <c r="SQ323"/>
      <c r="SR323"/>
      <c r="SS323"/>
      <c r="ST323"/>
      <c r="SU323"/>
      <c r="SV323"/>
      <c r="SW323"/>
      <c r="SX323"/>
      <c r="SY323"/>
      <c r="SZ323"/>
      <c r="TA323"/>
      <c r="TB323"/>
      <c r="TC323"/>
      <c r="TD323"/>
      <c r="TE323"/>
      <c r="TF323"/>
      <c r="TG323"/>
      <c r="TH323"/>
    </row>
    <row r="324" spans="3:528" x14ac:dyDescent="0.25">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c r="KT324"/>
      <c r="KU324"/>
      <c r="KV324"/>
      <c r="KW324"/>
      <c r="KX324"/>
      <c r="KY324"/>
      <c r="KZ324"/>
      <c r="LA324"/>
      <c r="LB324"/>
      <c r="LC324"/>
      <c r="LD324"/>
      <c r="LE324"/>
      <c r="LF324"/>
      <c r="LG324"/>
      <c r="LH324"/>
      <c r="LI324"/>
      <c r="LJ324"/>
      <c r="LK324"/>
      <c r="LL324"/>
      <c r="LM324"/>
      <c r="LN324"/>
      <c r="LO324"/>
      <c r="LP324"/>
      <c r="LQ324"/>
      <c r="LR324"/>
      <c r="LS324"/>
      <c r="LT324"/>
      <c r="LU324"/>
      <c r="LV324"/>
      <c r="LW324"/>
      <c r="LX324"/>
      <c r="LY324"/>
      <c r="LZ324"/>
      <c r="MA324"/>
      <c r="MB324"/>
      <c r="MC324"/>
      <c r="MD324"/>
      <c r="ME324"/>
      <c r="MF324"/>
      <c r="MG324"/>
      <c r="MH324"/>
      <c r="MI324"/>
      <c r="MJ324"/>
      <c r="MK324"/>
      <c r="ML324"/>
      <c r="MM324"/>
      <c r="MN324"/>
      <c r="MO324"/>
      <c r="MP324"/>
      <c r="MQ324"/>
      <c r="MR324"/>
      <c r="MS324"/>
      <c r="MT324"/>
      <c r="MU324"/>
      <c r="MV324"/>
      <c r="MW324"/>
      <c r="MX324"/>
      <c r="MY324"/>
      <c r="MZ324"/>
      <c r="NA324"/>
      <c r="NB324"/>
      <c r="NC324"/>
      <c r="ND324"/>
      <c r="NE324"/>
      <c r="NF324"/>
      <c r="NG324"/>
      <c r="NH324"/>
      <c r="NI324"/>
      <c r="NJ324"/>
      <c r="NK324"/>
      <c r="NL324"/>
      <c r="NM324"/>
      <c r="NN324"/>
      <c r="NO324"/>
      <c r="NP324"/>
      <c r="NQ324"/>
      <c r="NR324"/>
      <c r="NS324"/>
      <c r="NT324"/>
      <c r="NU324"/>
      <c r="NV324"/>
      <c r="NW324"/>
      <c r="NX324"/>
      <c r="NY324"/>
      <c r="NZ324"/>
      <c r="OA324"/>
      <c r="OB324"/>
      <c r="OC324"/>
      <c r="OD324"/>
      <c r="OE324"/>
      <c r="OF324"/>
      <c r="OG324"/>
      <c r="OH324"/>
      <c r="OI324"/>
      <c r="OJ324"/>
      <c r="OK324"/>
      <c r="OL324"/>
      <c r="OM324"/>
      <c r="ON324"/>
      <c r="OO324"/>
      <c r="OP324"/>
      <c r="OQ324"/>
      <c r="OR324"/>
      <c r="OS324"/>
      <c r="OT324"/>
      <c r="OU324"/>
      <c r="OV324"/>
      <c r="OW324"/>
      <c r="OX324"/>
      <c r="OY324"/>
      <c r="OZ324"/>
      <c r="PA324"/>
      <c r="PB324"/>
      <c r="PC324"/>
      <c r="PD324"/>
      <c r="PE324"/>
      <c r="PF324"/>
      <c r="PG324"/>
      <c r="PH324"/>
      <c r="PI324"/>
      <c r="PJ324"/>
      <c r="PK324"/>
      <c r="PL324"/>
      <c r="PM324"/>
      <c r="PN324"/>
      <c r="PO324"/>
      <c r="PP324"/>
      <c r="PQ324"/>
      <c r="PR324"/>
      <c r="PS324"/>
      <c r="PT324"/>
      <c r="PU324"/>
      <c r="PV324"/>
      <c r="PW324"/>
      <c r="PX324"/>
      <c r="PY324"/>
      <c r="PZ324"/>
      <c r="QA324"/>
      <c r="QB324"/>
      <c r="QC324"/>
      <c r="QD324"/>
      <c r="QE324"/>
      <c r="QF324"/>
      <c r="QG324"/>
      <c r="QH324"/>
      <c r="QI324"/>
      <c r="QJ324"/>
      <c r="QK324"/>
      <c r="QL324"/>
      <c r="QM324"/>
      <c r="QN324"/>
      <c r="QO324"/>
      <c r="QP324"/>
      <c r="QQ324"/>
      <c r="QR324"/>
      <c r="QS324"/>
      <c r="QT324"/>
      <c r="QU324"/>
      <c r="QV324"/>
      <c r="QW324"/>
      <c r="QX324"/>
      <c r="QY324"/>
      <c r="QZ324"/>
      <c r="RA324"/>
      <c r="RB324"/>
      <c r="RC324"/>
      <c r="RD324"/>
      <c r="RE324"/>
      <c r="RF324"/>
      <c r="RG324"/>
      <c r="RH324"/>
      <c r="RI324"/>
      <c r="RJ324"/>
      <c r="RK324"/>
      <c r="RL324"/>
      <c r="RM324"/>
      <c r="RN324"/>
      <c r="RO324"/>
      <c r="RP324"/>
      <c r="RQ324"/>
      <c r="RR324"/>
      <c r="RS324"/>
      <c r="RT324"/>
      <c r="RU324"/>
      <c r="RV324"/>
      <c r="RW324"/>
      <c r="RX324"/>
      <c r="RY324"/>
      <c r="RZ324"/>
      <c r="SA324"/>
      <c r="SB324"/>
      <c r="SC324"/>
      <c r="SD324"/>
      <c r="SE324"/>
      <c r="SF324"/>
      <c r="SG324"/>
      <c r="SH324"/>
      <c r="SI324"/>
      <c r="SJ324"/>
      <c r="SK324"/>
      <c r="SL324"/>
      <c r="SM324"/>
      <c r="SN324"/>
      <c r="SO324"/>
      <c r="SP324"/>
      <c r="SQ324"/>
      <c r="SR324"/>
      <c r="SS324"/>
      <c r="ST324"/>
      <c r="SU324"/>
      <c r="SV324"/>
      <c r="SW324"/>
      <c r="SX324"/>
      <c r="SY324"/>
      <c r="SZ324"/>
      <c r="TA324"/>
      <c r="TB324"/>
      <c r="TC324"/>
      <c r="TD324"/>
      <c r="TE324"/>
      <c r="TF324"/>
      <c r="TG324"/>
      <c r="TH324"/>
    </row>
    <row r="325" spans="3:528" x14ac:dyDescent="0.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c r="KT325"/>
      <c r="KU325"/>
      <c r="KV325"/>
      <c r="KW325"/>
      <c r="KX325"/>
      <c r="KY325"/>
      <c r="KZ325"/>
      <c r="LA325"/>
      <c r="LB325"/>
      <c r="LC325"/>
      <c r="LD325"/>
      <c r="LE325"/>
      <c r="LF325"/>
      <c r="LG325"/>
      <c r="LH325"/>
      <c r="LI325"/>
      <c r="LJ325"/>
      <c r="LK325"/>
      <c r="LL325"/>
      <c r="LM325"/>
      <c r="LN325"/>
      <c r="LO325"/>
      <c r="LP325"/>
      <c r="LQ325"/>
      <c r="LR325"/>
      <c r="LS325"/>
      <c r="LT325"/>
      <c r="LU325"/>
      <c r="LV325"/>
      <c r="LW325"/>
      <c r="LX325"/>
      <c r="LY325"/>
      <c r="LZ325"/>
      <c r="MA325"/>
      <c r="MB325"/>
      <c r="MC325"/>
      <c r="MD325"/>
      <c r="ME325"/>
      <c r="MF325"/>
      <c r="MG325"/>
      <c r="MH325"/>
      <c r="MI325"/>
      <c r="MJ325"/>
      <c r="MK325"/>
      <c r="ML325"/>
      <c r="MM325"/>
      <c r="MN325"/>
      <c r="MO325"/>
      <c r="MP325"/>
      <c r="MQ325"/>
      <c r="MR325"/>
      <c r="MS325"/>
      <c r="MT325"/>
      <c r="MU325"/>
      <c r="MV325"/>
      <c r="MW325"/>
      <c r="MX325"/>
      <c r="MY325"/>
      <c r="MZ325"/>
      <c r="NA325"/>
      <c r="NB325"/>
      <c r="NC325"/>
      <c r="ND325"/>
      <c r="NE325"/>
      <c r="NF325"/>
      <c r="NG325"/>
      <c r="NH325"/>
      <c r="NI325"/>
      <c r="NJ325"/>
      <c r="NK325"/>
      <c r="NL325"/>
      <c r="NM325"/>
      <c r="NN325"/>
      <c r="NO325"/>
      <c r="NP325"/>
      <c r="NQ325"/>
      <c r="NR325"/>
      <c r="NS325"/>
      <c r="NT325"/>
      <c r="NU325"/>
      <c r="NV325"/>
      <c r="NW325"/>
      <c r="NX325"/>
      <c r="NY325"/>
      <c r="NZ325"/>
      <c r="OA325"/>
      <c r="OB325"/>
      <c r="OC325"/>
      <c r="OD325"/>
      <c r="OE325"/>
      <c r="OF325"/>
      <c r="OG325"/>
      <c r="OH325"/>
      <c r="OI325"/>
      <c r="OJ325"/>
      <c r="OK325"/>
      <c r="OL325"/>
      <c r="OM325"/>
      <c r="ON325"/>
      <c r="OO325"/>
      <c r="OP325"/>
      <c r="OQ325"/>
      <c r="OR325"/>
      <c r="OS325"/>
      <c r="OT325"/>
      <c r="OU325"/>
      <c r="OV325"/>
      <c r="OW325"/>
      <c r="OX325"/>
      <c r="OY325"/>
      <c r="OZ325"/>
      <c r="PA325"/>
      <c r="PB325"/>
      <c r="PC325"/>
      <c r="PD325"/>
      <c r="PE325"/>
      <c r="PF325"/>
      <c r="PG325"/>
      <c r="PH325"/>
      <c r="PI325"/>
      <c r="PJ325"/>
      <c r="PK325"/>
      <c r="PL325"/>
      <c r="PM325"/>
      <c r="PN325"/>
      <c r="PO325"/>
      <c r="PP325"/>
      <c r="PQ325"/>
      <c r="PR325"/>
      <c r="PS325"/>
      <c r="PT325"/>
      <c r="PU325"/>
      <c r="PV325"/>
      <c r="PW325"/>
      <c r="PX325"/>
      <c r="PY325"/>
      <c r="PZ325"/>
      <c r="QA325"/>
      <c r="QB325"/>
      <c r="QC325"/>
      <c r="QD325"/>
      <c r="QE325"/>
      <c r="QF325"/>
      <c r="QG325"/>
      <c r="QH325"/>
      <c r="QI325"/>
      <c r="QJ325"/>
      <c r="QK325"/>
      <c r="QL325"/>
      <c r="QM325"/>
      <c r="QN325"/>
      <c r="QO325"/>
      <c r="QP325"/>
      <c r="QQ325"/>
      <c r="QR325"/>
      <c r="QS325"/>
      <c r="QT325"/>
      <c r="QU325"/>
      <c r="QV325"/>
      <c r="QW325"/>
      <c r="QX325"/>
      <c r="QY325"/>
      <c r="QZ325"/>
      <c r="RA325"/>
      <c r="RB325"/>
      <c r="RC325"/>
      <c r="RD325"/>
      <c r="RE325"/>
      <c r="RF325"/>
      <c r="RG325"/>
      <c r="RH325"/>
      <c r="RI325"/>
      <c r="RJ325"/>
      <c r="RK325"/>
      <c r="RL325"/>
      <c r="RM325"/>
      <c r="RN325"/>
      <c r="RO325"/>
      <c r="RP325"/>
      <c r="RQ325"/>
      <c r="RR325"/>
      <c r="RS325"/>
      <c r="RT325"/>
      <c r="RU325"/>
      <c r="RV325"/>
      <c r="RW325"/>
      <c r="RX325"/>
      <c r="RY325"/>
      <c r="RZ325"/>
      <c r="SA325"/>
      <c r="SB325"/>
      <c r="SC325"/>
      <c r="SD325"/>
      <c r="SE325"/>
      <c r="SF325"/>
      <c r="SG325"/>
      <c r="SH325"/>
      <c r="SI325"/>
      <c r="SJ325"/>
      <c r="SK325"/>
      <c r="SL325"/>
      <c r="SM325"/>
      <c r="SN325"/>
      <c r="SO325"/>
      <c r="SP325"/>
      <c r="SQ325"/>
      <c r="SR325"/>
      <c r="SS325"/>
      <c r="ST325"/>
      <c r="SU325"/>
      <c r="SV325"/>
      <c r="SW325"/>
      <c r="SX325"/>
      <c r="SY325"/>
      <c r="SZ325"/>
      <c r="TA325"/>
      <c r="TB325"/>
      <c r="TC325"/>
      <c r="TD325"/>
      <c r="TE325"/>
      <c r="TF325"/>
      <c r="TG325"/>
      <c r="TH325"/>
    </row>
    <row r="326" spans="3:528" x14ac:dyDescent="0.25">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c r="KT326"/>
      <c r="KU326"/>
      <c r="KV326"/>
      <c r="KW326"/>
      <c r="KX326"/>
      <c r="KY326"/>
      <c r="KZ326"/>
      <c r="LA326"/>
      <c r="LB326"/>
      <c r="LC326"/>
      <c r="LD326"/>
      <c r="LE326"/>
      <c r="LF326"/>
      <c r="LG326"/>
      <c r="LH326"/>
      <c r="LI326"/>
      <c r="LJ326"/>
      <c r="LK326"/>
      <c r="LL326"/>
      <c r="LM326"/>
      <c r="LN326"/>
      <c r="LO326"/>
      <c r="LP326"/>
      <c r="LQ326"/>
      <c r="LR326"/>
      <c r="LS326"/>
      <c r="LT326"/>
      <c r="LU326"/>
      <c r="LV326"/>
      <c r="LW326"/>
      <c r="LX326"/>
      <c r="LY326"/>
      <c r="LZ326"/>
      <c r="MA326"/>
      <c r="MB326"/>
      <c r="MC326"/>
      <c r="MD326"/>
      <c r="ME326"/>
      <c r="MF326"/>
      <c r="MG326"/>
      <c r="MH326"/>
      <c r="MI326"/>
      <c r="MJ326"/>
      <c r="MK326"/>
      <c r="ML326"/>
      <c r="MM326"/>
      <c r="MN326"/>
      <c r="MO326"/>
      <c r="MP326"/>
      <c r="MQ326"/>
      <c r="MR326"/>
      <c r="MS326"/>
      <c r="MT326"/>
      <c r="MU326"/>
      <c r="MV326"/>
      <c r="MW326"/>
      <c r="MX326"/>
      <c r="MY326"/>
      <c r="MZ326"/>
      <c r="NA326"/>
      <c r="NB326"/>
      <c r="NC326"/>
      <c r="ND326"/>
      <c r="NE326"/>
      <c r="NF326"/>
      <c r="NG326"/>
      <c r="NH326"/>
      <c r="NI326"/>
      <c r="NJ326"/>
      <c r="NK326"/>
      <c r="NL326"/>
      <c r="NM326"/>
      <c r="NN326"/>
      <c r="NO326"/>
      <c r="NP326"/>
      <c r="NQ326"/>
      <c r="NR326"/>
      <c r="NS326"/>
      <c r="NT326"/>
      <c r="NU326"/>
      <c r="NV326"/>
      <c r="NW326"/>
      <c r="NX326"/>
      <c r="NY326"/>
      <c r="NZ326"/>
      <c r="OA326"/>
      <c r="OB326"/>
      <c r="OC326"/>
      <c r="OD326"/>
      <c r="OE326"/>
      <c r="OF326"/>
      <c r="OG326"/>
      <c r="OH326"/>
      <c r="OI326"/>
      <c r="OJ326"/>
      <c r="OK326"/>
      <c r="OL326"/>
      <c r="OM326"/>
      <c r="ON326"/>
      <c r="OO326"/>
      <c r="OP326"/>
      <c r="OQ326"/>
      <c r="OR326"/>
      <c r="OS326"/>
      <c r="OT326"/>
      <c r="OU326"/>
      <c r="OV326"/>
      <c r="OW326"/>
      <c r="OX326"/>
      <c r="OY326"/>
      <c r="OZ326"/>
      <c r="PA326"/>
      <c r="PB326"/>
      <c r="PC326"/>
      <c r="PD326"/>
      <c r="PE326"/>
      <c r="PF326"/>
      <c r="PG326"/>
      <c r="PH326"/>
      <c r="PI326"/>
      <c r="PJ326"/>
      <c r="PK326"/>
      <c r="PL326"/>
      <c r="PM326"/>
      <c r="PN326"/>
      <c r="PO326"/>
      <c r="PP326"/>
      <c r="PQ326"/>
      <c r="PR326"/>
      <c r="PS326"/>
      <c r="PT326"/>
      <c r="PU326"/>
      <c r="PV326"/>
      <c r="PW326"/>
      <c r="PX326"/>
      <c r="PY326"/>
      <c r="PZ326"/>
      <c r="QA326"/>
      <c r="QB326"/>
      <c r="QC326"/>
      <c r="QD326"/>
      <c r="QE326"/>
      <c r="QF326"/>
      <c r="QG326"/>
      <c r="QH326"/>
      <c r="QI326"/>
      <c r="QJ326"/>
      <c r="QK326"/>
      <c r="QL326"/>
      <c r="QM326"/>
      <c r="QN326"/>
      <c r="QO326"/>
      <c r="QP326"/>
      <c r="QQ326"/>
      <c r="QR326"/>
      <c r="QS326"/>
      <c r="QT326"/>
      <c r="QU326"/>
      <c r="QV326"/>
      <c r="QW326"/>
      <c r="QX326"/>
      <c r="QY326"/>
      <c r="QZ326"/>
      <c r="RA326"/>
      <c r="RB326"/>
      <c r="RC326"/>
      <c r="RD326"/>
      <c r="RE326"/>
      <c r="RF326"/>
      <c r="RG326"/>
      <c r="RH326"/>
      <c r="RI326"/>
      <c r="RJ326"/>
      <c r="RK326"/>
      <c r="RL326"/>
      <c r="RM326"/>
      <c r="RN326"/>
      <c r="RO326"/>
      <c r="RP326"/>
      <c r="RQ326"/>
      <c r="RR326"/>
      <c r="RS326"/>
      <c r="RT326"/>
      <c r="RU326"/>
      <c r="RV326"/>
      <c r="RW326"/>
      <c r="RX326"/>
      <c r="RY326"/>
      <c r="RZ326"/>
      <c r="SA326"/>
      <c r="SB326"/>
      <c r="SC326"/>
      <c r="SD326"/>
      <c r="SE326"/>
      <c r="SF326"/>
      <c r="SG326"/>
      <c r="SH326"/>
      <c r="SI326"/>
      <c r="SJ326"/>
      <c r="SK326"/>
      <c r="SL326"/>
      <c r="SM326"/>
      <c r="SN326"/>
      <c r="SO326"/>
      <c r="SP326"/>
      <c r="SQ326"/>
      <c r="SR326"/>
      <c r="SS326"/>
      <c r="ST326"/>
      <c r="SU326"/>
      <c r="SV326"/>
      <c r="SW326"/>
      <c r="SX326"/>
      <c r="SY326"/>
      <c r="SZ326"/>
      <c r="TA326"/>
      <c r="TB326"/>
      <c r="TC326"/>
      <c r="TD326"/>
      <c r="TE326"/>
      <c r="TF326"/>
      <c r="TG326"/>
      <c r="TH326"/>
    </row>
    <row r="327" spans="3:528" x14ac:dyDescent="0.25">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c r="KT327"/>
      <c r="KU327"/>
      <c r="KV327"/>
      <c r="KW327"/>
      <c r="KX327"/>
      <c r="KY327"/>
      <c r="KZ327"/>
      <c r="LA327"/>
      <c r="LB327"/>
      <c r="LC327"/>
      <c r="LD327"/>
      <c r="LE327"/>
      <c r="LF327"/>
      <c r="LG327"/>
      <c r="LH327"/>
      <c r="LI327"/>
      <c r="LJ327"/>
      <c r="LK327"/>
      <c r="LL327"/>
      <c r="LM327"/>
      <c r="LN327"/>
      <c r="LO327"/>
      <c r="LP327"/>
      <c r="LQ327"/>
      <c r="LR327"/>
      <c r="LS327"/>
      <c r="LT327"/>
      <c r="LU327"/>
      <c r="LV327"/>
      <c r="LW327"/>
      <c r="LX327"/>
      <c r="LY327"/>
      <c r="LZ327"/>
      <c r="MA327"/>
      <c r="MB327"/>
      <c r="MC327"/>
      <c r="MD327"/>
      <c r="ME327"/>
      <c r="MF327"/>
      <c r="MG327"/>
      <c r="MH327"/>
      <c r="MI327"/>
      <c r="MJ327"/>
      <c r="MK327"/>
      <c r="ML327"/>
      <c r="MM327"/>
      <c r="MN327"/>
      <c r="MO327"/>
      <c r="MP327"/>
      <c r="MQ327"/>
      <c r="MR327"/>
      <c r="MS327"/>
      <c r="MT327"/>
      <c r="MU327"/>
      <c r="MV327"/>
      <c r="MW327"/>
      <c r="MX327"/>
      <c r="MY327"/>
      <c r="MZ327"/>
      <c r="NA327"/>
      <c r="NB327"/>
      <c r="NC327"/>
      <c r="ND327"/>
      <c r="NE327"/>
      <c r="NF327"/>
      <c r="NG327"/>
      <c r="NH327"/>
      <c r="NI327"/>
      <c r="NJ327"/>
      <c r="NK327"/>
      <c r="NL327"/>
      <c r="NM327"/>
      <c r="NN327"/>
      <c r="NO327"/>
      <c r="NP327"/>
      <c r="NQ327"/>
      <c r="NR327"/>
      <c r="NS327"/>
      <c r="NT327"/>
      <c r="NU327"/>
      <c r="NV327"/>
      <c r="NW327"/>
      <c r="NX327"/>
      <c r="NY327"/>
      <c r="NZ327"/>
      <c r="OA327"/>
      <c r="OB327"/>
      <c r="OC327"/>
      <c r="OD327"/>
      <c r="OE327"/>
      <c r="OF327"/>
      <c r="OG327"/>
      <c r="OH327"/>
      <c r="OI327"/>
      <c r="OJ327"/>
      <c r="OK327"/>
      <c r="OL327"/>
      <c r="OM327"/>
      <c r="ON327"/>
      <c r="OO327"/>
      <c r="OP327"/>
      <c r="OQ327"/>
      <c r="OR327"/>
      <c r="OS327"/>
      <c r="OT327"/>
      <c r="OU327"/>
      <c r="OV327"/>
      <c r="OW327"/>
      <c r="OX327"/>
      <c r="OY327"/>
      <c r="OZ327"/>
      <c r="PA327"/>
      <c r="PB327"/>
      <c r="PC327"/>
      <c r="PD327"/>
      <c r="PE327"/>
      <c r="PF327"/>
      <c r="PG327"/>
      <c r="PH327"/>
      <c r="PI327"/>
      <c r="PJ327"/>
      <c r="PK327"/>
      <c r="PL327"/>
      <c r="PM327"/>
      <c r="PN327"/>
      <c r="PO327"/>
      <c r="PP327"/>
      <c r="PQ327"/>
      <c r="PR327"/>
      <c r="PS327"/>
      <c r="PT327"/>
      <c r="PU327"/>
      <c r="PV327"/>
      <c r="PW327"/>
      <c r="PX327"/>
      <c r="PY327"/>
      <c r="PZ327"/>
      <c r="QA327"/>
      <c r="QB327"/>
      <c r="QC327"/>
      <c r="QD327"/>
      <c r="QE327"/>
      <c r="QF327"/>
      <c r="QG327"/>
      <c r="QH327"/>
      <c r="QI327"/>
      <c r="QJ327"/>
      <c r="QK327"/>
      <c r="QL327"/>
      <c r="QM327"/>
      <c r="QN327"/>
      <c r="QO327"/>
      <c r="QP327"/>
      <c r="QQ327"/>
      <c r="QR327"/>
      <c r="QS327"/>
      <c r="QT327"/>
      <c r="QU327"/>
      <c r="QV327"/>
      <c r="QW327"/>
      <c r="QX327"/>
      <c r="QY327"/>
      <c r="QZ327"/>
      <c r="RA327"/>
      <c r="RB327"/>
      <c r="RC327"/>
      <c r="RD327"/>
      <c r="RE327"/>
      <c r="RF327"/>
      <c r="RG327"/>
      <c r="RH327"/>
      <c r="RI327"/>
      <c r="RJ327"/>
      <c r="RK327"/>
      <c r="RL327"/>
      <c r="RM327"/>
      <c r="RN327"/>
      <c r="RO327"/>
      <c r="RP327"/>
      <c r="RQ327"/>
      <c r="RR327"/>
      <c r="RS327"/>
      <c r="RT327"/>
      <c r="RU327"/>
      <c r="RV327"/>
      <c r="RW327"/>
      <c r="RX327"/>
      <c r="RY327"/>
      <c r="RZ327"/>
      <c r="SA327"/>
      <c r="SB327"/>
      <c r="SC327"/>
      <c r="SD327"/>
      <c r="SE327"/>
      <c r="SF327"/>
      <c r="SG327"/>
      <c r="SH327"/>
      <c r="SI327"/>
      <c r="SJ327"/>
      <c r="SK327"/>
      <c r="SL327"/>
      <c r="SM327"/>
      <c r="SN327"/>
      <c r="SO327"/>
      <c r="SP327"/>
      <c r="SQ327"/>
      <c r="SR327"/>
      <c r="SS327"/>
      <c r="ST327"/>
      <c r="SU327"/>
      <c r="SV327"/>
      <c r="SW327"/>
      <c r="SX327"/>
      <c r="SY327"/>
      <c r="SZ327"/>
      <c r="TA327"/>
      <c r="TB327"/>
      <c r="TC327"/>
      <c r="TD327"/>
      <c r="TE327"/>
      <c r="TF327"/>
      <c r="TG327"/>
      <c r="TH327"/>
    </row>
    <row r="328" spans="3:528" x14ac:dyDescent="0.25">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c r="KT328"/>
      <c r="KU328"/>
      <c r="KV328"/>
      <c r="KW328"/>
      <c r="KX328"/>
      <c r="KY328"/>
      <c r="KZ328"/>
      <c r="LA328"/>
      <c r="LB328"/>
      <c r="LC328"/>
      <c r="LD328"/>
      <c r="LE328"/>
      <c r="LF328"/>
      <c r="LG328"/>
      <c r="LH328"/>
      <c r="LI328"/>
      <c r="LJ328"/>
      <c r="LK328"/>
      <c r="LL328"/>
      <c r="LM328"/>
      <c r="LN328"/>
      <c r="LO328"/>
      <c r="LP328"/>
      <c r="LQ328"/>
      <c r="LR328"/>
      <c r="LS328"/>
      <c r="LT328"/>
      <c r="LU328"/>
      <c r="LV328"/>
      <c r="LW328"/>
      <c r="LX328"/>
      <c r="LY328"/>
      <c r="LZ328"/>
      <c r="MA328"/>
      <c r="MB328"/>
      <c r="MC328"/>
      <c r="MD328"/>
      <c r="ME328"/>
      <c r="MF328"/>
      <c r="MG328"/>
      <c r="MH328"/>
      <c r="MI328"/>
      <c r="MJ328"/>
      <c r="MK328"/>
      <c r="ML328"/>
      <c r="MM328"/>
      <c r="MN328"/>
      <c r="MO328"/>
      <c r="MP328"/>
      <c r="MQ328"/>
      <c r="MR328"/>
      <c r="MS328"/>
      <c r="MT328"/>
      <c r="MU328"/>
      <c r="MV328"/>
      <c r="MW328"/>
      <c r="MX328"/>
      <c r="MY328"/>
      <c r="MZ328"/>
      <c r="NA328"/>
      <c r="NB328"/>
      <c r="NC328"/>
      <c r="ND328"/>
      <c r="NE328"/>
      <c r="NF328"/>
      <c r="NG328"/>
      <c r="NH328"/>
      <c r="NI328"/>
      <c r="NJ328"/>
      <c r="NK328"/>
      <c r="NL328"/>
      <c r="NM328"/>
      <c r="NN328"/>
      <c r="NO328"/>
      <c r="NP328"/>
      <c r="NQ328"/>
      <c r="NR328"/>
      <c r="NS328"/>
      <c r="NT328"/>
      <c r="NU328"/>
      <c r="NV328"/>
      <c r="NW328"/>
      <c r="NX328"/>
      <c r="NY328"/>
      <c r="NZ328"/>
      <c r="OA328"/>
      <c r="OB328"/>
      <c r="OC328"/>
      <c r="OD328"/>
      <c r="OE328"/>
      <c r="OF328"/>
      <c r="OG328"/>
      <c r="OH328"/>
      <c r="OI328"/>
      <c r="OJ328"/>
      <c r="OK328"/>
      <c r="OL328"/>
      <c r="OM328"/>
      <c r="ON328"/>
      <c r="OO328"/>
      <c r="OP328"/>
      <c r="OQ328"/>
      <c r="OR328"/>
      <c r="OS328"/>
      <c r="OT328"/>
      <c r="OU328"/>
      <c r="OV328"/>
      <c r="OW328"/>
      <c r="OX328"/>
      <c r="OY328"/>
      <c r="OZ328"/>
      <c r="PA328"/>
      <c r="PB328"/>
      <c r="PC328"/>
      <c r="PD328"/>
      <c r="PE328"/>
      <c r="PF328"/>
      <c r="PG328"/>
      <c r="PH328"/>
      <c r="PI328"/>
      <c r="PJ328"/>
      <c r="PK328"/>
      <c r="PL328"/>
      <c r="PM328"/>
      <c r="PN328"/>
      <c r="PO328"/>
      <c r="PP328"/>
      <c r="PQ328"/>
      <c r="PR328"/>
      <c r="PS328"/>
      <c r="PT328"/>
      <c r="PU328"/>
      <c r="PV328"/>
      <c r="PW328"/>
      <c r="PX328"/>
      <c r="PY328"/>
      <c r="PZ328"/>
      <c r="QA328"/>
      <c r="QB328"/>
      <c r="QC328"/>
      <c r="QD328"/>
      <c r="QE328"/>
      <c r="QF328"/>
      <c r="QG328"/>
      <c r="QH328"/>
      <c r="QI328"/>
      <c r="QJ328"/>
      <c r="QK328"/>
      <c r="QL328"/>
      <c r="QM328"/>
      <c r="QN328"/>
      <c r="QO328"/>
      <c r="QP328"/>
      <c r="QQ328"/>
      <c r="QR328"/>
      <c r="QS328"/>
      <c r="QT328"/>
      <c r="QU328"/>
      <c r="QV328"/>
      <c r="QW328"/>
      <c r="QX328"/>
      <c r="QY328"/>
      <c r="QZ328"/>
      <c r="RA328"/>
      <c r="RB328"/>
      <c r="RC328"/>
      <c r="RD328"/>
      <c r="RE328"/>
      <c r="RF328"/>
      <c r="RG328"/>
      <c r="RH328"/>
      <c r="RI328"/>
      <c r="RJ328"/>
      <c r="RK328"/>
      <c r="RL328"/>
      <c r="RM328"/>
      <c r="RN328"/>
      <c r="RO328"/>
      <c r="RP328"/>
      <c r="RQ328"/>
      <c r="RR328"/>
      <c r="RS328"/>
      <c r="RT328"/>
      <c r="RU328"/>
      <c r="RV328"/>
      <c r="RW328"/>
      <c r="RX328"/>
      <c r="RY328"/>
      <c r="RZ328"/>
      <c r="SA328"/>
      <c r="SB328"/>
      <c r="SC328"/>
      <c r="SD328"/>
      <c r="SE328"/>
      <c r="SF328"/>
      <c r="SG328"/>
      <c r="SH328"/>
      <c r="SI328"/>
      <c r="SJ328"/>
      <c r="SK328"/>
      <c r="SL328"/>
      <c r="SM328"/>
      <c r="SN328"/>
      <c r="SO328"/>
      <c r="SP328"/>
      <c r="SQ328"/>
      <c r="SR328"/>
      <c r="SS328"/>
      <c r="ST328"/>
      <c r="SU328"/>
      <c r="SV328"/>
      <c r="SW328"/>
      <c r="SX328"/>
      <c r="SY328"/>
      <c r="SZ328"/>
      <c r="TA328"/>
      <c r="TB328"/>
      <c r="TC328"/>
      <c r="TD328"/>
      <c r="TE328"/>
      <c r="TF328"/>
      <c r="TG328"/>
      <c r="TH328"/>
    </row>
    <row r="329" spans="3:528" x14ac:dyDescent="0.25">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c r="KT329"/>
      <c r="KU329"/>
      <c r="KV329"/>
      <c r="KW329"/>
      <c r="KX329"/>
      <c r="KY329"/>
      <c r="KZ329"/>
      <c r="LA329"/>
      <c r="LB329"/>
      <c r="LC329"/>
      <c r="LD329"/>
      <c r="LE329"/>
      <c r="LF329"/>
      <c r="LG329"/>
      <c r="LH329"/>
      <c r="LI329"/>
      <c r="LJ329"/>
      <c r="LK329"/>
      <c r="LL329"/>
      <c r="LM329"/>
      <c r="LN329"/>
      <c r="LO329"/>
      <c r="LP329"/>
      <c r="LQ329"/>
      <c r="LR329"/>
      <c r="LS329"/>
      <c r="LT329"/>
      <c r="LU329"/>
      <c r="LV329"/>
      <c r="LW329"/>
      <c r="LX329"/>
      <c r="LY329"/>
      <c r="LZ329"/>
      <c r="MA329"/>
      <c r="MB329"/>
      <c r="MC329"/>
      <c r="MD329"/>
      <c r="ME329"/>
      <c r="MF329"/>
      <c r="MG329"/>
      <c r="MH329"/>
      <c r="MI329"/>
      <c r="MJ329"/>
      <c r="MK329"/>
      <c r="ML329"/>
      <c r="MM329"/>
      <c r="MN329"/>
      <c r="MO329"/>
      <c r="MP329"/>
      <c r="MQ329"/>
      <c r="MR329"/>
      <c r="MS329"/>
      <c r="MT329"/>
      <c r="MU329"/>
      <c r="MV329"/>
      <c r="MW329"/>
      <c r="MX329"/>
      <c r="MY329"/>
      <c r="MZ329"/>
      <c r="NA329"/>
      <c r="NB329"/>
      <c r="NC329"/>
      <c r="ND329"/>
      <c r="NE329"/>
      <c r="NF329"/>
      <c r="NG329"/>
      <c r="NH329"/>
      <c r="NI329"/>
      <c r="NJ329"/>
      <c r="NK329"/>
      <c r="NL329"/>
      <c r="NM329"/>
      <c r="NN329"/>
      <c r="NO329"/>
      <c r="NP329"/>
      <c r="NQ329"/>
      <c r="NR329"/>
      <c r="NS329"/>
      <c r="NT329"/>
      <c r="NU329"/>
      <c r="NV329"/>
      <c r="NW329"/>
      <c r="NX329"/>
      <c r="NY329"/>
      <c r="NZ329"/>
      <c r="OA329"/>
      <c r="OB329"/>
      <c r="OC329"/>
      <c r="OD329"/>
      <c r="OE329"/>
      <c r="OF329"/>
      <c r="OG329"/>
      <c r="OH329"/>
      <c r="OI329"/>
      <c r="OJ329"/>
      <c r="OK329"/>
      <c r="OL329"/>
      <c r="OM329"/>
      <c r="ON329"/>
      <c r="OO329"/>
      <c r="OP329"/>
      <c r="OQ329"/>
      <c r="OR329"/>
      <c r="OS329"/>
      <c r="OT329"/>
      <c r="OU329"/>
      <c r="OV329"/>
      <c r="OW329"/>
      <c r="OX329"/>
      <c r="OY329"/>
      <c r="OZ329"/>
      <c r="PA329"/>
      <c r="PB329"/>
      <c r="PC329"/>
      <c r="PD329"/>
      <c r="PE329"/>
      <c r="PF329"/>
      <c r="PG329"/>
      <c r="PH329"/>
      <c r="PI329"/>
      <c r="PJ329"/>
      <c r="PK329"/>
      <c r="PL329"/>
      <c r="PM329"/>
      <c r="PN329"/>
      <c r="PO329"/>
      <c r="PP329"/>
      <c r="PQ329"/>
      <c r="PR329"/>
      <c r="PS329"/>
      <c r="PT329"/>
      <c r="PU329"/>
      <c r="PV329"/>
      <c r="PW329"/>
      <c r="PX329"/>
      <c r="PY329"/>
      <c r="PZ329"/>
      <c r="QA329"/>
      <c r="QB329"/>
      <c r="QC329"/>
      <c r="QD329"/>
      <c r="QE329"/>
      <c r="QF329"/>
      <c r="QG329"/>
      <c r="QH329"/>
      <c r="QI329"/>
      <c r="QJ329"/>
      <c r="QK329"/>
      <c r="QL329"/>
      <c r="QM329"/>
      <c r="QN329"/>
      <c r="QO329"/>
      <c r="QP329"/>
      <c r="QQ329"/>
      <c r="QR329"/>
      <c r="QS329"/>
      <c r="QT329"/>
      <c r="QU329"/>
      <c r="QV329"/>
      <c r="QW329"/>
      <c r="QX329"/>
      <c r="QY329"/>
      <c r="QZ329"/>
      <c r="RA329"/>
      <c r="RB329"/>
      <c r="RC329"/>
      <c r="RD329"/>
      <c r="RE329"/>
      <c r="RF329"/>
      <c r="RG329"/>
      <c r="RH329"/>
      <c r="RI329"/>
      <c r="RJ329"/>
      <c r="RK329"/>
      <c r="RL329"/>
      <c r="RM329"/>
      <c r="RN329"/>
      <c r="RO329"/>
      <c r="RP329"/>
      <c r="RQ329"/>
      <c r="RR329"/>
      <c r="RS329"/>
      <c r="RT329"/>
      <c r="RU329"/>
      <c r="RV329"/>
      <c r="RW329"/>
      <c r="RX329"/>
      <c r="RY329"/>
      <c r="RZ329"/>
      <c r="SA329"/>
      <c r="SB329"/>
      <c r="SC329"/>
      <c r="SD329"/>
      <c r="SE329"/>
      <c r="SF329"/>
      <c r="SG329"/>
      <c r="SH329"/>
      <c r="SI329"/>
      <c r="SJ329"/>
      <c r="SK329"/>
      <c r="SL329"/>
      <c r="SM329"/>
      <c r="SN329"/>
      <c r="SO329"/>
      <c r="SP329"/>
      <c r="SQ329"/>
      <c r="SR329"/>
      <c r="SS329"/>
      <c r="ST329"/>
      <c r="SU329"/>
      <c r="SV329"/>
      <c r="SW329"/>
      <c r="SX329"/>
      <c r="SY329"/>
      <c r="SZ329"/>
      <c r="TA329"/>
      <c r="TB329"/>
      <c r="TC329"/>
      <c r="TD329"/>
      <c r="TE329"/>
      <c r="TF329"/>
      <c r="TG329"/>
      <c r="TH329"/>
    </row>
    <row r="330" spans="3:528" x14ac:dyDescent="0.25">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c r="KT330"/>
      <c r="KU330"/>
      <c r="KV330"/>
      <c r="KW330"/>
      <c r="KX330"/>
      <c r="KY330"/>
      <c r="KZ330"/>
      <c r="LA330"/>
      <c r="LB330"/>
      <c r="LC330"/>
      <c r="LD330"/>
      <c r="LE330"/>
      <c r="LF330"/>
      <c r="LG330"/>
      <c r="LH330"/>
      <c r="LI330"/>
      <c r="LJ330"/>
      <c r="LK330"/>
      <c r="LL330"/>
      <c r="LM330"/>
      <c r="LN330"/>
      <c r="LO330"/>
      <c r="LP330"/>
      <c r="LQ330"/>
      <c r="LR330"/>
      <c r="LS330"/>
      <c r="LT330"/>
      <c r="LU330"/>
      <c r="LV330"/>
      <c r="LW330"/>
      <c r="LX330"/>
      <c r="LY330"/>
      <c r="LZ330"/>
      <c r="MA330"/>
      <c r="MB330"/>
      <c r="MC330"/>
      <c r="MD330"/>
      <c r="ME330"/>
      <c r="MF330"/>
      <c r="MG330"/>
      <c r="MH330"/>
      <c r="MI330"/>
      <c r="MJ330"/>
      <c r="MK330"/>
      <c r="ML330"/>
      <c r="MM330"/>
      <c r="MN330"/>
      <c r="MO330"/>
      <c r="MP330"/>
      <c r="MQ330"/>
      <c r="MR330"/>
      <c r="MS330"/>
      <c r="MT330"/>
      <c r="MU330"/>
      <c r="MV330"/>
      <c r="MW330"/>
      <c r="MX330"/>
      <c r="MY330"/>
      <c r="MZ330"/>
      <c r="NA330"/>
      <c r="NB330"/>
      <c r="NC330"/>
      <c r="ND330"/>
      <c r="NE330"/>
      <c r="NF330"/>
      <c r="NG330"/>
      <c r="NH330"/>
      <c r="NI330"/>
      <c r="NJ330"/>
      <c r="NK330"/>
      <c r="NL330"/>
      <c r="NM330"/>
      <c r="NN330"/>
      <c r="NO330"/>
      <c r="NP330"/>
      <c r="NQ330"/>
      <c r="NR330"/>
      <c r="NS330"/>
      <c r="NT330"/>
      <c r="NU330"/>
      <c r="NV330"/>
      <c r="NW330"/>
      <c r="NX330"/>
      <c r="NY330"/>
      <c r="NZ330"/>
      <c r="OA330"/>
      <c r="OB330"/>
      <c r="OC330"/>
      <c r="OD330"/>
      <c r="OE330"/>
      <c r="OF330"/>
      <c r="OG330"/>
      <c r="OH330"/>
      <c r="OI330"/>
      <c r="OJ330"/>
      <c r="OK330"/>
      <c r="OL330"/>
      <c r="OM330"/>
      <c r="ON330"/>
      <c r="OO330"/>
      <c r="OP330"/>
      <c r="OQ330"/>
      <c r="OR330"/>
      <c r="OS330"/>
      <c r="OT330"/>
      <c r="OU330"/>
      <c r="OV330"/>
      <c r="OW330"/>
      <c r="OX330"/>
      <c r="OY330"/>
      <c r="OZ330"/>
      <c r="PA330"/>
      <c r="PB330"/>
      <c r="PC330"/>
      <c r="PD330"/>
      <c r="PE330"/>
      <c r="PF330"/>
      <c r="PG330"/>
      <c r="PH330"/>
      <c r="PI330"/>
      <c r="PJ330"/>
      <c r="PK330"/>
      <c r="PL330"/>
      <c r="PM330"/>
      <c r="PN330"/>
      <c r="PO330"/>
      <c r="PP330"/>
      <c r="PQ330"/>
      <c r="PR330"/>
      <c r="PS330"/>
      <c r="PT330"/>
      <c r="PU330"/>
      <c r="PV330"/>
      <c r="PW330"/>
      <c r="PX330"/>
      <c r="PY330"/>
      <c r="PZ330"/>
      <c r="QA330"/>
      <c r="QB330"/>
      <c r="QC330"/>
      <c r="QD330"/>
      <c r="QE330"/>
      <c r="QF330"/>
      <c r="QG330"/>
      <c r="QH330"/>
      <c r="QI330"/>
      <c r="QJ330"/>
      <c r="QK330"/>
      <c r="QL330"/>
      <c r="QM330"/>
      <c r="QN330"/>
      <c r="QO330"/>
      <c r="QP330"/>
      <c r="QQ330"/>
      <c r="QR330"/>
      <c r="QS330"/>
      <c r="QT330"/>
      <c r="QU330"/>
      <c r="QV330"/>
      <c r="QW330"/>
      <c r="QX330"/>
      <c r="QY330"/>
      <c r="QZ330"/>
      <c r="RA330"/>
      <c r="RB330"/>
      <c r="RC330"/>
      <c r="RD330"/>
      <c r="RE330"/>
      <c r="RF330"/>
      <c r="RG330"/>
      <c r="RH330"/>
      <c r="RI330"/>
      <c r="RJ330"/>
      <c r="RK330"/>
      <c r="RL330"/>
      <c r="RM330"/>
      <c r="RN330"/>
      <c r="RO330"/>
      <c r="RP330"/>
      <c r="RQ330"/>
      <c r="RR330"/>
      <c r="RS330"/>
      <c r="RT330"/>
      <c r="RU330"/>
      <c r="RV330"/>
      <c r="RW330"/>
      <c r="RX330"/>
      <c r="RY330"/>
      <c r="RZ330"/>
      <c r="SA330"/>
      <c r="SB330"/>
      <c r="SC330"/>
      <c r="SD330"/>
      <c r="SE330"/>
      <c r="SF330"/>
      <c r="SG330"/>
      <c r="SH330"/>
      <c r="SI330"/>
      <c r="SJ330"/>
      <c r="SK330"/>
      <c r="SL330"/>
      <c r="SM330"/>
      <c r="SN330"/>
      <c r="SO330"/>
      <c r="SP330"/>
      <c r="SQ330"/>
      <c r="SR330"/>
      <c r="SS330"/>
      <c r="ST330"/>
      <c r="SU330"/>
      <c r="SV330"/>
      <c r="SW330"/>
      <c r="SX330"/>
      <c r="SY330"/>
      <c r="SZ330"/>
      <c r="TA330"/>
      <c r="TB330"/>
      <c r="TC330"/>
      <c r="TD330"/>
      <c r="TE330"/>
      <c r="TF330"/>
      <c r="TG330"/>
      <c r="TH330"/>
    </row>
    <row r="331" spans="3:528" x14ac:dyDescent="0.25">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c r="KT331"/>
      <c r="KU331"/>
      <c r="KV331"/>
      <c r="KW331"/>
      <c r="KX331"/>
      <c r="KY331"/>
      <c r="KZ331"/>
      <c r="LA331"/>
      <c r="LB331"/>
      <c r="LC331"/>
      <c r="LD331"/>
      <c r="LE331"/>
      <c r="LF331"/>
      <c r="LG331"/>
      <c r="LH331"/>
      <c r="LI331"/>
      <c r="LJ331"/>
      <c r="LK331"/>
      <c r="LL331"/>
      <c r="LM331"/>
      <c r="LN331"/>
      <c r="LO331"/>
      <c r="LP331"/>
      <c r="LQ331"/>
      <c r="LR331"/>
      <c r="LS331"/>
      <c r="LT331"/>
      <c r="LU331"/>
      <c r="LV331"/>
      <c r="LW331"/>
      <c r="LX331"/>
      <c r="LY331"/>
      <c r="LZ331"/>
      <c r="MA331"/>
      <c r="MB331"/>
      <c r="MC331"/>
      <c r="MD331"/>
      <c r="ME331"/>
      <c r="MF331"/>
      <c r="MG331"/>
      <c r="MH331"/>
      <c r="MI331"/>
      <c r="MJ331"/>
      <c r="MK331"/>
      <c r="ML331"/>
      <c r="MM331"/>
      <c r="MN331"/>
      <c r="MO331"/>
      <c r="MP331"/>
      <c r="MQ331"/>
      <c r="MR331"/>
      <c r="MS331"/>
      <c r="MT331"/>
      <c r="MU331"/>
      <c r="MV331"/>
      <c r="MW331"/>
      <c r="MX331"/>
      <c r="MY331"/>
      <c r="MZ331"/>
      <c r="NA331"/>
      <c r="NB331"/>
      <c r="NC331"/>
      <c r="ND331"/>
      <c r="NE331"/>
      <c r="NF331"/>
      <c r="NG331"/>
      <c r="NH331"/>
      <c r="NI331"/>
      <c r="NJ331"/>
      <c r="NK331"/>
      <c r="NL331"/>
      <c r="NM331"/>
      <c r="NN331"/>
      <c r="NO331"/>
      <c r="NP331"/>
      <c r="NQ331"/>
      <c r="NR331"/>
      <c r="NS331"/>
      <c r="NT331"/>
      <c r="NU331"/>
      <c r="NV331"/>
      <c r="NW331"/>
      <c r="NX331"/>
      <c r="NY331"/>
      <c r="NZ331"/>
      <c r="OA331"/>
      <c r="OB331"/>
      <c r="OC331"/>
      <c r="OD331"/>
      <c r="OE331"/>
      <c r="OF331"/>
      <c r="OG331"/>
      <c r="OH331"/>
      <c r="OI331"/>
      <c r="OJ331"/>
      <c r="OK331"/>
      <c r="OL331"/>
      <c r="OM331"/>
      <c r="ON331"/>
      <c r="OO331"/>
      <c r="OP331"/>
      <c r="OQ331"/>
      <c r="OR331"/>
      <c r="OS331"/>
      <c r="OT331"/>
      <c r="OU331"/>
      <c r="OV331"/>
      <c r="OW331"/>
      <c r="OX331"/>
      <c r="OY331"/>
      <c r="OZ331"/>
      <c r="PA331"/>
      <c r="PB331"/>
      <c r="PC331"/>
      <c r="PD331"/>
      <c r="PE331"/>
      <c r="PF331"/>
      <c r="PG331"/>
      <c r="PH331"/>
      <c r="PI331"/>
      <c r="PJ331"/>
      <c r="PK331"/>
      <c r="PL331"/>
      <c r="PM331"/>
      <c r="PN331"/>
      <c r="PO331"/>
      <c r="PP331"/>
      <c r="PQ331"/>
      <c r="PR331"/>
      <c r="PS331"/>
      <c r="PT331"/>
      <c r="PU331"/>
      <c r="PV331"/>
      <c r="PW331"/>
      <c r="PX331"/>
      <c r="PY331"/>
      <c r="PZ331"/>
      <c r="QA331"/>
      <c r="QB331"/>
      <c r="QC331"/>
      <c r="QD331"/>
      <c r="QE331"/>
      <c r="QF331"/>
      <c r="QG331"/>
      <c r="QH331"/>
      <c r="QI331"/>
      <c r="QJ331"/>
      <c r="QK331"/>
      <c r="QL331"/>
      <c r="QM331"/>
      <c r="QN331"/>
      <c r="QO331"/>
      <c r="QP331"/>
      <c r="QQ331"/>
      <c r="QR331"/>
      <c r="QS331"/>
      <c r="QT331"/>
      <c r="QU331"/>
      <c r="QV331"/>
      <c r="QW331"/>
      <c r="QX331"/>
      <c r="QY331"/>
      <c r="QZ331"/>
      <c r="RA331"/>
      <c r="RB331"/>
      <c r="RC331"/>
      <c r="RD331"/>
      <c r="RE331"/>
      <c r="RF331"/>
      <c r="RG331"/>
      <c r="RH331"/>
      <c r="RI331"/>
      <c r="RJ331"/>
      <c r="RK331"/>
      <c r="RL331"/>
      <c r="RM331"/>
      <c r="RN331"/>
      <c r="RO331"/>
      <c r="RP331"/>
      <c r="RQ331"/>
      <c r="RR331"/>
      <c r="RS331"/>
      <c r="RT331"/>
      <c r="RU331"/>
      <c r="RV331"/>
      <c r="RW331"/>
      <c r="RX331"/>
      <c r="RY331"/>
      <c r="RZ331"/>
      <c r="SA331"/>
      <c r="SB331"/>
      <c r="SC331"/>
      <c r="SD331"/>
      <c r="SE331"/>
      <c r="SF331"/>
      <c r="SG331"/>
      <c r="SH331"/>
      <c r="SI331"/>
      <c r="SJ331"/>
      <c r="SK331"/>
      <c r="SL331"/>
      <c r="SM331"/>
      <c r="SN331"/>
      <c r="SO331"/>
      <c r="SP331"/>
      <c r="SQ331"/>
      <c r="SR331"/>
      <c r="SS331"/>
      <c r="ST331"/>
      <c r="SU331"/>
      <c r="SV331"/>
      <c r="SW331"/>
      <c r="SX331"/>
      <c r="SY331"/>
      <c r="SZ331"/>
      <c r="TA331"/>
      <c r="TB331"/>
      <c r="TC331"/>
      <c r="TD331"/>
      <c r="TE331"/>
      <c r="TF331"/>
      <c r="TG331"/>
      <c r="TH331"/>
    </row>
    <row r="332" spans="3:528" x14ac:dyDescent="0.25">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c r="KT332"/>
      <c r="KU332"/>
      <c r="KV332"/>
      <c r="KW332"/>
      <c r="KX332"/>
      <c r="KY332"/>
      <c r="KZ332"/>
      <c r="LA332"/>
      <c r="LB332"/>
      <c r="LC332"/>
      <c r="LD332"/>
      <c r="LE332"/>
      <c r="LF332"/>
      <c r="LG332"/>
      <c r="LH332"/>
      <c r="LI332"/>
      <c r="LJ332"/>
      <c r="LK332"/>
      <c r="LL332"/>
      <c r="LM332"/>
      <c r="LN332"/>
      <c r="LO332"/>
      <c r="LP332"/>
      <c r="LQ332"/>
      <c r="LR332"/>
      <c r="LS332"/>
      <c r="LT332"/>
      <c r="LU332"/>
      <c r="LV332"/>
      <c r="LW332"/>
      <c r="LX332"/>
      <c r="LY332"/>
      <c r="LZ332"/>
      <c r="MA332"/>
      <c r="MB332"/>
      <c r="MC332"/>
      <c r="MD332"/>
      <c r="ME332"/>
      <c r="MF332"/>
      <c r="MG332"/>
      <c r="MH332"/>
      <c r="MI332"/>
      <c r="MJ332"/>
      <c r="MK332"/>
      <c r="ML332"/>
      <c r="MM332"/>
      <c r="MN332"/>
      <c r="MO332"/>
      <c r="MP332"/>
      <c r="MQ332"/>
      <c r="MR332"/>
      <c r="MS332"/>
      <c r="MT332"/>
      <c r="MU332"/>
      <c r="MV332"/>
      <c r="MW332"/>
      <c r="MX332"/>
      <c r="MY332"/>
      <c r="MZ332"/>
      <c r="NA332"/>
      <c r="NB332"/>
      <c r="NC332"/>
      <c r="ND332"/>
      <c r="NE332"/>
      <c r="NF332"/>
      <c r="NG332"/>
      <c r="NH332"/>
      <c r="NI332"/>
      <c r="NJ332"/>
      <c r="NK332"/>
      <c r="NL332"/>
      <c r="NM332"/>
      <c r="NN332"/>
      <c r="NO332"/>
      <c r="NP332"/>
      <c r="NQ332"/>
      <c r="NR332"/>
      <c r="NS332"/>
      <c r="NT332"/>
      <c r="NU332"/>
      <c r="NV332"/>
      <c r="NW332"/>
      <c r="NX332"/>
      <c r="NY332"/>
      <c r="NZ332"/>
      <c r="OA332"/>
      <c r="OB332"/>
      <c r="OC332"/>
      <c r="OD332"/>
      <c r="OE332"/>
      <c r="OF332"/>
      <c r="OG332"/>
      <c r="OH332"/>
      <c r="OI332"/>
      <c r="OJ332"/>
      <c r="OK332"/>
      <c r="OL332"/>
      <c r="OM332"/>
      <c r="ON332"/>
      <c r="OO332"/>
      <c r="OP332"/>
      <c r="OQ332"/>
      <c r="OR332"/>
      <c r="OS332"/>
      <c r="OT332"/>
      <c r="OU332"/>
      <c r="OV332"/>
      <c r="OW332"/>
      <c r="OX332"/>
      <c r="OY332"/>
      <c r="OZ332"/>
      <c r="PA332"/>
      <c r="PB332"/>
      <c r="PC332"/>
      <c r="PD332"/>
      <c r="PE332"/>
      <c r="PF332"/>
      <c r="PG332"/>
      <c r="PH332"/>
      <c r="PI332"/>
      <c r="PJ332"/>
      <c r="PK332"/>
      <c r="PL332"/>
      <c r="PM332"/>
      <c r="PN332"/>
      <c r="PO332"/>
      <c r="PP332"/>
      <c r="PQ332"/>
      <c r="PR332"/>
      <c r="PS332"/>
      <c r="PT332"/>
      <c r="PU332"/>
      <c r="PV332"/>
      <c r="PW332"/>
      <c r="PX332"/>
      <c r="PY332"/>
      <c r="PZ332"/>
      <c r="QA332"/>
      <c r="QB332"/>
      <c r="QC332"/>
      <c r="QD332"/>
      <c r="QE332"/>
      <c r="QF332"/>
      <c r="QG332"/>
      <c r="QH332"/>
      <c r="QI332"/>
      <c r="QJ332"/>
      <c r="QK332"/>
      <c r="QL332"/>
      <c r="QM332"/>
      <c r="QN332"/>
      <c r="QO332"/>
      <c r="QP332"/>
      <c r="QQ332"/>
      <c r="QR332"/>
      <c r="QS332"/>
      <c r="QT332"/>
      <c r="QU332"/>
      <c r="QV332"/>
      <c r="QW332"/>
      <c r="QX332"/>
      <c r="QY332"/>
      <c r="QZ332"/>
      <c r="RA332"/>
      <c r="RB332"/>
      <c r="RC332"/>
      <c r="RD332"/>
      <c r="RE332"/>
      <c r="RF332"/>
      <c r="RG332"/>
      <c r="RH332"/>
      <c r="RI332"/>
      <c r="RJ332"/>
      <c r="RK332"/>
      <c r="RL332"/>
      <c r="RM332"/>
      <c r="RN332"/>
      <c r="RO332"/>
      <c r="RP332"/>
      <c r="RQ332"/>
      <c r="RR332"/>
      <c r="RS332"/>
      <c r="RT332"/>
      <c r="RU332"/>
      <c r="RV332"/>
      <c r="RW332"/>
      <c r="RX332"/>
      <c r="RY332"/>
      <c r="RZ332"/>
      <c r="SA332"/>
      <c r="SB332"/>
      <c r="SC332"/>
      <c r="SD332"/>
      <c r="SE332"/>
      <c r="SF332"/>
      <c r="SG332"/>
      <c r="SH332"/>
      <c r="SI332"/>
      <c r="SJ332"/>
      <c r="SK332"/>
      <c r="SL332"/>
      <c r="SM332"/>
      <c r="SN332"/>
      <c r="SO332"/>
      <c r="SP332"/>
      <c r="SQ332"/>
      <c r="SR332"/>
      <c r="SS332"/>
      <c r="ST332"/>
      <c r="SU332"/>
      <c r="SV332"/>
      <c r="SW332"/>
      <c r="SX332"/>
      <c r="SY332"/>
      <c r="SZ332"/>
      <c r="TA332"/>
      <c r="TB332"/>
      <c r="TC332"/>
      <c r="TD332"/>
      <c r="TE332"/>
      <c r="TF332"/>
      <c r="TG332"/>
      <c r="TH332"/>
    </row>
    <row r="333" spans="3:528" x14ac:dyDescent="0.25">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c r="KT333"/>
      <c r="KU333"/>
      <c r="KV333"/>
      <c r="KW333"/>
      <c r="KX333"/>
      <c r="KY333"/>
      <c r="KZ333"/>
      <c r="LA333"/>
      <c r="LB333"/>
      <c r="LC333"/>
      <c r="LD333"/>
      <c r="LE333"/>
      <c r="LF333"/>
      <c r="LG333"/>
      <c r="LH333"/>
      <c r="LI333"/>
      <c r="LJ333"/>
      <c r="LK333"/>
      <c r="LL333"/>
      <c r="LM333"/>
      <c r="LN333"/>
      <c r="LO333"/>
      <c r="LP333"/>
      <c r="LQ333"/>
      <c r="LR333"/>
      <c r="LS333"/>
      <c r="LT333"/>
      <c r="LU333"/>
      <c r="LV333"/>
      <c r="LW333"/>
      <c r="LX333"/>
      <c r="LY333"/>
      <c r="LZ333"/>
      <c r="MA333"/>
      <c r="MB333"/>
      <c r="MC333"/>
      <c r="MD333"/>
      <c r="ME333"/>
      <c r="MF333"/>
      <c r="MG333"/>
      <c r="MH333"/>
      <c r="MI333"/>
      <c r="MJ333"/>
      <c r="MK333"/>
      <c r="ML333"/>
      <c r="MM333"/>
      <c r="MN333"/>
      <c r="MO333"/>
      <c r="MP333"/>
      <c r="MQ333"/>
      <c r="MR333"/>
      <c r="MS333"/>
      <c r="MT333"/>
      <c r="MU333"/>
      <c r="MV333"/>
      <c r="MW333"/>
      <c r="MX333"/>
      <c r="MY333"/>
      <c r="MZ333"/>
      <c r="NA333"/>
      <c r="NB333"/>
      <c r="NC333"/>
      <c r="ND333"/>
      <c r="NE333"/>
      <c r="NF333"/>
      <c r="NG333"/>
      <c r="NH333"/>
      <c r="NI333"/>
      <c r="NJ333"/>
      <c r="NK333"/>
      <c r="NL333"/>
      <c r="NM333"/>
      <c r="NN333"/>
      <c r="NO333"/>
      <c r="NP333"/>
      <c r="NQ333"/>
      <c r="NR333"/>
      <c r="NS333"/>
      <c r="NT333"/>
      <c r="NU333"/>
      <c r="NV333"/>
      <c r="NW333"/>
      <c r="NX333"/>
      <c r="NY333"/>
      <c r="NZ333"/>
      <c r="OA333"/>
      <c r="OB333"/>
      <c r="OC333"/>
      <c r="OD333"/>
      <c r="OE333"/>
      <c r="OF333"/>
      <c r="OG333"/>
      <c r="OH333"/>
      <c r="OI333"/>
      <c r="OJ333"/>
      <c r="OK333"/>
      <c r="OL333"/>
      <c r="OM333"/>
      <c r="ON333"/>
      <c r="OO333"/>
      <c r="OP333"/>
      <c r="OQ333"/>
      <c r="OR333"/>
      <c r="OS333"/>
      <c r="OT333"/>
      <c r="OU333"/>
      <c r="OV333"/>
      <c r="OW333"/>
      <c r="OX333"/>
      <c r="OY333"/>
      <c r="OZ333"/>
      <c r="PA333"/>
      <c r="PB333"/>
      <c r="PC333"/>
      <c r="PD333"/>
      <c r="PE333"/>
      <c r="PF333"/>
      <c r="PG333"/>
      <c r="PH333"/>
      <c r="PI333"/>
      <c r="PJ333"/>
      <c r="PK333"/>
      <c r="PL333"/>
      <c r="PM333"/>
      <c r="PN333"/>
      <c r="PO333"/>
      <c r="PP333"/>
      <c r="PQ333"/>
      <c r="PR333"/>
      <c r="PS333"/>
      <c r="PT333"/>
      <c r="PU333"/>
      <c r="PV333"/>
      <c r="PW333"/>
      <c r="PX333"/>
      <c r="PY333"/>
      <c r="PZ333"/>
      <c r="QA333"/>
      <c r="QB333"/>
      <c r="QC333"/>
      <c r="QD333"/>
      <c r="QE333"/>
      <c r="QF333"/>
      <c r="QG333"/>
      <c r="QH333"/>
      <c r="QI333"/>
      <c r="QJ333"/>
      <c r="QK333"/>
      <c r="QL333"/>
      <c r="QM333"/>
      <c r="QN333"/>
      <c r="QO333"/>
      <c r="QP333"/>
      <c r="QQ333"/>
      <c r="QR333"/>
      <c r="QS333"/>
      <c r="QT333"/>
      <c r="QU333"/>
      <c r="QV333"/>
      <c r="QW333"/>
      <c r="QX333"/>
      <c r="QY333"/>
      <c r="QZ333"/>
      <c r="RA333"/>
      <c r="RB333"/>
      <c r="RC333"/>
      <c r="RD333"/>
      <c r="RE333"/>
      <c r="RF333"/>
      <c r="RG333"/>
      <c r="RH333"/>
      <c r="RI333"/>
      <c r="RJ333"/>
      <c r="RK333"/>
      <c r="RL333"/>
      <c r="RM333"/>
      <c r="RN333"/>
      <c r="RO333"/>
      <c r="RP333"/>
      <c r="RQ333"/>
      <c r="RR333"/>
      <c r="RS333"/>
      <c r="RT333"/>
      <c r="RU333"/>
      <c r="RV333"/>
      <c r="RW333"/>
      <c r="RX333"/>
      <c r="RY333"/>
      <c r="RZ333"/>
      <c r="SA333"/>
      <c r="SB333"/>
      <c r="SC333"/>
      <c r="SD333"/>
      <c r="SE333"/>
      <c r="SF333"/>
      <c r="SG333"/>
      <c r="SH333"/>
      <c r="SI333"/>
      <c r="SJ333"/>
      <c r="SK333"/>
      <c r="SL333"/>
      <c r="SM333"/>
      <c r="SN333"/>
      <c r="SO333"/>
      <c r="SP333"/>
      <c r="SQ333"/>
      <c r="SR333"/>
      <c r="SS333"/>
      <c r="ST333"/>
      <c r="SU333"/>
      <c r="SV333"/>
      <c r="SW333"/>
      <c r="SX333"/>
      <c r="SY333"/>
      <c r="SZ333"/>
      <c r="TA333"/>
      <c r="TB333"/>
      <c r="TC333"/>
      <c r="TD333"/>
      <c r="TE333"/>
      <c r="TF333"/>
      <c r="TG333"/>
      <c r="TH333"/>
    </row>
    <row r="334" spans="3:528" x14ac:dyDescent="0.25">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c r="KU334"/>
      <c r="KV334"/>
      <c r="KW334"/>
      <c r="KX334"/>
      <c r="KY334"/>
      <c r="KZ334"/>
      <c r="LA334"/>
      <c r="LB334"/>
      <c r="LC334"/>
      <c r="LD334"/>
      <c r="LE334"/>
      <c r="LF334"/>
      <c r="LG334"/>
      <c r="LH334"/>
      <c r="LI334"/>
      <c r="LJ334"/>
      <c r="LK334"/>
      <c r="LL334"/>
      <c r="LM334"/>
      <c r="LN334"/>
      <c r="LO334"/>
      <c r="LP334"/>
      <c r="LQ334"/>
      <c r="LR334"/>
      <c r="LS334"/>
      <c r="LT334"/>
      <c r="LU334"/>
      <c r="LV334"/>
      <c r="LW334"/>
      <c r="LX334"/>
      <c r="LY334"/>
      <c r="LZ334"/>
      <c r="MA334"/>
      <c r="MB334"/>
      <c r="MC334"/>
      <c r="MD334"/>
      <c r="ME334"/>
      <c r="MF334"/>
      <c r="MG334"/>
      <c r="MH334"/>
      <c r="MI334"/>
      <c r="MJ334"/>
      <c r="MK334"/>
      <c r="ML334"/>
      <c r="MM334"/>
      <c r="MN334"/>
      <c r="MO334"/>
      <c r="MP334"/>
      <c r="MQ334"/>
      <c r="MR334"/>
      <c r="MS334"/>
      <c r="MT334"/>
      <c r="MU334"/>
      <c r="MV334"/>
      <c r="MW334"/>
      <c r="MX334"/>
      <c r="MY334"/>
      <c r="MZ334"/>
      <c r="NA334"/>
      <c r="NB334"/>
      <c r="NC334"/>
      <c r="ND334"/>
      <c r="NE334"/>
      <c r="NF334"/>
      <c r="NG334"/>
      <c r="NH334"/>
      <c r="NI334"/>
      <c r="NJ334"/>
      <c r="NK334"/>
      <c r="NL334"/>
      <c r="NM334"/>
      <c r="NN334"/>
      <c r="NO334"/>
      <c r="NP334"/>
      <c r="NQ334"/>
      <c r="NR334"/>
      <c r="NS334"/>
      <c r="NT334"/>
      <c r="NU334"/>
      <c r="NV334"/>
      <c r="NW334"/>
      <c r="NX334"/>
      <c r="NY334"/>
      <c r="NZ334"/>
      <c r="OA334"/>
      <c r="OB334"/>
      <c r="OC334"/>
      <c r="OD334"/>
      <c r="OE334"/>
      <c r="OF334"/>
      <c r="OG334"/>
      <c r="OH334"/>
      <c r="OI334"/>
      <c r="OJ334"/>
      <c r="OK334"/>
      <c r="OL334"/>
      <c r="OM334"/>
      <c r="ON334"/>
      <c r="OO334"/>
      <c r="OP334"/>
      <c r="OQ334"/>
      <c r="OR334"/>
      <c r="OS334"/>
      <c r="OT334"/>
      <c r="OU334"/>
      <c r="OV334"/>
      <c r="OW334"/>
      <c r="OX334"/>
      <c r="OY334"/>
      <c r="OZ334"/>
      <c r="PA334"/>
      <c r="PB334"/>
      <c r="PC334"/>
      <c r="PD334"/>
      <c r="PE334"/>
      <c r="PF334"/>
      <c r="PG334"/>
      <c r="PH334"/>
      <c r="PI334"/>
      <c r="PJ334"/>
      <c r="PK334"/>
      <c r="PL334"/>
      <c r="PM334"/>
      <c r="PN334"/>
      <c r="PO334"/>
      <c r="PP334"/>
      <c r="PQ334"/>
      <c r="PR334"/>
      <c r="PS334"/>
      <c r="PT334"/>
      <c r="PU334"/>
      <c r="PV334"/>
      <c r="PW334"/>
      <c r="PX334"/>
      <c r="PY334"/>
      <c r="PZ334"/>
      <c r="QA334"/>
      <c r="QB334"/>
      <c r="QC334"/>
      <c r="QD334"/>
      <c r="QE334"/>
      <c r="QF334"/>
      <c r="QG334"/>
      <c r="QH334"/>
      <c r="QI334"/>
      <c r="QJ334"/>
      <c r="QK334"/>
      <c r="QL334"/>
      <c r="QM334"/>
      <c r="QN334"/>
      <c r="QO334"/>
      <c r="QP334"/>
      <c r="QQ334"/>
      <c r="QR334"/>
      <c r="QS334"/>
      <c r="QT334"/>
      <c r="QU334"/>
      <c r="QV334"/>
      <c r="QW334"/>
      <c r="QX334"/>
      <c r="QY334"/>
      <c r="QZ334"/>
      <c r="RA334"/>
      <c r="RB334"/>
      <c r="RC334"/>
      <c r="RD334"/>
      <c r="RE334"/>
      <c r="RF334"/>
      <c r="RG334"/>
      <c r="RH334"/>
      <c r="RI334"/>
      <c r="RJ334"/>
      <c r="RK334"/>
      <c r="RL334"/>
      <c r="RM334"/>
      <c r="RN334"/>
      <c r="RO334"/>
      <c r="RP334"/>
      <c r="RQ334"/>
      <c r="RR334"/>
      <c r="RS334"/>
      <c r="RT334"/>
      <c r="RU334"/>
      <c r="RV334"/>
      <c r="RW334"/>
      <c r="RX334"/>
      <c r="RY334"/>
      <c r="RZ334"/>
      <c r="SA334"/>
      <c r="SB334"/>
      <c r="SC334"/>
      <c r="SD334"/>
      <c r="SE334"/>
      <c r="SF334"/>
      <c r="SG334"/>
      <c r="SH334"/>
      <c r="SI334"/>
      <c r="SJ334"/>
      <c r="SK334"/>
      <c r="SL334"/>
      <c r="SM334"/>
      <c r="SN334"/>
      <c r="SO334"/>
      <c r="SP334"/>
      <c r="SQ334"/>
      <c r="SR334"/>
      <c r="SS334"/>
      <c r="ST334"/>
      <c r="SU334"/>
      <c r="SV334"/>
      <c r="SW334"/>
      <c r="SX334"/>
      <c r="SY334"/>
      <c r="SZ334"/>
      <c r="TA334"/>
      <c r="TB334"/>
      <c r="TC334"/>
      <c r="TD334"/>
      <c r="TE334"/>
      <c r="TF334"/>
      <c r="TG334"/>
      <c r="TH334"/>
    </row>
    <row r="335" spans="3:528" x14ac:dyDescent="0.2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c r="KU335"/>
      <c r="KV335"/>
      <c r="KW335"/>
      <c r="KX335"/>
      <c r="KY335"/>
      <c r="KZ335"/>
      <c r="LA335"/>
      <c r="LB335"/>
      <c r="LC335"/>
      <c r="LD335"/>
      <c r="LE335"/>
      <c r="LF335"/>
      <c r="LG335"/>
      <c r="LH335"/>
      <c r="LI335"/>
      <c r="LJ335"/>
      <c r="LK335"/>
      <c r="LL335"/>
      <c r="LM335"/>
      <c r="LN335"/>
      <c r="LO335"/>
      <c r="LP335"/>
      <c r="LQ335"/>
      <c r="LR335"/>
      <c r="LS335"/>
      <c r="LT335"/>
      <c r="LU335"/>
      <c r="LV335"/>
      <c r="LW335"/>
      <c r="LX335"/>
      <c r="LY335"/>
      <c r="LZ335"/>
      <c r="MA335"/>
      <c r="MB335"/>
      <c r="MC335"/>
      <c r="MD335"/>
      <c r="ME335"/>
      <c r="MF335"/>
      <c r="MG335"/>
      <c r="MH335"/>
      <c r="MI335"/>
      <c r="MJ335"/>
      <c r="MK335"/>
      <c r="ML335"/>
      <c r="MM335"/>
      <c r="MN335"/>
      <c r="MO335"/>
      <c r="MP335"/>
      <c r="MQ335"/>
      <c r="MR335"/>
      <c r="MS335"/>
      <c r="MT335"/>
      <c r="MU335"/>
      <c r="MV335"/>
      <c r="MW335"/>
      <c r="MX335"/>
      <c r="MY335"/>
      <c r="MZ335"/>
      <c r="NA335"/>
      <c r="NB335"/>
      <c r="NC335"/>
      <c r="ND335"/>
      <c r="NE335"/>
      <c r="NF335"/>
      <c r="NG335"/>
      <c r="NH335"/>
      <c r="NI335"/>
      <c r="NJ335"/>
      <c r="NK335"/>
      <c r="NL335"/>
      <c r="NM335"/>
      <c r="NN335"/>
      <c r="NO335"/>
      <c r="NP335"/>
      <c r="NQ335"/>
      <c r="NR335"/>
      <c r="NS335"/>
      <c r="NT335"/>
      <c r="NU335"/>
      <c r="NV335"/>
      <c r="NW335"/>
      <c r="NX335"/>
      <c r="NY335"/>
      <c r="NZ335"/>
      <c r="OA335"/>
      <c r="OB335"/>
      <c r="OC335"/>
      <c r="OD335"/>
      <c r="OE335"/>
      <c r="OF335"/>
      <c r="OG335"/>
      <c r="OH335"/>
      <c r="OI335"/>
      <c r="OJ335"/>
      <c r="OK335"/>
      <c r="OL335"/>
      <c r="OM335"/>
      <c r="ON335"/>
      <c r="OO335"/>
      <c r="OP335"/>
      <c r="OQ335"/>
      <c r="OR335"/>
      <c r="OS335"/>
      <c r="OT335"/>
      <c r="OU335"/>
      <c r="OV335"/>
      <c r="OW335"/>
      <c r="OX335"/>
      <c r="OY335"/>
      <c r="OZ335"/>
      <c r="PA335"/>
      <c r="PB335"/>
      <c r="PC335"/>
      <c r="PD335"/>
      <c r="PE335"/>
      <c r="PF335"/>
      <c r="PG335"/>
      <c r="PH335"/>
      <c r="PI335"/>
      <c r="PJ335"/>
      <c r="PK335"/>
      <c r="PL335"/>
      <c r="PM335"/>
      <c r="PN335"/>
      <c r="PO335"/>
      <c r="PP335"/>
      <c r="PQ335"/>
      <c r="PR335"/>
      <c r="PS335"/>
      <c r="PT335"/>
      <c r="PU335"/>
      <c r="PV335"/>
      <c r="PW335"/>
      <c r="PX335"/>
      <c r="PY335"/>
      <c r="PZ335"/>
      <c r="QA335"/>
      <c r="QB335"/>
      <c r="QC335"/>
      <c r="QD335"/>
      <c r="QE335"/>
      <c r="QF335"/>
      <c r="QG335"/>
      <c r="QH335"/>
      <c r="QI335"/>
      <c r="QJ335"/>
      <c r="QK335"/>
      <c r="QL335"/>
      <c r="QM335"/>
      <c r="QN335"/>
      <c r="QO335"/>
      <c r="QP335"/>
      <c r="QQ335"/>
      <c r="QR335"/>
      <c r="QS335"/>
      <c r="QT335"/>
      <c r="QU335"/>
      <c r="QV335"/>
      <c r="QW335"/>
      <c r="QX335"/>
      <c r="QY335"/>
      <c r="QZ335"/>
      <c r="RA335"/>
      <c r="RB335"/>
      <c r="RC335"/>
      <c r="RD335"/>
      <c r="RE335"/>
      <c r="RF335"/>
      <c r="RG335"/>
      <c r="RH335"/>
      <c r="RI335"/>
      <c r="RJ335"/>
      <c r="RK335"/>
      <c r="RL335"/>
      <c r="RM335"/>
      <c r="RN335"/>
      <c r="RO335"/>
      <c r="RP335"/>
      <c r="RQ335"/>
      <c r="RR335"/>
      <c r="RS335"/>
      <c r="RT335"/>
      <c r="RU335"/>
      <c r="RV335"/>
      <c r="RW335"/>
      <c r="RX335"/>
      <c r="RY335"/>
      <c r="RZ335"/>
      <c r="SA335"/>
      <c r="SB335"/>
      <c r="SC335"/>
      <c r="SD335"/>
      <c r="SE335"/>
      <c r="SF335"/>
      <c r="SG335"/>
      <c r="SH335"/>
      <c r="SI335"/>
      <c r="SJ335"/>
      <c r="SK335"/>
      <c r="SL335"/>
      <c r="SM335"/>
      <c r="SN335"/>
      <c r="SO335"/>
      <c r="SP335"/>
      <c r="SQ335"/>
      <c r="SR335"/>
      <c r="SS335"/>
      <c r="ST335"/>
      <c r="SU335"/>
      <c r="SV335"/>
      <c r="SW335"/>
      <c r="SX335"/>
      <c r="SY335"/>
      <c r="SZ335"/>
      <c r="TA335"/>
      <c r="TB335"/>
      <c r="TC335"/>
      <c r="TD335"/>
      <c r="TE335"/>
      <c r="TF335"/>
      <c r="TG335"/>
      <c r="TH335"/>
    </row>
    <row r="336" spans="3:528" x14ac:dyDescent="0.25">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c r="KT336"/>
      <c r="KU336"/>
      <c r="KV336"/>
      <c r="KW336"/>
      <c r="KX336"/>
      <c r="KY336"/>
      <c r="KZ336"/>
      <c r="LA336"/>
      <c r="LB336"/>
      <c r="LC336"/>
      <c r="LD336"/>
      <c r="LE336"/>
      <c r="LF336"/>
      <c r="LG336"/>
      <c r="LH336"/>
      <c r="LI336"/>
      <c r="LJ336"/>
      <c r="LK336"/>
      <c r="LL336"/>
      <c r="LM336"/>
      <c r="LN336"/>
      <c r="LO336"/>
      <c r="LP336"/>
      <c r="LQ336"/>
      <c r="LR336"/>
      <c r="LS336"/>
      <c r="LT336"/>
      <c r="LU336"/>
      <c r="LV336"/>
      <c r="LW336"/>
      <c r="LX336"/>
      <c r="LY336"/>
      <c r="LZ336"/>
      <c r="MA336"/>
      <c r="MB336"/>
      <c r="MC336"/>
      <c r="MD336"/>
      <c r="ME336"/>
      <c r="MF336"/>
      <c r="MG336"/>
      <c r="MH336"/>
      <c r="MI336"/>
      <c r="MJ336"/>
      <c r="MK336"/>
      <c r="ML336"/>
      <c r="MM336"/>
      <c r="MN336"/>
      <c r="MO336"/>
      <c r="MP336"/>
      <c r="MQ336"/>
      <c r="MR336"/>
      <c r="MS336"/>
      <c r="MT336"/>
      <c r="MU336"/>
      <c r="MV336"/>
      <c r="MW336"/>
      <c r="MX336"/>
      <c r="MY336"/>
      <c r="MZ336"/>
      <c r="NA336"/>
      <c r="NB336"/>
      <c r="NC336"/>
      <c r="ND336"/>
      <c r="NE336"/>
      <c r="NF336"/>
      <c r="NG336"/>
      <c r="NH336"/>
      <c r="NI336"/>
      <c r="NJ336"/>
      <c r="NK336"/>
      <c r="NL336"/>
      <c r="NM336"/>
      <c r="NN336"/>
      <c r="NO336"/>
      <c r="NP336"/>
      <c r="NQ336"/>
      <c r="NR336"/>
      <c r="NS336"/>
      <c r="NT336"/>
      <c r="NU336"/>
      <c r="NV336"/>
      <c r="NW336"/>
      <c r="NX336"/>
      <c r="NY336"/>
      <c r="NZ336"/>
      <c r="OA336"/>
      <c r="OB336"/>
      <c r="OC336"/>
      <c r="OD336"/>
      <c r="OE336"/>
      <c r="OF336"/>
      <c r="OG336"/>
      <c r="OH336"/>
      <c r="OI336"/>
      <c r="OJ336"/>
      <c r="OK336"/>
      <c r="OL336"/>
      <c r="OM336"/>
      <c r="ON336"/>
      <c r="OO336"/>
      <c r="OP336"/>
      <c r="OQ336"/>
      <c r="OR336"/>
      <c r="OS336"/>
      <c r="OT336"/>
      <c r="OU336"/>
      <c r="OV336"/>
      <c r="OW336"/>
      <c r="OX336"/>
      <c r="OY336"/>
      <c r="OZ336"/>
      <c r="PA336"/>
      <c r="PB336"/>
      <c r="PC336"/>
      <c r="PD336"/>
      <c r="PE336"/>
      <c r="PF336"/>
      <c r="PG336"/>
      <c r="PH336"/>
      <c r="PI336"/>
      <c r="PJ336"/>
      <c r="PK336"/>
      <c r="PL336"/>
      <c r="PM336"/>
      <c r="PN336"/>
      <c r="PO336"/>
      <c r="PP336"/>
      <c r="PQ336"/>
      <c r="PR336"/>
      <c r="PS336"/>
      <c r="PT336"/>
      <c r="PU336"/>
      <c r="PV336"/>
      <c r="PW336"/>
      <c r="PX336"/>
      <c r="PY336"/>
      <c r="PZ336"/>
      <c r="QA336"/>
      <c r="QB336"/>
      <c r="QC336"/>
      <c r="QD336"/>
      <c r="QE336"/>
      <c r="QF336"/>
      <c r="QG336"/>
      <c r="QH336"/>
      <c r="QI336"/>
      <c r="QJ336"/>
      <c r="QK336"/>
      <c r="QL336"/>
      <c r="QM336"/>
      <c r="QN336"/>
      <c r="QO336"/>
      <c r="QP336"/>
      <c r="QQ336"/>
      <c r="QR336"/>
      <c r="QS336"/>
      <c r="QT336"/>
      <c r="QU336"/>
      <c r="QV336"/>
      <c r="QW336"/>
      <c r="QX336"/>
      <c r="QY336"/>
      <c r="QZ336"/>
      <c r="RA336"/>
      <c r="RB336"/>
      <c r="RC336"/>
      <c r="RD336"/>
      <c r="RE336"/>
      <c r="RF336"/>
      <c r="RG336"/>
      <c r="RH336"/>
      <c r="RI336"/>
      <c r="RJ336"/>
      <c r="RK336"/>
      <c r="RL336"/>
      <c r="RM336"/>
      <c r="RN336"/>
      <c r="RO336"/>
      <c r="RP336"/>
      <c r="RQ336"/>
      <c r="RR336"/>
      <c r="RS336"/>
      <c r="RT336"/>
      <c r="RU336"/>
      <c r="RV336"/>
      <c r="RW336"/>
      <c r="RX336"/>
      <c r="RY336"/>
      <c r="RZ336"/>
      <c r="SA336"/>
      <c r="SB336"/>
      <c r="SC336"/>
      <c r="SD336"/>
      <c r="SE336"/>
      <c r="SF336"/>
      <c r="SG336"/>
      <c r="SH336"/>
      <c r="SI336"/>
      <c r="SJ336"/>
      <c r="SK336"/>
      <c r="SL336"/>
      <c r="SM336"/>
      <c r="SN336"/>
      <c r="SO336"/>
      <c r="SP336"/>
      <c r="SQ336"/>
      <c r="SR336"/>
      <c r="SS336"/>
      <c r="ST336"/>
      <c r="SU336"/>
      <c r="SV336"/>
      <c r="SW336"/>
      <c r="SX336"/>
      <c r="SY336"/>
      <c r="SZ336"/>
      <c r="TA336"/>
      <c r="TB336"/>
      <c r="TC336"/>
      <c r="TD336"/>
      <c r="TE336"/>
      <c r="TF336"/>
      <c r="TG336"/>
      <c r="TH336"/>
    </row>
    <row r="337" spans="3:528" x14ac:dyDescent="0.25">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c r="KT337"/>
      <c r="KU337"/>
      <c r="KV337"/>
      <c r="KW337"/>
      <c r="KX337"/>
      <c r="KY337"/>
      <c r="KZ337"/>
      <c r="LA337"/>
      <c r="LB337"/>
      <c r="LC337"/>
      <c r="LD337"/>
      <c r="LE337"/>
      <c r="LF337"/>
      <c r="LG337"/>
      <c r="LH337"/>
      <c r="LI337"/>
      <c r="LJ337"/>
      <c r="LK337"/>
      <c r="LL337"/>
      <c r="LM337"/>
      <c r="LN337"/>
      <c r="LO337"/>
      <c r="LP337"/>
      <c r="LQ337"/>
      <c r="LR337"/>
      <c r="LS337"/>
      <c r="LT337"/>
      <c r="LU337"/>
      <c r="LV337"/>
      <c r="LW337"/>
      <c r="LX337"/>
      <c r="LY337"/>
      <c r="LZ337"/>
      <c r="MA337"/>
      <c r="MB337"/>
      <c r="MC337"/>
      <c r="MD337"/>
      <c r="ME337"/>
      <c r="MF337"/>
      <c r="MG337"/>
      <c r="MH337"/>
      <c r="MI337"/>
      <c r="MJ337"/>
      <c r="MK337"/>
      <c r="ML337"/>
      <c r="MM337"/>
      <c r="MN337"/>
      <c r="MO337"/>
      <c r="MP337"/>
      <c r="MQ337"/>
      <c r="MR337"/>
      <c r="MS337"/>
      <c r="MT337"/>
      <c r="MU337"/>
      <c r="MV337"/>
      <c r="MW337"/>
      <c r="MX337"/>
      <c r="MY337"/>
      <c r="MZ337"/>
      <c r="NA337"/>
      <c r="NB337"/>
      <c r="NC337"/>
      <c r="ND337"/>
      <c r="NE337"/>
      <c r="NF337"/>
      <c r="NG337"/>
      <c r="NH337"/>
      <c r="NI337"/>
      <c r="NJ337"/>
      <c r="NK337"/>
      <c r="NL337"/>
      <c r="NM337"/>
      <c r="NN337"/>
      <c r="NO337"/>
      <c r="NP337"/>
      <c r="NQ337"/>
      <c r="NR337"/>
      <c r="NS337"/>
      <c r="NT337"/>
      <c r="NU337"/>
      <c r="NV337"/>
      <c r="NW337"/>
      <c r="NX337"/>
      <c r="NY337"/>
      <c r="NZ337"/>
      <c r="OA337"/>
      <c r="OB337"/>
      <c r="OC337"/>
      <c r="OD337"/>
      <c r="OE337"/>
      <c r="OF337"/>
      <c r="OG337"/>
      <c r="OH337"/>
      <c r="OI337"/>
      <c r="OJ337"/>
      <c r="OK337"/>
      <c r="OL337"/>
      <c r="OM337"/>
      <c r="ON337"/>
      <c r="OO337"/>
      <c r="OP337"/>
      <c r="OQ337"/>
      <c r="OR337"/>
      <c r="OS337"/>
      <c r="OT337"/>
      <c r="OU337"/>
      <c r="OV337"/>
      <c r="OW337"/>
      <c r="OX337"/>
      <c r="OY337"/>
      <c r="OZ337"/>
      <c r="PA337"/>
      <c r="PB337"/>
      <c r="PC337"/>
      <c r="PD337"/>
      <c r="PE337"/>
      <c r="PF337"/>
      <c r="PG337"/>
      <c r="PH337"/>
      <c r="PI337"/>
      <c r="PJ337"/>
      <c r="PK337"/>
      <c r="PL337"/>
      <c r="PM337"/>
      <c r="PN337"/>
      <c r="PO337"/>
      <c r="PP337"/>
      <c r="PQ337"/>
      <c r="PR337"/>
      <c r="PS337"/>
      <c r="PT337"/>
      <c r="PU337"/>
      <c r="PV337"/>
      <c r="PW337"/>
      <c r="PX337"/>
      <c r="PY337"/>
      <c r="PZ337"/>
      <c r="QA337"/>
      <c r="QB337"/>
      <c r="QC337"/>
      <c r="QD337"/>
      <c r="QE337"/>
      <c r="QF337"/>
      <c r="QG337"/>
      <c r="QH337"/>
      <c r="QI337"/>
      <c r="QJ337"/>
      <c r="QK337"/>
      <c r="QL337"/>
      <c r="QM337"/>
      <c r="QN337"/>
      <c r="QO337"/>
      <c r="QP337"/>
      <c r="QQ337"/>
      <c r="QR337"/>
      <c r="QS337"/>
      <c r="QT337"/>
      <c r="QU337"/>
      <c r="QV337"/>
      <c r="QW337"/>
      <c r="QX337"/>
      <c r="QY337"/>
      <c r="QZ337"/>
      <c r="RA337"/>
      <c r="RB337"/>
      <c r="RC337"/>
      <c r="RD337"/>
      <c r="RE337"/>
      <c r="RF337"/>
      <c r="RG337"/>
      <c r="RH337"/>
      <c r="RI337"/>
      <c r="RJ337"/>
      <c r="RK337"/>
      <c r="RL337"/>
      <c r="RM337"/>
      <c r="RN337"/>
      <c r="RO337"/>
      <c r="RP337"/>
      <c r="RQ337"/>
      <c r="RR337"/>
      <c r="RS337"/>
      <c r="RT337"/>
      <c r="RU337"/>
      <c r="RV337"/>
      <c r="RW337"/>
      <c r="RX337"/>
      <c r="RY337"/>
      <c r="RZ337"/>
      <c r="SA337"/>
      <c r="SB337"/>
      <c r="SC337"/>
      <c r="SD337"/>
      <c r="SE337"/>
      <c r="SF337"/>
      <c r="SG337"/>
      <c r="SH337"/>
      <c r="SI337"/>
      <c r="SJ337"/>
      <c r="SK337"/>
      <c r="SL337"/>
      <c r="SM337"/>
      <c r="SN337"/>
      <c r="SO337"/>
      <c r="SP337"/>
      <c r="SQ337"/>
      <c r="SR337"/>
      <c r="SS337"/>
      <c r="ST337"/>
      <c r="SU337"/>
      <c r="SV337"/>
      <c r="SW337"/>
      <c r="SX337"/>
      <c r="SY337"/>
      <c r="SZ337"/>
      <c r="TA337"/>
      <c r="TB337"/>
      <c r="TC337"/>
      <c r="TD337"/>
      <c r="TE337"/>
      <c r="TF337"/>
      <c r="TG337"/>
      <c r="TH337"/>
    </row>
    <row r="338" spans="3:528" x14ac:dyDescent="0.25">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c r="KT338"/>
      <c r="KU338"/>
      <c r="KV338"/>
      <c r="KW338"/>
      <c r="KX338"/>
      <c r="KY338"/>
      <c r="KZ338"/>
      <c r="LA338"/>
      <c r="LB338"/>
      <c r="LC338"/>
      <c r="LD338"/>
      <c r="LE338"/>
      <c r="LF338"/>
      <c r="LG338"/>
      <c r="LH338"/>
      <c r="LI338"/>
      <c r="LJ338"/>
      <c r="LK338"/>
      <c r="LL338"/>
      <c r="LM338"/>
      <c r="LN338"/>
      <c r="LO338"/>
      <c r="LP338"/>
      <c r="LQ338"/>
      <c r="LR338"/>
      <c r="LS338"/>
      <c r="LT338"/>
      <c r="LU338"/>
      <c r="LV338"/>
      <c r="LW338"/>
      <c r="LX338"/>
      <c r="LY338"/>
      <c r="LZ338"/>
      <c r="MA338"/>
      <c r="MB338"/>
      <c r="MC338"/>
      <c r="MD338"/>
      <c r="ME338"/>
      <c r="MF338"/>
      <c r="MG338"/>
      <c r="MH338"/>
      <c r="MI338"/>
      <c r="MJ338"/>
      <c r="MK338"/>
      <c r="ML338"/>
      <c r="MM338"/>
      <c r="MN338"/>
      <c r="MO338"/>
      <c r="MP338"/>
      <c r="MQ338"/>
      <c r="MR338"/>
      <c r="MS338"/>
      <c r="MT338"/>
      <c r="MU338"/>
      <c r="MV338"/>
      <c r="MW338"/>
      <c r="MX338"/>
      <c r="MY338"/>
      <c r="MZ338"/>
      <c r="NA338"/>
      <c r="NB338"/>
      <c r="NC338"/>
      <c r="ND338"/>
      <c r="NE338"/>
      <c r="NF338"/>
      <c r="NG338"/>
      <c r="NH338"/>
      <c r="NI338"/>
      <c r="NJ338"/>
      <c r="NK338"/>
      <c r="NL338"/>
      <c r="NM338"/>
      <c r="NN338"/>
      <c r="NO338"/>
      <c r="NP338"/>
      <c r="NQ338"/>
      <c r="NR338"/>
      <c r="NS338"/>
      <c r="NT338"/>
      <c r="NU338"/>
      <c r="NV338"/>
      <c r="NW338"/>
      <c r="NX338"/>
      <c r="NY338"/>
      <c r="NZ338"/>
      <c r="OA338"/>
      <c r="OB338"/>
      <c r="OC338"/>
      <c r="OD338"/>
      <c r="OE338"/>
      <c r="OF338"/>
      <c r="OG338"/>
      <c r="OH338"/>
      <c r="OI338"/>
      <c r="OJ338"/>
      <c r="OK338"/>
      <c r="OL338"/>
      <c r="OM338"/>
      <c r="ON338"/>
      <c r="OO338"/>
      <c r="OP338"/>
      <c r="OQ338"/>
      <c r="OR338"/>
      <c r="OS338"/>
      <c r="OT338"/>
      <c r="OU338"/>
      <c r="OV338"/>
      <c r="OW338"/>
      <c r="OX338"/>
      <c r="OY338"/>
      <c r="OZ338"/>
      <c r="PA338"/>
      <c r="PB338"/>
      <c r="PC338"/>
      <c r="PD338"/>
      <c r="PE338"/>
      <c r="PF338"/>
      <c r="PG338"/>
      <c r="PH338"/>
      <c r="PI338"/>
      <c r="PJ338"/>
      <c r="PK338"/>
      <c r="PL338"/>
      <c r="PM338"/>
      <c r="PN338"/>
      <c r="PO338"/>
      <c r="PP338"/>
      <c r="PQ338"/>
      <c r="PR338"/>
      <c r="PS338"/>
      <c r="PT338"/>
      <c r="PU338"/>
      <c r="PV338"/>
      <c r="PW338"/>
      <c r="PX338"/>
      <c r="PY338"/>
      <c r="PZ338"/>
      <c r="QA338"/>
      <c r="QB338"/>
      <c r="QC338"/>
      <c r="QD338"/>
      <c r="QE338"/>
      <c r="QF338"/>
      <c r="QG338"/>
      <c r="QH338"/>
      <c r="QI338"/>
      <c r="QJ338"/>
      <c r="QK338"/>
      <c r="QL338"/>
      <c r="QM338"/>
      <c r="QN338"/>
      <c r="QO338"/>
      <c r="QP338"/>
      <c r="QQ338"/>
      <c r="QR338"/>
      <c r="QS338"/>
      <c r="QT338"/>
      <c r="QU338"/>
      <c r="QV338"/>
      <c r="QW338"/>
      <c r="QX338"/>
      <c r="QY338"/>
      <c r="QZ338"/>
      <c r="RA338"/>
      <c r="RB338"/>
      <c r="RC338"/>
      <c r="RD338"/>
      <c r="RE338"/>
      <c r="RF338"/>
      <c r="RG338"/>
      <c r="RH338"/>
      <c r="RI338"/>
      <c r="RJ338"/>
      <c r="RK338"/>
      <c r="RL338"/>
      <c r="RM338"/>
      <c r="RN338"/>
      <c r="RO338"/>
      <c r="RP338"/>
      <c r="RQ338"/>
      <c r="RR338"/>
      <c r="RS338"/>
      <c r="RT338"/>
      <c r="RU338"/>
      <c r="RV338"/>
      <c r="RW338"/>
      <c r="RX338"/>
      <c r="RY338"/>
      <c r="RZ338"/>
      <c r="SA338"/>
      <c r="SB338"/>
      <c r="SC338"/>
      <c r="SD338"/>
      <c r="SE338"/>
      <c r="SF338"/>
      <c r="SG338"/>
      <c r="SH338"/>
      <c r="SI338"/>
      <c r="SJ338"/>
      <c r="SK338"/>
      <c r="SL338"/>
      <c r="SM338"/>
      <c r="SN338"/>
      <c r="SO338"/>
      <c r="SP338"/>
      <c r="SQ338"/>
      <c r="SR338"/>
      <c r="SS338"/>
      <c r="ST338"/>
      <c r="SU338"/>
      <c r="SV338"/>
      <c r="SW338"/>
      <c r="SX338"/>
      <c r="SY338"/>
      <c r="SZ338"/>
      <c r="TA338"/>
      <c r="TB338"/>
      <c r="TC338"/>
      <c r="TD338"/>
      <c r="TE338"/>
      <c r="TF338"/>
      <c r="TG338"/>
      <c r="TH338"/>
    </row>
    <row r="339" spans="3:528" x14ac:dyDescent="0.25">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c r="KT339"/>
      <c r="KU339"/>
      <c r="KV339"/>
      <c r="KW339"/>
      <c r="KX339"/>
      <c r="KY339"/>
      <c r="KZ339"/>
      <c r="LA339"/>
      <c r="LB339"/>
      <c r="LC339"/>
      <c r="LD339"/>
      <c r="LE339"/>
      <c r="LF339"/>
      <c r="LG339"/>
      <c r="LH339"/>
      <c r="LI339"/>
      <c r="LJ339"/>
      <c r="LK339"/>
      <c r="LL339"/>
      <c r="LM339"/>
      <c r="LN339"/>
      <c r="LO339"/>
      <c r="LP339"/>
      <c r="LQ339"/>
      <c r="LR339"/>
      <c r="LS339"/>
      <c r="LT339"/>
      <c r="LU339"/>
      <c r="LV339"/>
      <c r="LW339"/>
      <c r="LX339"/>
      <c r="LY339"/>
      <c r="LZ339"/>
      <c r="MA339"/>
      <c r="MB339"/>
      <c r="MC339"/>
      <c r="MD339"/>
      <c r="ME339"/>
      <c r="MF339"/>
      <c r="MG339"/>
      <c r="MH339"/>
      <c r="MI339"/>
      <c r="MJ339"/>
      <c r="MK339"/>
      <c r="ML339"/>
      <c r="MM339"/>
      <c r="MN339"/>
      <c r="MO339"/>
      <c r="MP339"/>
      <c r="MQ339"/>
      <c r="MR339"/>
      <c r="MS339"/>
      <c r="MT339"/>
      <c r="MU339"/>
      <c r="MV339"/>
      <c r="MW339"/>
      <c r="MX339"/>
      <c r="MY339"/>
      <c r="MZ339"/>
      <c r="NA339"/>
      <c r="NB339"/>
      <c r="NC339"/>
      <c r="ND339"/>
      <c r="NE339"/>
      <c r="NF339"/>
      <c r="NG339"/>
      <c r="NH339"/>
      <c r="NI339"/>
      <c r="NJ339"/>
      <c r="NK339"/>
      <c r="NL339"/>
      <c r="NM339"/>
      <c r="NN339"/>
      <c r="NO339"/>
      <c r="NP339"/>
      <c r="NQ339"/>
      <c r="NR339"/>
      <c r="NS339"/>
      <c r="NT339"/>
      <c r="NU339"/>
      <c r="NV339"/>
      <c r="NW339"/>
      <c r="NX339"/>
      <c r="NY339"/>
      <c r="NZ339"/>
      <c r="OA339"/>
      <c r="OB339"/>
      <c r="OC339"/>
      <c r="OD339"/>
      <c r="OE339"/>
      <c r="OF339"/>
      <c r="OG339"/>
      <c r="OH339"/>
      <c r="OI339"/>
      <c r="OJ339"/>
      <c r="OK339"/>
      <c r="OL339"/>
      <c r="OM339"/>
      <c r="ON339"/>
      <c r="OO339"/>
      <c r="OP339"/>
      <c r="OQ339"/>
      <c r="OR339"/>
      <c r="OS339"/>
      <c r="OT339"/>
      <c r="OU339"/>
      <c r="OV339"/>
      <c r="OW339"/>
      <c r="OX339"/>
      <c r="OY339"/>
      <c r="OZ339"/>
      <c r="PA339"/>
      <c r="PB339"/>
      <c r="PC339"/>
      <c r="PD339"/>
      <c r="PE339"/>
      <c r="PF339"/>
      <c r="PG339"/>
      <c r="PH339"/>
      <c r="PI339"/>
      <c r="PJ339"/>
      <c r="PK339"/>
      <c r="PL339"/>
      <c r="PM339"/>
      <c r="PN339"/>
      <c r="PO339"/>
      <c r="PP339"/>
      <c r="PQ339"/>
      <c r="PR339"/>
      <c r="PS339"/>
      <c r="PT339"/>
      <c r="PU339"/>
      <c r="PV339"/>
      <c r="PW339"/>
      <c r="PX339"/>
      <c r="PY339"/>
      <c r="PZ339"/>
      <c r="QA339"/>
      <c r="QB339"/>
      <c r="QC339"/>
      <c r="QD339"/>
      <c r="QE339"/>
      <c r="QF339"/>
      <c r="QG339"/>
      <c r="QH339"/>
      <c r="QI339"/>
      <c r="QJ339"/>
      <c r="QK339"/>
      <c r="QL339"/>
      <c r="QM339"/>
      <c r="QN339"/>
      <c r="QO339"/>
      <c r="QP339"/>
      <c r="QQ339"/>
      <c r="QR339"/>
      <c r="QS339"/>
      <c r="QT339"/>
      <c r="QU339"/>
      <c r="QV339"/>
      <c r="QW339"/>
      <c r="QX339"/>
      <c r="QY339"/>
      <c r="QZ339"/>
      <c r="RA339"/>
      <c r="RB339"/>
      <c r="RC339"/>
      <c r="RD339"/>
      <c r="RE339"/>
      <c r="RF339"/>
      <c r="RG339"/>
      <c r="RH339"/>
      <c r="RI339"/>
      <c r="RJ339"/>
      <c r="RK339"/>
      <c r="RL339"/>
      <c r="RM339"/>
      <c r="RN339"/>
      <c r="RO339"/>
      <c r="RP339"/>
      <c r="RQ339"/>
      <c r="RR339"/>
      <c r="RS339"/>
      <c r="RT339"/>
      <c r="RU339"/>
      <c r="RV339"/>
      <c r="RW339"/>
      <c r="RX339"/>
      <c r="RY339"/>
      <c r="RZ339"/>
      <c r="SA339"/>
      <c r="SB339"/>
      <c r="SC339"/>
      <c r="SD339"/>
      <c r="SE339"/>
      <c r="SF339"/>
      <c r="SG339"/>
      <c r="SH339"/>
      <c r="SI339"/>
      <c r="SJ339"/>
      <c r="SK339"/>
      <c r="SL339"/>
      <c r="SM339"/>
      <c r="SN339"/>
      <c r="SO339"/>
      <c r="SP339"/>
      <c r="SQ339"/>
      <c r="SR339"/>
      <c r="SS339"/>
      <c r="ST339"/>
      <c r="SU339"/>
      <c r="SV339"/>
      <c r="SW339"/>
      <c r="SX339"/>
      <c r="SY339"/>
      <c r="SZ339"/>
      <c r="TA339"/>
      <c r="TB339"/>
      <c r="TC339"/>
      <c r="TD339"/>
      <c r="TE339"/>
      <c r="TF339"/>
      <c r="TG339"/>
      <c r="TH339"/>
    </row>
    <row r="340" spans="3:528" x14ac:dyDescent="0.25">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c r="KT340"/>
      <c r="KU340"/>
      <c r="KV340"/>
      <c r="KW340"/>
      <c r="KX340"/>
      <c r="KY340"/>
      <c r="KZ340"/>
      <c r="LA340"/>
      <c r="LB340"/>
      <c r="LC340"/>
      <c r="LD340"/>
      <c r="LE340"/>
      <c r="LF340"/>
      <c r="LG340"/>
      <c r="LH340"/>
      <c r="LI340"/>
      <c r="LJ340"/>
      <c r="LK340"/>
      <c r="LL340"/>
      <c r="LM340"/>
      <c r="LN340"/>
      <c r="LO340"/>
      <c r="LP340"/>
      <c r="LQ340"/>
      <c r="LR340"/>
      <c r="LS340"/>
      <c r="LT340"/>
      <c r="LU340"/>
      <c r="LV340"/>
      <c r="LW340"/>
      <c r="LX340"/>
      <c r="LY340"/>
      <c r="LZ340"/>
      <c r="MA340"/>
      <c r="MB340"/>
      <c r="MC340"/>
      <c r="MD340"/>
      <c r="ME340"/>
      <c r="MF340"/>
      <c r="MG340"/>
      <c r="MH340"/>
      <c r="MI340"/>
      <c r="MJ340"/>
      <c r="MK340"/>
      <c r="ML340"/>
      <c r="MM340"/>
      <c r="MN340"/>
      <c r="MO340"/>
      <c r="MP340"/>
      <c r="MQ340"/>
      <c r="MR340"/>
      <c r="MS340"/>
      <c r="MT340"/>
      <c r="MU340"/>
      <c r="MV340"/>
      <c r="MW340"/>
      <c r="MX340"/>
      <c r="MY340"/>
      <c r="MZ340"/>
      <c r="NA340"/>
      <c r="NB340"/>
      <c r="NC340"/>
      <c r="ND340"/>
      <c r="NE340"/>
      <c r="NF340"/>
      <c r="NG340"/>
      <c r="NH340"/>
      <c r="NI340"/>
      <c r="NJ340"/>
      <c r="NK340"/>
      <c r="NL340"/>
      <c r="NM340"/>
      <c r="NN340"/>
      <c r="NO340"/>
      <c r="NP340"/>
      <c r="NQ340"/>
      <c r="NR340"/>
      <c r="NS340"/>
      <c r="NT340"/>
      <c r="NU340"/>
      <c r="NV340"/>
      <c r="NW340"/>
      <c r="NX340"/>
      <c r="NY340"/>
      <c r="NZ340"/>
      <c r="OA340"/>
      <c r="OB340"/>
      <c r="OC340"/>
      <c r="OD340"/>
      <c r="OE340"/>
      <c r="OF340"/>
      <c r="OG340"/>
      <c r="OH340"/>
      <c r="OI340"/>
      <c r="OJ340"/>
      <c r="OK340"/>
      <c r="OL340"/>
      <c r="OM340"/>
      <c r="ON340"/>
      <c r="OO340"/>
      <c r="OP340"/>
      <c r="OQ340"/>
      <c r="OR340"/>
      <c r="OS340"/>
      <c r="OT340"/>
      <c r="OU340"/>
      <c r="OV340"/>
      <c r="OW340"/>
      <c r="OX340"/>
      <c r="OY340"/>
      <c r="OZ340"/>
      <c r="PA340"/>
      <c r="PB340"/>
      <c r="PC340"/>
      <c r="PD340"/>
      <c r="PE340"/>
      <c r="PF340"/>
      <c r="PG340"/>
      <c r="PH340"/>
      <c r="PI340"/>
      <c r="PJ340"/>
      <c r="PK340"/>
      <c r="PL340"/>
      <c r="PM340"/>
      <c r="PN340"/>
      <c r="PO340"/>
      <c r="PP340"/>
      <c r="PQ340"/>
      <c r="PR340"/>
      <c r="PS340"/>
      <c r="PT340"/>
      <c r="PU340"/>
      <c r="PV340"/>
      <c r="PW340"/>
      <c r="PX340"/>
      <c r="PY340"/>
      <c r="PZ340"/>
      <c r="QA340"/>
      <c r="QB340"/>
      <c r="QC340"/>
      <c r="QD340"/>
      <c r="QE340"/>
      <c r="QF340"/>
      <c r="QG340"/>
      <c r="QH340"/>
      <c r="QI340"/>
      <c r="QJ340"/>
      <c r="QK340"/>
      <c r="QL340"/>
      <c r="QM340"/>
      <c r="QN340"/>
      <c r="QO340"/>
      <c r="QP340"/>
      <c r="QQ340"/>
      <c r="QR340"/>
      <c r="QS340"/>
      <c r="QT340"/>
      <c r="QU340"/>
      <c r="QV340"/>
      <c r="QW340"/>
      <c r="QX340"/>
      <c r="QY340"/>
      <c r="QZ340"/>
      <c r="RA340"/>
      <c r="RB340"/>
      <c r="RC340"/>
      <c r="RD340"/>
      <c r="RE340"/>
      <c r="RF340"/>
      <c r="RG340"/>
      <c r="RH340"/>
      <c r="RI340"/>
      <c r="RJ340"/>
      <c r="RK340"/>
      <c r="RL340"/>
      <c r="RM340"/>
      <c r="RN340"/>
      <c r="RO340"/>
      <c r="RP340"/>
      <c r="RQ340"/>
      <c r="RR340"/>
      <c r="RS340"/>
      <c r="RT340"/>
      <c r="RU340"/>
      <c r="RV340"/>
      <c r="RW340"/>
      <c r="RX340"/>
      <c r="RY340"/>
      <c r="RZ340"/>
      <c r="SA340"/>
      <c r="SB340"/>
      <c r="SC340"/>
      <c r="SD340"/>
      <c r="SE340"/>
      <c r="SF340"/>
      <c r="SG340"/>
      <c r="SH340"/>
      <c r="SI340"/>
      <c r="SJ340"/>
      <c r="SK340"/>
      <c r="SL340"/>
      <c r="SM340"/>
      <c r="SN340"/>
      <c r="SO340"/>
      <c r="SP340"/>
      <c r="SQ340"/>
      <c r="SR340"/>
      <c r="SS340"/>
      <c r="ST340"/>
      <c r="SU340"/>
      <c r="SV340"/>
      <c r="SW340"/>
      <c r="SX340"/>
      <c r="SY340"/>
      <c r="SZ340"/>
      <c r="TA340"/>
      <c r="TB340"/>
      <c r="TC340"/>
      <c r="TD340"/>
      <c r="TE340"/>
      <c r="TF340"/>
      <c r="TG340"/>
      <c r="TH340"/>
    </row>
    <row r="341" spans="3:528" x14ac:dyDescent="0.25">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c r="KT341"/>
      <c r="KU341"/>
      <c r="KV341"/>
      <c r="KW341"/>
      <c r="KX341"/>
      <c r="KY341"/>
      <c r="KZ341"/>
      <c r="LA341"/>
      <c r="LB341"/>
      <c r="LC341"/>
      <c r="LD341"/>
      <c r="LE341"/>
      <c r="LF341"/>
      <c r="LG341"/>
      <c r="LH341"/>
      <c r="LI341"/>
      <c r="LJ341"/>
      <c r="LK341"/>
      <c r="LL341"/>
      <c r="LM341"/>
      <c r="LN341"/>
      <c r="LO341"/>
      <c r="LP341"/>
      <c r="LQ341"/>
      <c r="LR341"/>
      <c r="LS341"/>
      <c r="LT341"/>
      <c r="LU341"/>
      <c r="LV341"/>
      <c r="LW341"/>
      <c r="LX341"/>
      <c r="LY341"/>
      <c r="LZ341"/>
      <c r="MA341"/>
      <c r="MB341"/>
      <c r="MC341"/>
      <c r="MD341"/>
      <c r="ME341"/>
      <c r="MF341"/>
      <c r="MG341"/>
      <c r="MH341"/>
      <c r="MI341"/>
      <c r="MJ341"/>
      <c r="MK341"/>
      <c r="ML341"/>
      <c r="MM341"/>
      <c r="MN341"/>
      <c r="MO341"/>
      <c r="MP341"/>
      <c r="MQ341"/>
      <c r="MR341"/>
      <c r="MS341"/>
      <c r="MT341"/>
      <c r="MU341"/>
      <c r="MV341"/>
      <c r="MW341"/>
      <c r="MX341"/>
      <c r="MY341"/>
      <c r="MZ341"/>
      <c r="NA341"/>
      <c r="NB341"/>
      <c r="NC341"/>
      <c r="ND341"/>
      <c r="NE341"/>
      <c r="NF341"/>
      <c r="NG341"/>
      <c r="NH341"/>
      <c r="NI341"/>
      <c r="NJ341"/>
      <c r="NK341"/>
      <c r="NL341"/>
      <c r="NM341"/>
      <c r="NN341"/>
      <c r="NO341"/>
      <c r="NP341"/>
      <c r="NQ341"/>
      <c r="NR341"/>
      <c r="NS341"/>
      <c r="NT341"/>
      <c r="NU341"/>
      <c r="NV341"/>
      <c r="NW341"/>
      <c r="NX341"/>
      <c r="NY341"/>
      <c r="NZ341"/>
      <c r="OA341"/>
      <c r="OB341"/>
      <c r="OC341"/>
      <c r="OD341"/>
      <c r="OE341"/>
      <c r="OF341"/>
      <c r="OG341"/>
      <c r="OH341"/>
      <c r="OI341"/>
      <c r="OJ341"/>
      <c r="OK341"/>
      <c r="OL341"/>
      <c r="OM341"/>
      <c r="ON341"/>
      <c r="OO341"/>
      <c r="OP341"/>
      <c r="OQ341"/>
      <c r="OR341"/>
      <c r="OS341"/>
      <c r="OT341"/>
      <c r="OU341"/>
      <c r="OV341"/>
      <c r="OW341"/>
      <c r="OX341"/>
      <c r="OY341"/>
      <c r="OZ341"/>
      <c r="PA341"/>
      <c r="PB341"/>
      <c r="PC341"/>
      <c r="PD341"/>
      <c r="PE341"/>
      <c r="PF341"/>
      <c r="PG341"/>
      <c r="PH341"/>
      <c r="PI341"/>
      <c r="PJ341"/>
      <c r="PK341"/>
      <c r="PL341"/>
      <c r="PM341"/>
      <c r="PN341"/>
      <c r="PO341"/>
      <c r="PP341"/>
      <c r="PQ341"/>
      <c r="PR341"/>
      <c r="PS341"/>
      <c r="PT341"/>
      <c r="PU341"/>
      <c r="PV341"/>
      <c r="PW341"/>
      <c r="PX341"/>
      <c r="PY341"/>
      <c r="PZ341"/>
      <c r="QA341"/>
      <c r="QB341"/>
      <c r="QC341"/>
      <c r="QD341"/>
      <c r="QE341"/>
      <c r="QF341"/>
      <c r="QG341"/>
      <c r="QH341"/>
      <c r="QI341"/>
      <c r="QJ341"/>
      <c r="QK341"/>
      <c r="QL341"/>
      <c r="QM341"/>
      <c r="QN341"/>
      <c r="QO341"/>
      <c r="QP341"/>
      <c r="QQ341"/>
      <c r="QR341"/>
      <c r="QS341"/>
      <c r="QT341"/>
      <c r="QU341"/>
      <c r="QV341"/>
      <c r="QW341"/>
      <c r="QX341"/>
      <c r="QY341"/>
      <c r="QZ341"/>
      <c r="RA341"/>
      <c r="RB341"/>
      <c r="RC341"/>
      <c r="RD341"/>
      <c r="RE341"/>
      <c r="RF341"/>
      <c r="RG341"/>
      <c r="RH341"/>
      <c r="RI341"/>
      <c r="RJ341"/>
      <c r="RK341"/>
      <c r="RL341"/>
      <c r="RM341"/>
      <c r="RN341"/>
      <c r="RO341"/>
      <c r="RP341"/>
      <c r="RQ341"/>
      <c r="RR341"/>
      <c r="RS341"/>
      <c r="RT341"/>
      <c r="RU341"/>
      <c r="RV341"/>
      <c r="RW341"/>
      <c r="RX341"/>
      <c r="RY341"/>
      <c r="RZ341"/>
      <c r="SA341"/>
      <c r="SB341"/>
      <c r="SC341"/>
      <c r="SD341"/>
      <c r="SE341"/>
      <c r="SF341"/>
      <c r="SG341"/>
      <c r="SH341"/>
      <c r="SI341"/>
      <c r="SJ341"/>
      <c r="SK341"/>
      <c r="SL341"/>
      <c r="SM341"/>
      <c r="SN341"/>
      <c r="SO341"/>
      <c r="SP341"/>
      <c r="SQ341"/>
      <c r="SR341"/>
      <c r="SS341"/>
      <c r="ST341"/>
      <c r="SU341"/>
      <c r="SV341"/>
      <c r="SW341"/>
      <c r="SX341"/>
      <c r="SY341"/>
      <c r="SZ341"/>
      <c r="TA341"/>
      <c r="TB341"/>
      <c r="TC341"/>
      <c r="TD341"/>
      <c r="TE341"/>
      <c r="TF341"/>
      <c r="TG341"/>
      <c r="TH341"/>
    </row>
    <row r="342" spans="3:528" x14ac:dyDescent="0.25">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c r="KT342"/>
      <c r="KU342"/>
      <c r="KV342"/>
      <c r="KW342"/>
      <c r="KX342"/>
      <c r="KY342"/>
      <c r="KZ342"/>
      <c r="LA342"/>
      <c r="LB342"/>
      <c r="LC342"/>
      <c r="LD342"/>
      <c r="LE342"/>
      <c r="LF342"/>
      <c r="LG342"/>
      <c r="LH342"/>
      <c r="LI342"/>
      <c r="LJ342"/>
      <c r="LK342"/>
      <c r="LL342"/>
      <c r="LM342"/>
      <c r="LN342"/>
      <c r="LO342"/>
      <c r="LP342"/>
      <c r="LQ342"/>
      <c r="LR342"/>
      <c r="LS342"/>
      <c r="LT342"/>
      <c r="LU342"/>
      <c r="LV342"/>
      <c r="LW342"/>
      <c r="LX342"/>
      <c r="LY342"/>
      <c r="LZ342"/>
      <c r="MA342"/>
      <c r="MB342"/>
      <c r="MC342"/>
      <c r="MD342"/>
      <c r="ME342"/>
      <c r="MF342"/>
      <c r="MG342"/>
      <c r="MH342"/>
      <c r="MI342"/>
      <c r="MJ342"/>
      <c r="MK342"/>
      <c r="ML342"/>
      <c r="MM342"/>
      <c r="MN342"/>
      <c r="MO342"/>
      <c r="MP342"/>
      <c r="MQ342"/>
      <c r="MR342"/>
      <c r="MS342"/>
      <c r="MT342"/>
      <c r="MU342"/>
      <c r="MV342"/>
      <c r="MW342"/>
      <c r="MX342"/>
      <c r="MY342"/>
      <c r="MZ342"/>
      <c r="NA342"/>
      <c r="NB342"/>
      <c r="NC342"/>
      <c r="ND342"/>
      <c r="NE342"/>
      <c r="NF342"/>
      <c r="NG342"/>
      <c r="NH342"/>
      <c r="NI342"/>
      <c r="NJ342"/>
      <c r="NK342"/>
      <c r="NL342"/>
      <c r="NM342"/>
      <c r="NN342"/>
      <c r="NO342"/>
      <c r="NP342"/>
      <c r="NQ342"/>
      <c r="NR342"/>
      <c r="NS342"/>
      <c r="NT342"/>
      <c r="NU342"/>
      <c r="NV342"/>
      <c r="NW342"/>
      <c r="NX342"/>
      <c r="NY342"/>
      <c r="NZ342"/>
      <c r="OA342"/>
      <c r="OB342"/>
      <c r="OC342"/>
      <c r="OD342"/>
      <c r="OE342"/>
      <c r="OF342"/>
      <c r="OG342"/>
      <c r="OH342"/>
      <c r="OI342"/>
      <c r="OJ342"/>
      <c r="OK342"/>
      <c r="OL342"/>
      <c r="OM342"/>
      <c r="ON342"/>
      <c r="OO342"/>
      <c r="OP342"/>
      <c r="OQ342"/>
      <c r="OR342"/>
      <c r="OS342"/>
      <c r="OT342"/>
      <c r="OU342"/>
      <c r="OV342"/>
      <c r="OW342"/>
      <c r="OX342"/>
      <c r="OY342"/>
      <c r="OZ342"/>
      <c r="PA342"/>
      <c r="PB342"/>
      <c r="PC342"/>
      <c r="PD342"/>
      <c r="PE342"/>
      <c r="PF342"/>
      <c r="PG342"/>
      <c r="PH342"/>
      <c r="PI342"/>
      <c r="PJ342"/>
      <c r="PK342"/>
      <c r="PL342"/>
      <c r="PM342"/>
      <c r="PN342"/>
      <c r="PO342"/>
      <c r="PP342"/>
      <c r="PQ342"/>
      <c r="PR342"/>
      <c r="PS342"/>
      <c r="PT342"/>
      <c r="PU342"/>
      <c r="PV342"/>
      <c r="PW342"/>
      <c r="PX342"/>
      <c r="PY342"/>
      <c r="PZ342"/>
      <c r="QA342"/>
      <c r="QB342"/>
      <c r="QC342"/>
      <c r="QD342"/>
      <c r="QE342"/>
      <c r="QF342"/>
      <c r="QG342"/>
      <c r="QH342"/>
      <c r="QI342"/>
      <c r="QJ342"/>
      <c r="QK342"/>
      <c r="QL342"/>
      <c r="QM342"/>
      <c r="QN342"/>
      <c r="QO342"/>
      <c r="QP342"/>
      <c r="QQ342"/>
      <c r="QR342"/>
      <c r="QS342"/>
      <c r="QT342"/>
      <c r="QU342"/>
      <c r="QV342"/>
      <c r="QW342"/>
      <c r="QX342"/>
      <c r="QY342"/>
      <c r="QZ342"/>
      <c r="RA342"/>
      <c r="RB342"/>
      <c r="RC342"/>
      <c r="RD342"/>
      <c r="RE342"/>
      <c r="RF342"/>
      <c r="RG342"/>
      <c r="RH342"/>
      <c r="RI342"/>
      <c r="RJ342"/>
      <c r="RK342"/>
      <c r="RL342"/>
      <c r="RM342"/>
      <c r="RN342"/>
      <c r="RO342"/>
      <c r="RP342"/>
      <c r="RQ342"/>
      <c r="RR342"/>
      <c r="RS342"/>
      <c r="RT342"/>
      <c r="RU342"/>
      <c r="RV342"/>
      <c r="RW342"/>
      <c r="RX342"/>
      <c r="RY342"/>
      <c r="RZ342"/>
      <c r="SA342"/>
      <c r="SB342"/>
      <c r="SC342"/>
      <c r="SD342"/>
      <c r="SE342"/>
      <c r="SF342"/>
      <c r="SG342"/>
      <c r="SH342"/>
      <c r="SI342"/>
      <c r="SJ342"/>
      <c r="SK342"/>
      <c r="SL342"/>
      <c r="SM342"/>
      <c r="SN342"/>
      <c r="SO342"/>
      <c r="SP342"/>
      <c r="SQ342"/>
      <c r="SR342"/>
      <c r="SS342"/>
      <c r="ST342"/>
      <c r="SU342"/>
      <c r="SV342"/>
      <c r="SW342"/>
      <c r="SX342"/>
      <c r="SY342"/>
      <c r="SZ342"/>
      <c r="TA342"/>
      <c r="TB342"/>
      <c r="TC342"/>
      <c r="TD342"/>
      <c r="TE342"/>
      <c r="TF342"/>
      <c r="TG342"/>
      <c r="TH342"/>
    </row>
    <row r="343" spans="3:528" x14ac:dyDescent="0.25">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c r="KT343"/>
      <c r="KU343"/>
      <c r="KV343"/>
      <c r="KW343"/>
      <c r="KX343"/>
      <c r="KY343"/>
      <c r="KZ343"/>
      <c r="LA343"/>
      <c r="LB343"/>
      <c r="LC343"/>
      <c r="LD343"/>
      <c r="LE343"/>
      <c r="LF343"/>
      <c r="LG343"/>
      <c r="LH343"/>
      <c r="LI343"/>
      <c r="LJ343"/>
      <c r="LK343"/>
      <c r="LL343"/>
      <c r="LM343"/>
      <c r="LN343"/>
      <c r="LO343"/>
      <c r="LP343"/>
      <c r="LQ343"/>
      <c r="LR343"/>
      <c r="LS343"/>
      <c r="LT343"/>
      <c r="LU343"/>
      <c r="LV343"/>
      <c r="LW343"/>
      <c r="LX343"/>
      <c r="LY343"/>
      <c r="LZ343"/>
      <c r="MA343"/>
      <c r="MB343"/>
      <c r="MC343"/>
      <c r="MD343"/>
      <c r="ME343"/>
      <c r="MF343"/>
      <c r="MG343"/>
      <c r="MH343"/>
      <c r="MI343"/>
      <c r="MJ343"/>
      <c r="MK343"/>
      <c r="ML343"/>
      <c r="MM343"/>
      <c r="MN343"/>
      <c r="MO343"/>
      <c r="MP343"/>
      <c r="MQ343"/>
      <c r="MR343"/>
      <c r="MS343"/>
      <c r="MT343"/>
      <c r="MU343"/>
      <c r="MV343"/>
      <c r="MW343"/>
      <c r="MX343"/>
      <c r="MY343"/>
      <c r="MZ343"/>
      <c r="NA343"/>
      <c r="NB343"/>
      <c r="NC343"/>
      <c r="ND343"/>
      <c r="NE343"/>
      <c r="NF343"/>
      <c r="NG343"/>
      <c r="NH343"/>
      <c r="NI343"/>
      <c r="NJ343"/>
      <c r="NK343"/>
      <c r="NL343"/>
      <c r="NM343"/>
      <c r="NN343"/>
      <c r="NO343"/>
      <c r="NP343"/>
      <c r="NQ343"/>
      <c r="NR343"/>
      <c r="NS343"/>
      <c r="NT343"/>
      <c r="NU343"/>
      <c r="NV343"/>
      <c r="NW343"/>
      <c r="NX343"/>
      <c r="NY343"/>
      <c r="NZ343"/>
      <c r="OA343"/>
      <c r="OB343"/>
      <c r="OC343"/>
      <c r="OD343"/>
      <c r="OE343"/>
      <c r="OF343"/>
      <c r="OG343"/>
      <c r="OH343"/>
      <c r="OI343"/>
      <c r="OJ343"/>
      <c r="OK343"/>
      <c r="OL343"/>
      <c r="OM343"/>
      <c r="ON343"/>
      <c r="OO343"/>
      <c r="OP343"/>
      <c r="OQ343"/>
      <c r="OR343"/>
      <c r="OS343"/>
      <c r="OT343"/>
      <c r="OU343"/>
      <c r="OV343"/>
      <c r="OW343"/>
      <c r="OX343"/>
      <c r="OY343"/>
      <c r="OZ343"/>
      <c r="PA343"/>
      <c r="PB343"/>
      <c r="PC343"/>
      <c r="PD343"/>
      <c r="PE343"/>
      <c r="PF343"/>
      <c r="PG343"/>
      <c r="PH343"/>
      <c r="PI343"/>
      <c r="PJ343"/>
      <c r="PK343"/>
      <c r="PL343"/>
      <c r="PM343"/>
      <c r="PN343"/>
      <c r="PO343"/>
      <c r="PP343"/>
      <c r="PQ343"/>
      <c r="PR343"/>
      <c r="PS343"/>
      <c r="PT343"/>
      <c r="PU343"/>
      <c r="PV343"/>
      <c r="PW343"/>
      <c r="PX343"/>
      <c r="PY343"/>
      <c r="PZ343"/>
      <c r="QA343"/>
      <c r="QB343"/>
      <c r="QC343"/>
      <c r="QD343"/>
      <c r="QE343"/>
      <c r="QF343"/>
      <c r="QG343"/>
      <c r="QH343"/>
      <c r="QI343"/>
      <c r="QJ343"/>
      <c r="QK343"/>
      <c r="QL343"/>
      <c r="QM343"/>
      <c r="QN343"/>
      <c r="QO343"/>
      <c r="QP343"/>
      <c r="QQ343"/>
      <c r="QR343"/>
      <c r="QS343"/>
      <c r="QT343"/>
      <c r="QU343"/>
      <c r="QV343"/>
      <c r="QW343"/>
      <c r="QX343"/>
      <c r="QY343"/>
      <c r="QZ343"/>
      <c r="RA343"/>
      <c r="RB343"/>
      <c r="RC343"/>
      <c r="RD343"/>
      <c r="RE343"/>
      <c r="RF343"/>
      <c r="RG343"/>
      <c r="RH343"/>
      <c r="RI343"/>
      <c r="RJ343"/>
      <c r="RK343"/>
      <c r="RL343"/>
      <c r="RM343"/>
      <c r="RN343"/>
      <c r="RO343"/>
      <c r="RP343"/>
      <c r="RQ343"/>
      <c r="RR343"/>
      <c r="RS343"/>
      <c r="RT343"/>
      <c r="RU343"/>
      <c r="RV343"/>
      <c r="RW343"/>
      <c r="RX343"/>
      <c r="RY343"/>
      <c r="RZ343"/>
      <c r="SA343"/>
      <c r="SB343"/>
      <c r="SC343"/>
      <c r="SD343"/>
      <c r="SE343"/>
      <c r="SF343"/>
      <c r="SG343"/>
      <c r="SH343"/>
      <c r="SI343"/>
      <c r="SJ343"/>
      <c r="SK343"/>
      <c r="SL343"/>
      <c r="SM343"/>
      <c r="SN343"/>
      <c r="SO343"/>
      <c r="SP343"/>
      <c r="SQ343"/>
      <c r="SR343"/>
      <c r="SS343"/>
      <c r="ST343"/>
      <c r="SU343"/>
      <c r="SV343"/>
      <c r="SW343"/>
      <c r="SX343"/>
      <c r="SY343"/>
      <c r="SZ343"/>
      <c r="TA343"/>
      <c r="TB343"/>
      <c r="TC343"/>
      <c r="TD343"/>
      <c r="TE343"/>
      <c r="TF343"/>
      <c r="TG343"/>
      <c r="TH343"/>
    </row>
    <row r="344" spans="3:528" x14ac:dyDescent="0.25">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c r="KT344"/>
      <c r="KU344"/>
      <c r="KV344"/>
      <c r="KW344"/>
      <c r="KX344"/>
      <c r="KY344"/>
      <c r="KZ344"/>
      <c r="LA344"/>
      <c r="LB344"/>
      <c r="LC344"/>
      <c r="LD344"/>
      <c r="LE344"/>
      <c r="LF344"/>
      <c r="LG344"/>
      <c r="LH344"/>
      <c r="LI344"/>
      <c r="LJ344"/>
      <c r="LK344"/>
      <c r="LL344"/>
      <c r="LM344"/>
      <c r="LN344"/>
      <c r="LO344"/>
      <c r="LP344"/>
      <c r="LQ344"/>
      <c r="LR344"/>
      <c r="LS344"/>
      <c r="LT344"/>
      <c r="LU344"/>
      <c r="LV344"/>
      <c r="LW344"/>
      <c r="LX344"/>
      <c r="LY344"/>
      <c r="LZ344"/>
      <c r="MA344"/>
      <c r="MB344"/>
      <c r="MC344"/>
      <c r="MD344"/>
      <c r="ME344"/>
      <c r="MF344"/>
      <c r="MG344"/>
      <c r="MH344"/>
      <c r="MI344"/>
      <c r="MJ344"/>
      <c r="MK344"/>
      <c r="ML344"/>
      <c r="MM344"/>
      <c r="MN344"/>
      <c r="MO344"/>
      <c r="MP344"/>
      <c r="MQ344"/>
      <c r="MR344"/>
      <c r="MS344"/>
      <c r="MT344"/>
      <c r="MU344"/>
      <c r="MV344"/>
      <c r="MW344"/>
      <c r="MX344"/>
      <c r="MY344"/>
      <c r="MZ344"/>
      <c r="NA344"/>
      <c r="NB344"/>
      <c r="NC344"/>
      <c r="ND344"/>
      <c r="NE344"/>
      <c r="NF344"/>
      <c r="NG344"/>
      <c r="NH344"/>
      <c r="NI344"/>
      <c r="NJ344"/>
      <c r="NK344"/>
      <c r="NL344"/>
      <c r="NM344"/>
      <c r="NN344"/>
      <c r="NO344"/>
      <c r="NP344"/>
      <c r="NQ344"/>
      <c r="NR344"/>
      <c r="NS344"/>
      <c r="NT344"/>
      <c r="NU344"/>
      <c r="NV344"/>
      <c r="NW344"/>
      <c r="NX344"/>
      <c r="NY344"/>
      <c r="NZ344"/>
      <c r="OA344"/>
      <c r="OB344"/>
      <c r="OC344"/>
      <c r="OD344"/>
      <c r="OE344"/>
      <c r="OF344"/>
      <c r="OG344"/>
      <c r="OH344"/>
      <c r="OI344"/>
      <c r="OJ344"/>
      <c r="OK344"/>
      <c r="OL344"/>
      <c r="OM344"/>
      <c r="ON344"/>
      <c r="OO344"/>
      <c r="OP344"/>
      <c r="OQ344"/>
      <c r="OR344"/>
      <c r="OS344"/>
      <c r="OT344"/>
      <c r="OU344"/>
      <c r="OV344"/>
      <c r="OW344"/>
      <c r="OX344"/>
      <c r="OY344"/>
      <c r="OZ344"/>
      <c r="PA344"/>
      <c r="PB344"/>
      <c r="PC344"/>
      <c r="PD344"/>
      <c r="PE344"/>
      <c r="PF344"/>
      <c r="PG344"/>
      <c r="PH344"/>
      <c r="PI344"/>
      <c r="PJ344"/>
      <c r="PK344"/>
      <c r="PL344"/>
      <c r="PM344"/>
      <c r="PN344"/>
      <c r="PO344"/>
      <c r="PP344"/>
      <c r="PQ344"/>
      <c r="PR344"/>
      <c r="PS344"/>
      <c r="PT344"/>
      <c r="PU344"/>
      <c r="PV344"/>
      <c r="PW344"/>
      <c r="PX344"/>
      <c r="PY344"/>
      <c r="PZ344"/>
      <c r="QA344"/>
      <c r="QB344"/>
      <c r="QC344"/>
      <c r="QD344"/>
      <c r="QE344"/>
      <c r="QF344"/>
      <c r="QG344"/>
      <c r="QH344"/>
      <c r="QI344"/>
      <c r="QJ344"/>
      <c r="QK344"/>
      <c r="QL344"/>
      <c r="QM344"/>
      <c r="QN344"/>
      <c r="QO344"/>
      <c r="QP344"/>
      <c r="QQ344"/>
      <c r="QR344"/>
      <c r="QS344"/>
      <c r="QT344"/>
      <c r="QU344"/>
      <c r="QV344"/>
      <c r="QW344"/>
      <c r="QX344"/>
      <c r="QY344"/>
      <c r="QZ344"/>
      <c r="RA344"/>
      <c r="RB344"/>
      <c r="RC344"/>
      <c r="RD344"/>
      <c r="RE344"/>
      <c r="RF344"/>
      <c r="RG344"/>
      <c r="RH344"/>
      <c r="RI344"/>
      <c r="RJ344"/>
      <c r="RK344"/>
      <c r="RL344"/>
      <c r="RM344"/>
      <c r="RN344"/>
      <c r="RO344"/>
      <c r="RP344"/>
      <c r="RQ344"/>
      <c r="RR344"/>
      <c r="RS344"/>
      <c r="RT344"/>
      <c r="RU344"/>
      <c r="RV344"/>
      <c r="RW344"/>
      <c r="RX344"/>
      <c r="RY344"/>
      <c r="RZ344"/>
      <c r="SA344"/>
      <c r="SB344"/>
      <c r="SC344"/>
      <c r="SD344"/>
      <c r="SE344"/>
      <c r="SF344"/>
      <c r="SG344"/>
      <c r="SH344"/>
      <c r="SI344"/>
      <c r="SJ344"/>
      <c r="SK344"/>
      <c r="SL344"/>
      <c r="SM344"/>
      <c r="SN344"/>
      <c r="SO344"/>
      <c r="SP344"/>
      <c r="SQ344"/>
      <c r="SR344"/>
      <c r="SS344"/>
      <c r="ST344"/>
      <c r="SU344"/>
      <c r="SV344"/>
      <c r="SW344"/>
      <c r="SX344"/>
      <c r="SY344"/>
      <c r="SZ344"/>
      <c r="TA344"/>
      <c r="TB344"/>
      <c r="TC344"/>
      <c r="TD344"/>
      <c r="TE344"/>
      <c r="TF344"/>
      <c r="TG344"/>
      <c r="TH344"/>
    </row>
    <row r="345" spans="3:528" x14ac:dyDescent="0.2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c r="KT345"/>
      <c r="KU345"/>
      <c r="KV345"/>
      <c r="KW345"/>
      <c r="KX345"/>
      <c r="KY345"/>
      <c r="KZ345"/>
      <c r="LA345"/>
      <c r="LB345"/>
      <c r="LC345"/>
      <c r="LD345"/>
      <c r="LE345"/>
      <c r="LF345"/>
      <c r="LG345"/>
      <c r="LH345"/>
      <c r="LI345"/>
      <c r="LJ345"/>
      <c r="LK345"/>
      <c r="LL345"/>
      <c r="LM345"/>
      <c r="LN345"/>
      <c r="LO345"/>
      <c r="LP345"/>
      <c r="LQ345"/>
      <c r="LR345"/>
      <c r="LS345"/>
      <c r="LT345"/>
      <c r="LU345"/>
      <c r="LV345"/>
      <c r="LW345"/>
      <c r="LX345"/>
      <c r="LY345"/>
      <c r="LZ345"/>
      <c r="MA345"/>
      <c r="MB345"/>
      <c r="MC345"/>
      <c r="MD345"/>
      <c r="ME345"/>
      <c r="MF345"/>
      <c r="MG345"/>
      <c r="MH345"/>
      <c r="MI345"/>
      <c r="MJ345"/>
      <c r="MK345"/>
      <c r="ML345"/>
      <c r="MM345"/>
      <c r="MN345"/>
      <c r="MO345"/>
      <c r="MP345"/>
      <c r="MQ345"/>
      <c r="MR345"/>
      <c r="MS345"/>
      <c r="MT345"/>
      <c r="MU345"/>
      <c r="MV345"/>
      <c r="MW345"/>
      <c r="MX345"/>
      <c r="MY345"/>
      <c r="MZ345"/>
      <c r="NA345"/>
      <c r="NB345"/>
      <c r="NC345"/>
      <c r="ND345"/>
      <c r="NE345"/>
      <c r="NF345"/>
      <c r="NG345"/>
      <c r="NH345"/>
      <c r="NI345"/>
      <c r="NJ345"/>
      <c r="NK345"/>
      <c r="NL345"/>
      <c r="NM345"/>
      <c r="NN345"/>
      <c r="NO345"/>
      <c r="NP345"/>
      <c r="NQ345"/>
      <c r="NR345"/>
      <c r="NS345"/>
      <c r="NT345"/>
      <c r="NU345"/>
      <c r="NV345"/>
      <c r="NW345"/>
      <c r="NX345"/>
      <c r="NY345"/>
      <c r="NZ345"/>
      <c r="OA345"/>
      <c r="OB345"/>
      <c r="OC345"/>
      <c r="OD345"/>
      <c r="OE345"/>
      <c r="OF345"/>
      <c r="OG345"/>
      <c r="OH345"/>
      <c r="OI345"/>
      <c r="OJ345"/>
      <c r="OK345"/>
      <c r="OL345"/>
      <c r="OM345"/>
      <c r="ON345"/>
      <c r="OO345"/>
      <c r="OP345"/>
      <c r="OQ345"/>
      <c r="OR345"/>
      <c r="OS345"/>
      <c r="OT345"/>
      <c r="OU345"/>
      <c r="OV345"/>
      <c r="OW345"/>
      <c r="OX345"/>
      <c r="OY345"/>
      <c r="OZ345"/>
      <c r="PA345"/>
      <c r="PB345"/>
      <c r="PC345"/>
      <c r="PD345"/>
      <c r="PE345"/>
      <c r="PF345"/>
      <c r="PG345"/>
      <c r="PH345"/>
      <c r="PI345"/>
      <c r="PJ345"/>
      <c r="PK345"/>
      <c r="PL345"/>
      <c r="PM345"/>
      <c r="PN345"/>
      <c r="PO345"/>
      <c r="PP345"/>
      <c r="PQ345"/>
      <c r="PR345"/>
      <c r="PS345"/>
      <c r="PT345"/>
      <c r="PU345"/>
      <c r="PV345"/>
      <c r="PW345"/>
      <c r="PX345"/>
      <c r="PY345"/>
      <c r="PZ345"/>
      <c r="QA345"/>
      <c r="QB345"/>
      <c r="QC345"/>
      <c r="QD345"/>
      <c r="QE345"/>
      <c r="QF345"/>
      <c r="QG345"/>
      <c r="QH345"/>
      <c r="QI345"/>
      <c r="QJ345"/>
      <c r="QK345"/>
      <c r="QL345"/>
      <c r="QM345"/>
      <c r="QN345"/>
      <c r="QO345"/>
      <c r="QP345"/>
      <c r="QQ345"/>
      <c r="QR345"/>
      <c r="QS345"/>
      <c r="QT345"/>
      <c r="QU345"/>
      <c r="QV345"/>
      <c r="QW345"/>
      <c r="QX345"/>
      <c r="QY345"/>
      <c r="QZ345"/>
      <c r="RA345"/>
      <c r="RB345"/>
      <c r="RC345"/>
      <c r="RD345"/>
      <c r="RE345"/>
      <c r="RF345"/>
      <c r="RG345"/>
      <c r="RH345"/>
      <c r="RI345"/>
      <c r="RJ345"/>
      <c r="RK345"/>
      <c r="RL345"/>
      <c r="RM345"/>
      <c r="RN345"/>
      <c r="RO345"/>
      <c r="RP345"/>
      <c r="RQ345"/>
      <c r="RR345"/>
      <c r="RS345"/>
      <c r="RT345"/>
      <c r="RU345"/>
      <c r="RV345"/>
      <c r="RW345"/>
      <c r="RX345"/>
      <c r="RY345"/>
      <c r="RZ345"/>
      <c r="SA345"/>
      <c r="SB345"/>
      <c r="SC345"/>
      <c r="SD345"/>
      <c r="SE345"/>
      <c r="SF345"/>
      <c r="SG345"/>
      <c r="SH345"/>
      <c r="SI345"/>
      <c r="SJ345"/>
      <c r="SK345"/>
      <c r="SL345"/>
      <c r="SM345"/>
      <c r="SN345"/>
      <c r="SO345"/>
      <c r="SP345"/>
      <c r="SQ345"/>
      <c r="SR345"/>
      <c r="SS345"/>
      <c r="ST345"/>
      <c r="SU345"/>
      <c r="SV345"/>
      <c r="SW345"/>
      <c r="SX345"/>
      <c r="SY345"/>
      <c r="SZ345"/>
      <c r="TA345"/>
      <c r="TB345"/>
      <c r="TC345"/>
      <c r="TD345"/>
      <c r="TE345"/>
      <c r="TF345"/>
      <c r="TG345"/>
      <c r="TH345"/>
    </row>
    <row r="346" spans="3:528" x14ac:dyDescent="0.25">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c r="KT346"/>
      <c r="KU346"/>
      <c r="KV346"/>
      <c r="KW346"/>
      <c r="KX346"/>
      <c r="KY346"/>
      <c r="KZ346"/>
      <c r="LA346"/>
      <c r="LB346"/>
      <c r="LC346"/>
      <c r="LD346"/>
      <c r="LE346"/>
      <c r="LF346"/>
      <c r="LG346"/>
      <c r="LH346"/>
      <c r="LI346"/>
      <c r="LJ346"/>
      <c r="LK346"/>
      <c r="LL346"/>
      <c r="LM346"/>
      <c r="LN346"/>
      <c r="LO346"/>
      <c r="LP346"/>
      <c r="LQ346"/>
      <c r="LR346"/>
      <c r="LS346"/>
      <c r="LT346"/>
      <c r="LU346"/>
      <c r="LV346"/>
      <c r="LW346"/>
      <c r="LX346"/>
      <c r="LY346"/>
      <c r="LZ346"/>
      <c r="MA346"/>
      <c r="MB346"/>
      <c r="MC346"/>
      <c r="MD346"/>
      <c r="ME346"/>
      <c r="MF346"/>
      <c r="MG346"/>
      <c r="MH346"/>
      <c r="MI346"/>
      <c r="MJ346"/>
      <c r="MK346"/>
      <c r="ML346"/>
      <c r="MM346"/>
      <c r="MN346"/>
      <c r="MO346"/>
      <c r="MP346"/>
      <c r="MQ346"/>
      <c r="MR346"/>
      <c r="MS346"/>
      <c r="MT346"/>
      <c r="MU346"/>
      <c r="MV346"/>
      <c r="MW346"/>
      <c r="MX346"/>
      <c r="MY346"/>
      <c r="MZ346"/>
      <c r="NA346"/>
      <c r="NB346"/>
      <c r="NC346"/>
      <c r="ND346"/>
      <c r="NE346"/>
      <c r="NF346"/>
      <c r="NG346"/>
      <c r="NH346"/>
      <c r="NI346"/>
      <c r="NJ346"/>
      <c r="NK346"/>
      <c r="NL346"/>
      <c r="NM346"/>
      <c r="NN346"/>
      <c r="NO346"/>
      <c r="NP346"/>
      <c r="NQ346"/>
      <c r="NR346"/>
      <c r="NS346"/>
      <c r="NT346"/>
      <c r="NU346"/>
      <c r="NV346"/>
      <c r="NW346"/>
      <c r="NX346"/>
      <c r="NY346"/>
      <c r="NZ346"/>
      <c r="OA346"/>
      <c r="OB346"/>
      <c r="OC346"/>
      <c r="OD346"/>
      <c r="OE346"/>
      <c r="OF346"/>
      <c r="OG346"/>
      <c r="OH346"/>
      <c r="OI346"/>
      <c r="OJ346"/>
      <c r="OK346"/>
      <c r="OL346"/>
      <c r="OM346"/>
      <c r="ON346"/>
      <c r="OO346"/>
      <c r="OP346"/>
      <c r="OQ346"/>
      <c r="OR346"/>
      <c r="OS346"/>
      <c r="OT346"/>
      <c r="OU346"/>
      <c r="OV346"/>
      <c r="OW346"/>
      <c r="OX346"/>
      <c r="OY346"/>
      <c r="OZ346"/>
      <c r="PA346"/>
      <c r="PB346"/>
      <c r="PC346"/>
      <c r="PD346"/>
      <c r="PE346"/>
      <c r="PF346"/>
      <c r="PG346"/>
      <c r="PH346"/>
      <c r="PI346"/>
      <c r="PJ346"/>
      <c r="PK346"/>
      <c r="PL346"/>
      <c r="PM346"/>
      <c r="PN346"/>
      <c r="PO346"/>
      <c r="PP346"/>
      <c r="PQ346"/>
      <c r="PR346"/>
      <c r="PS346"/>
      <c r="PT346"/>
      <c r="PU346"/>
      <c r="PV346"/>
      <c r="PW346"/>
      <c r="PX346"/>
      <c r="PY346"/>
      <c r="PZ346"/>
      <c r="QA346"/>
      <c r="QB346"/>
      <c r="QC346"/>
      <c r="QD346"/>
      <c r="QE346"/>
      <c r="QF346"/>
      <c r="QG346"/>
      <c r="QH346"/>
      <c r="QI346"/>
      <c r="QJ346"/>
      <c r="QK346"/>
      <c r="QL346"/>
      <c r="QM346"/>
      <c r="QN346"/>
      <c r="QO346"/>
      <c r="QP346"/>
      <c r="QQ346"/>
      <c r="QR346"/>
      <c r="QS346"/>
      <c r="QT346"/>
      <c r="QU346"/>
      <c r="QV346"/>
      <c r="QW346"/>
      <c r="QX346"/>
      <c r="QY346"/>
      <c r="QZ346"/>
      <c r="RA346"/>
      <c r="RB346"/>
      <c r="RC346"/>
      <c r="RD346"/>
      <c r="RE346"/>
      <c r="RF346"/>
      <c r="RG346"/>
      <c r="RH346"/>
      <c r="RI346"/>
      <c r="RJ346"/>
      <c r="RK346"/>
      <c r="RL346"/>
      <c r="RM346"/>
      <c r="RN346"/>
      <c r="RO346"/>
      <c r="RP346"/>
      <c r="RQ346"/>
      <c r="RR346"/>
      <c r="RS346"/>
      <c r="RT346"/>
      <c r="RU346"/>
      <c r="RV346"/>
      <c r="RW346"/>
      <c r="RX346"/>
      <c r="RY346"/>
      <c r="RZ346"/>
      <c r="SA346"/>
      <c r="SB346"/>
      <c r="SC346"/>
      <c r="SD346"/>
      <c r="SE346"/>
      <c r="SF346"/>
      <c r="SG346"/>
      <c r="SH346"/>
      <c r="SI346"/>
      <c r="SJ346"/>
      <c r="SK346"/>
      <c r="SL346"/>
      <c r="SM346"/>
      <c r="SN346"/>
      <c r="SO346"/>
      <c r="SP346"/>
      <c r="SQ346"/>
      <c r="SR346"/>
      <c r="SS346"/>
      <c r="ST346"/>
      <c r="SU346"/>
      <c r="SV346"/>
      <c r="SW346"/>
      <c r="SX346"/>
      <c r="SY346"/>
      <c r="SZ346"/>
      <c r="TA346"/>
      <c r="TB346"/>
      <c r="TC346"/>
      <c r="TD346"/>
      <c r="TE346"/>
      <c r="TF346"/>
      <c r="TG346"/>
      <c r="TH346"/>
    </row>
    <row r="347" spans="3:528" x14ac:dyDescent="0.25">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c r="KT347"/>
      <c r="KU347"/>
      <c r="KV347"/>
      <c r="KW347"/>
      <c r="KX347"/>
      <c r="KY347"/>
      <c r="KZ347"/>
      <c r="LA347"/>
      <c r="LB347"/>
      <c r="LC347"/>
      <c r="LD347"/>
      <c r="LE347"/>
      <c r="LF347"/>
      <c r="LG347"/>
      <c r="LH347"/>
      <c r="LI347"/>
      <c r="LJ347"/>
      <c r="LK347"/>
      <c r="LL347"/>
      <c r="LM347"/>
      <c r="LN347"/>
      <c r="LO347"/>
      <c r="LP347"/>
      <c r="LQ347"/>
      <c r="LR347"/>
      <c r="LS347"/>
      <c r="LT347"/>
      <c r="LU347"/>
      <c r="LV347"/>
      <c r="LW347"/>
      <c r="LX347"/>
      <c r="LY347"/>
      <c r="LZ347"/>
      <c r="MA347"/>
      <c r="MB347"/>
      <c r="MC347"/>
      <c r="MD347"/>
      <c r="ME347"/>
      <c r="MF347"/>
      <c r="MG347"/>
      <c r="MH347"/>
      <c r="MI347"/>
      <c r="MJ347"/>
      <c r="MK347"/>
      <c r="ML347"/>
      <c r="MM347"/>
      <c r="MN347"/>
      <c r="MO347"/>
      <c r="MP347"/>
      <c r="MQ347"/>
      <c r="MR347"/>
      <c r="MS347"/>
      <c r="MT347"/>
      <c r="MU347"/>
      <c r="MV347"/>
      <c r="MW347"/>
      <c r="MX347"/>
      <c r="MY347"/>
      <c r="MZ347"/>
      <c r="NA347"/>
      <c r="NB347"/>
      <c r="NC347"/>
      <c r="ND347"/>
      <c r="NE347"/>
      <c r="NF347"/>
      <c r="NG347"/>
      <c r="NH347"/>
      <c r="NI347"/>
      <c r="NJ347"/>
      <c r="NK347"/>
      <c r="NL347"/>
      <c r="NM347"/>
      <c r="NN347"/>
      <c r="NO347"/>
      <c r="NP347"/>
      <c r="NQ347"/>
      <c r="NR347"/>
      <c r="NS347"/>
      <c r="NT347"/>
      <c r="NU347"/>
      <c r="NV347"/>
      <c r="NW347"/>
      <c r="NX347"/>
      <c r="NY347"/>
      <c r="NZ347"/>
      <c r="OA347"/>
      <c r="OB347"/>
      <c r="OC347"/>
      <c r="OD347"/>
      <c r="OE347"/>
      <c r="OF347"/>
      <c r="OG347"/>
      <c r="OH347"/>
      <c r="OI347"/>
      <c r="OJ347"/>
      <c r="OK347"/>
      <c r="OL347"/>
      <c r="OM347"/>
      <c r="ON347"/>
      <c r="OO347"/>
      <c r="OP347"/>
      <c r="OQ347"/>
      <c r="OR347"/>
      <c r="OS347"/>
      <c r="OT347"/>
      <c r="OU347"/>
      <c r="OV347"/>
      <c r="OW347"/>
      <c r="OX347"/>
      <c r="OY347"/>
      <c r="OZ347"/>
      <c r="PA347"/>
      <c r="PB347"/>
      <c r="PC347"/>
      <c r="PD347"/>
      <c r="PE347"/>
      <c r="PF347"/>
      <c r="PG347"/>
      <c r="PH347"/>
      <c r="PI347"/>
      <c r="PJ347"/>
      <c r="PK347"/>
      <c r="PL347"/>
      <c r="PM347"/>
      <c r="PN347"/>
      <c r="PO347"/>
      <c r="PP347"/>
      <c r="PQ347"/>
      <c r="PR347"/>
      <c r="PS347"/>
      <c r="PT347"/>
      <c r="PU347"/>
      <c r="PV347"/>
      <c r="PW347"/>
      <c r="PX347"/>
      <c r="PY347"/>
      <c r="PZ347"/>
      <c r="QA347"/>
      <c r="QB347"/>
      <c r="QC347"/>
      <c r="QD347"/>
      <c r="QE347"/>
      <c r="QF347"/>
      <c r="QG347"/>
      <c r="QH347"/>
      <c r="QI347"/>
      <c r="QJ347"/>
      <c r="QK347"/>
      <c r="QL347"/>
      <c r="QM347"/>
      <c r="QN347"/>
      <c r="QO347"/>
      <c r="QP347"/>
      <c r="QQ347"/>
      <c r="QR347"/>
      <c r="QS347"/>
      <c r="QT347"/>
      <c r="QU347"/>
      <c r="QV347"/>
      <c r="QW347"/>
      <c r="QX347"/>
      <c r="QY347"/>
      <c r="QZ347"/>
      <c r="RA347"/>
      <c r="RB347"/>
      <c r="RC347"/>
      <c r="RD347"/>
      <c r="RE347"/>
      <c r="RF347"/>
      <c r="RG347"/>
      <c r="RH347"/>
      <c r="RI347"/>
      <c r="RJ347"/>
      <c r="RK347"/>
      <c r="RL347"/>
      <c r="RM347"/>
      <c r="RN347"/>
      <c r="RO347"/>
      <c r="RP347"/>
      <c r="RQ347"/>
      <c r="RR347"/>
      <c r="RS347"/>
      <c r="RT347"/>
      <c r="RU347"/>
      <c r="RV347"/>
      <c r="RW347"/>
      <c r="RX347"/>
      <c r="RY347"/>
      <c r="RZ347"/>
      <c r="SA347"/>
      <c r="SB347"/>
      <c r="SC347"/>
      <c r="SD347"/>
      <c r="SE347"/>
      <c r="SF347"/>
      <c r="SG347"/>
      <c r="SH347"/>
      <c r="SI347"/>
      <c r="SJ347"/>
      <c r="SK347"/>
      <c r="SL347"/>
      <c r="SM347"/>
      <c r="SN347"/>
      <c r="SO347"/>
      <c r="SP347"/>
      <c r="SQ347"/>
      <c r="SR347"/>
      <c r="SS347"/>
      <c r="ST347"/>
      <c r="SU347"/>
      <c r="SV347"/>
      <c r="SW347"/>
      <c r="SX347"/>
      <c r="SY347"/>
      <c r="SZ347"/>
      <c r="TA347"/>
      <c r="TB347"/>
      <c r="TC347"/>
      <c r="TD347"/>
      <c r="TE347"/>
      <c r="TF347"/>
      <c r="TG347"/>
      <c r="TH347"/>
    </row>
    <row r="348" spans="3:528" x14ac:dyDescent="0.25">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c r="KT348"/>
      <c r="KU348"/>
      <c r="KV348"/>
      <c r="KW348"/>
      <c r="KX348"/>
      <c r="KY348"/>
      <c r="KZ348"/>
      <c r="LA348"/>
      <c r="LB348"/>
      <c r="LC348"/>
      <c r="LD348"/>
      <c r="LE348"/>
      <c r="LF348"/>
      <c r="LG348"/>
      <c r="LH348"/>
      <c r="LI348"/>
      <c r="LJ348"/>
      <c r="LK348"/>
      <c r="LL348"/>
      <c r="LM348"/>
      <c r="LN348"/>
      <c r="LO348"/>
      <c r="LP348"/>
      <c r="LQ348"/>
      <c r="LR348"/>
      <c r="LS348"/>
      <c r="LT348"/>
      <c r="LU348"/>
      <c r="LV348"/>
      <c r="LW348"/>
      <c r="LX348"/>
      <c r="LY348"/>
      <c r="LZ348"/>
      <c r="MA348"/>
      <c r="MB348"/>
      <c r="MC348"/>
      <c r="MD348"/>
      <c r="ME348"/>
      <c r="MF348"/>
      <c r="MG348"/>
      <c r="MH348"/>
      <c r="MI348"/>
      <c r="MJ348"/>
      <c r="MK348"/>
      <c r="ML348"/>
      <c r="MM348"/>
      <c r="MN348"/>
      <c r="MO348"/>
      <c r="MP348"/>
      <c r="MQ348"/>
      <c r="MR348"/>
      <c r="MS348"/>
      <c r="MT348"/>
      <c r="MU348"/>
      <c r="MV348"/>
      <c r="MW348"/>
      <c r="MX348"/>
      <c r="MY348"/>
      <c r="MZ348"/>
      <c r="NA348"/>
      <c r="NB348"/>
      <c r="NC348"/>
      <c r="ND348"/>
      <c r="NE348"/>
      <c r="NF348"/>
      <c r="NG348"/>
      <c r="NH348"/>
      <c r="NI348"/>
      <c r="NJ348"/>
      <c r="NK348"/>
      <c r="NL348"/>
      <c r="NM348"/>
      <c r="NN348"/>
      <c r="NO348"/>
      <c r="NP348"/>
      <c r="NQ348"/>
      <c r="NR348"/>
      <c r="NS348"/>
      <c r="NT348"/>
      <c r="NU348"/>
      <c r="NV348"/>
      <c r="NW348"/>
      <c r="NX348"/>
      <c r="NY348"/>
      <c r="NZ348"/>
      <c r="OA348"/>
      <c r="OB348"/>
      <c r="OC348"/>
      <c r="OD348"/>
      <c r="OE348"/>
      <c r="OF348"/>
      <c r="OG348"/>
      <c r="OH348"/>
      <c r="OI348"/>
      <c r="OJ348"/>
      <c r="OK348"/>
      <c r="OL348"/>
      <c r="OM348"/>
      <c r="ON348"/>
      <c r="OO348"/>
      <c r="OP348"/>
      <c r="OQ348"/>
      <c r="OR348"/>
      <c r="OS348"/>
      <c r="OT348"/>
      <c r="OU348"/>
      <c r="OV348"/>
      <c r="OW348"/>
      <c r="OX348"/>
      <c r="OY348"/>
      <c r="OZ348"/>
      <c r="PA348"/>
      <c r="PB348"/>
      <c r="PC348"/>
      <c r="PD348"/>
      <c r="PE348"/>
      <c r="PF348"/>
      <c r="PG348"/>
      <c r="PH348"/>
      <c r="PI348"/>
      <c r="PJ348"/>
      <c r="PK348"/>
      <c r="PL348"/>
      <c r="PM348"/>
      <c r="PN348"/>
      <c r="PO348"/>
      <c r="PP348"/>
      <c r="PQ348"/>
      <c r="PR348"/>
      <c r="PS348"/>
      <c r="PT348"/>
      <c r="PU348"/>
      <c r="PV348"/>
      <c r="PW348"/>
      <c r="PX348"/>
      <c r="PY348"/>
      <c r="PZ348"/>
      <c r="QA348"/>
      <c r="QB348"/>
      <c r="QC348"/>
      <c r="QD348"/>
      <c r="QE348"/>
      <c r="QF348"/>
      <c r="QG348"/>
      <c r="QH348"/>
      <c r="QI348"/>
      <c r="QJ348"/>
      <c r="QK348"/>
      <c r="QL348"/>
      <c r="QM348"/>
      <c r="QN348"/>
      <c r="QO348"/>
      <c r="QP348"/>
      <c r="QQ348"/>
      <c r="QR348"/>
      <c r="QS348"/>
      <c r="QT348"/>
      <c r="QU348"/>
      <c r="QV348"/>
      <c r="QW348"/>
      <c r="QX348"/>
      <c r="QY348"/>
      <c r="QZ348"/>
      <c r="RA348"/>
      <c r="RB348"/>
      <c r="RC348"/>
      <c r="RD348"/>
      <c r="RE348"/>
      <c r="RF348"/>
      <c r="RG348"/>
      <c r="RH348"/>
      <c r="RI348"/>
      <c r="RJ348"/>
      <c r="RK348"/>
      <c r="RL348"/>
      <c r="RM348"/>
      <c r="RN348"/>
      <c r="RO348"/>
      <c r="RP348"/>
      <c r="RQ348"/>
      <c r="RR348"/>
      <c r="RS348"/>
      <c r="RT348"/>
      <c r="RU348"/>
      <c r="RV348"/>
      <c r="RW348"/>
      <c r="RX348"/>
      <c r="RY348"/>
      <c r="RZ348"/>
      <c r="SA348"/>
      <c r="SB348"/>
      <c r="SC348"/>
      <c r="SD348"/>
      <c r="SE348"/>
      <c r="SF348"/>
      <c r="SG348"/>
      <c r="SH348"/>
      <c r="SI348"/>
      <c r="SJ348"/>
      <c r="SK348"/>
      <c r="SL348"/>
      <c r="SM348"/>
      <c r="SN348"/>
      <c r="SO348"/>
      <c r="SP348"/>
      <c r="SQ348"/>
      <c r="SR348"/>
      <c r="SS348"/>
      <c r="ST348"/>
      <c r="SU348"/>
      <c r="SV348"/>
      <c r="SW348"/>
      <c r="SX348"/>
      <c r="SY348"/>
      <c r="SZ348"/>
      <c r="TA348"/>
      <c r="TB348"/>
      <c r="TC348"/>
      <c r="TD348"/>
      <c r="TE348"/>
      <c r="TF348"/>
      <c r="TG348"/>
      <c r="TH348"/>
    </row>
    <row r="349" spans="3:528" x14ac:dyDescent="0.25">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c r="KT349"/>
      <c r="KU349"/>
      <c r="KV349"/>
      <c r="KW349"/>
      <c r="KX349"/>
      <c r="KY349"/>
      <c r="KZ349"/>
      <c r="LA349"/>
      <c r="LB349"/>
      <c r="LC349"/>
      <c r="LD349"/>
      <c r="LE349"/>
      <c r="LF349"/>
      <c r="LG349"/>
      <c r="LH349"/>
      <c r="LI349"/>
      <c r="LJ349"/>
      <c r="LK349"/>
      <c r="LL349"/>
      <c r="LM349"/>
      <c r="LN349"/>
      <c r="LO349"/>
      <c r="LP349"/>
      <c r="LQ349"/>
      <c r="LR349"/>
      <c r="LS349"/>
      <c r="LT349"/>
      <c r="LU349"/>
      <c r="LV349"/>
      <c r="LW349"/>
      <c r="LX349"/>
      <c r="LY349"/>
      <c r="LZ349"/>
      <c r="MA349"/>
      <c r="MB349"/>
      <c r="MC349"/>
      <c r="MD349"/>
      <c r="ME349"/>
      <c r="MF349"/>
      <c r="MG349"/>
      <c r="MH349"/>
      <c r="MI349"/>
      <c r="MJ349"/>
      <c r="MK349"/>
      <c r="ML349"/>
      <c r="MM349"/>
      <c r="MN349"/>
      <c r="MO349"/>
      <c r="MP349"/>
      <c r="MQ349"/>
      <c r="MR349"/>
      <c r="MS349"/>
      <c r="MT349"/>
      <c r="MU349"/>
      <c r="MV349"/>
      <c r="MW349"/>
      <c r="MX349"/>
      <c r="MY349"/>
      <c r="MZ349"/>
      <c r="NA349"/>
      <c r="NB349"/>
      <c r="NC349"/>
      <c r="ND349"/>
      <c r="NE349"/>
      <c r="NF349"/>
      <c r="NG349"/>
      <c r="NH349"/>
      <c r="NI349"/>
      <c r="NJ349"/>
      <c r="NK349"/>
      <c r="NL349"/>
      <c r="NM349"/>
      <c r="NN349"/>
      <c r="NO349"/>
      <c r="NP349"/>
      <c r="NQ349"/>
      <c r="NR349"/>
      <c r="NS349"/>
      <c r="NT349"/>
      <c r="NU349"/>
      <c r="NV349"/>
      <c r="NW349"/>
      <c r="NX349"/>
      <c r="NY349"/>
      <c r="NZ349"/>
      <c r="OA349"/>
      <c r="OB349"/>
      <c r="OC349"/>
      <c r="OD349"/>
      <c r="OE349"/>
      <c r="OF349"/>
      <c r="OG349"/>
      <c r="OH349"/>
      <c r="OI349"/>
      <c r="OJ349"/>
      <c r="OK349"/>
      <c r="OL349"/>
      <c r="OM349"/>
      <c r="ON349"/>
      <c r="OO349"/>
      <c r="OP349"/>
      <c r="OQ349"/>
      <c r="OR349"/>
      <c r="OS349"/>
      <c r="OT349"/>
      <c r="OU349"/>
      <c r="OV349"/>
      <c r="OW349"/>
      <c r="OX349"/>
      <c r="OY349"/>
      <c r="OZ349"/>
      <c r="PA349"/>
      <c r="PB349"/>
      <c r="PC349"/>
      <c r="PD349"/>
      <c r="PE349"/>
      <c r="PF349"/>
      <c r="PG349"/>
      <c r="PH349"/>
      <c r="PI349"/>
      <c r="PJ349"/>
      <c r="PK349"/>
      <c r="PL349"/>
      <c r="PM349"/>
      <c r="PN349"/>
      <c r="PO349"/>
      <c r="PP349"/>
      <c r="PQ349"/>
      <c r="PR349"/>
      <c r="PS349"/>
      <c r="PT349"/>
      <c r="PU349"/>
      <c r="PV349"/>
      <c r="PW349"/>
      <c r="PX349"/>
      <c r="PY349"/>
      <c r="PZ349"/>
      <c r="QA349"/>
      <c r="QB349"/>
      <c r="QC349"/>
      <c r="QD349"/>
      <c r="QE349"/>
      <c r="QF349"/>
      <c r="QG349"/>
      <c r="QH349"/>
      <c r="QI349"/>
      <c r="QJ349"/>
      <c r="QK349"/>
      <c r="QL349"/>
      <c r="QM349"/>
      <c r="QN349"/>
      <c r="QO349"/>
      <c r="QP349"/>
      <c r="QQ349"/>
      <c r="QR349"/>
      <c r="QS349"/>
      <c r="QT349"/>
      <c r="QU349"/>
      <c r="QV349"/>
      <c r="QW349"/>
      <c r="QX349"/>
      <c r="QY349"/>
      <c r="QZ349"/>
      <c r="RA349"/>
      <c r="RB349"/>
      <c r="RC349"/>
      <c r="RD349"/>
      <c r="RE349"/>
      <c r="RF349"/>
      <c r="RG349"/>
      <c r="RH349"/>
      <c r="RI349"/>
      <c r="RJ349"/>
      <c r="RK349"/>
      <c r="RL349"/>
      <c r="RM349"/>
      <c r="RN349"/>
      <c r="RO349"/>
      <c r="RP349"/>
      <c r="RQ349"/>
      <c r="RR349"/>
      <c r="RS349"/>
      <c r="RT349"/>
      <c r="RU349"/>
      <c r="RV349"/>
      <c r="RW349"/>
      <c r="RX349"/>
      <c r="RY349"/>
      <c r="RZ349"/>
      <c r="SA349"/>
      <c r="SB349"/>
      <c r="SC349"/>
      <c r="SD349"/>
      <c r="SE349"/>
      <c r="SF349"/>
      <c r="SG349"/>
      <c r="SH349"/>
      <c r="SI349"/>
      <c r="SJ349"/>
      <c r="SK349"/>
      <c r="SL349"/>
      <c r="SM349"/>
      <c r="SN349"/>
      <c r="SO349"/>
      <c r="SP349"/>
      <c r="SQ349"/>
      <c r="SR349"/>
      <c r="SS349"/>
      <c r="ST349"/>
      <c r="SU349"/>
      <c r="SV349"/>
      <c r="SW349"/>
      <c r="SX349"/>
      <c r="SY349"/>
      <c r="SZ349"/>
      <c r="TA349"/>
      <c r="TB349"/>
      <c r="TC349"/>
      <c r="TD349"/>
      <c r="TE349"/>
      <c r="TF349"/>
      <c r="TG349"/>
      <c r="TH349"/>
    </row>
    <row r="350" spans="3:528" x14ac:dyDescent="0.25">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c r="KT350"/>
      <c r="KU350"/>
      <c r="KV350"/>
      <c r="KW350"/>
      <c r="KX350"/>
      <c r="KY350"/>
      <c r="KZ350"/>
      <c r="LA350"/>
      <c r="LB350"/>
      <c r="LC350"/>
      <c r="LD350"/>
      <c r="LE350"/>
      <c r="LF350"/>
      <c r="LG350"/>
      <c r="LH350"/>
      <c r="LI350"/>
      <c r="LJ350"/>
      <c r="LK350"/>
      <c r="LL350"/>
      <c r="LM350"/>
      <c r="LN350"/>
      <c r="LO350"/>
      <c r="LP350"/>
      <c r="LQ350"/>
      <c r="LR350"/>
      <c r="LS350"/>
      <c r="LT350"/>
      <c r="LU350"/>
      <c r="LV350"/>
      <c r="LW350"/>
      <c r="LX350"/>
      <c r="LY350"/>
      <c r="LZ350"/>
      <c r="MA350"/>
      <c r="MB350"/>
      <c r="MC350"/>
      <c r="MD350"/>
      <c r="ME350"/>
      <c r="MF350"/>
      <c r="MG350"/>
      <c r="MH350"/>
      <c r="MI350"/>
      <c r="MJ350"/>
      <c r="MK350"/>
      <c r="ML350"/>
      <c r="MM350"/>
      <c r="MN350"/>
      <c r="MO350"/>
      <c r="MP350"/>
      <c r="MQ350"/>
      <c r="MR350"/>
      <c r="MS350"/>
      <c r="MT350"/>
      <c r="MU350"/>
      <c r="MV350"/>
      <c r="MW350"/>
      <c r="MX350"/>
      <c r="MY350"/>
      <c r="MZ350"/>
      <c r="NA350"/>
      <c r="NB350"/>
      <c r="NC350"/>
      <c r="ND350"/>
      <c r="NE350"/>
      <c r="NF350"/>
      <c r="NG350"/>
      <c r="NH350"/>
      <c r="NI350"/>
      <c r="NJ350"/>
      <c r="NK350"/>
      <c r="NL350"/>
      <c r="NM350"/>
      <c r="NN350"/>
      <c r="NO350"/>
      <c r="NP350"/>
      <c r="NQ350"/>
      <c r="NR350"/>
      <c r="NS350"/>
      <c r="NT350"/>
      <c r="NU350"/>
      <c r="NV350"/>
      <c r="NW350"/>
      <c r="NX350"/>
      <c r="NY350"/>
      <c r="NZ350"/>
      <c r="OA350"/>
      <c r="OB350"/>
      <c r="OC350"/>
      <c r="OD350"/>
      <c r="OE350"/>
      <c r="OF350"/>
      <c r="OG350"/>
      <c r="OH350"/>
      <c r="OI350"/>
      <c r="OJ350"/>
      <c r="OK350"/>
      <c r="OL350"/>
      <c r="OM350"/>
      <c r="ON350"/>
      <c r="OO350"/>
      <c r="OP350"/>
      <c r="OQ350"/>
      <c r="OR350"/>
      <c r="OS350"/>
      <c r="OT350"/>
      <c r="OU350"/>
      <c r="OV350"/>
      <c r="OW350"/>
      <c r="OX350"/>
      <c r="OY350"/>
      <c r="OZ350"/>
      <c r="PA350"/>
      <c r="PB350"/>
      <c r="PC350"/>
      <c r="PD350"/>
      <c r="PE350"/>
      <c r="PF350"/>
      <c r="PG350"/>
      <c r="PH350"/>
      <c r="PI350"/>
      <c r="PJ350"/>
      <c r="PK350"/>
      <c r="PL350"/>
      <c r="PM350"/>
      <c r="PN350"/>
      <c r="PO350"/>
      <c r="PP350"/>
      <c r="PQ350"/>
      <c r="PR350"/>
      <c r="PS350"/>
      <c r="PT350"/>
      <c r="PU350"/>
      <c r="PV350"/>
      <c r="PW350"/>
      <c r="PX350"/>
      <c r="PY350"/>
      <c r="PZ350"/>
      <c r="QA350"/>
      <c r="QB350"/>
      <c r="QC350"/>
      <c r="QD350"/>
      <c r="QE350"/>
      <c r="QF350"/>
      <c r="QG350"/>
      <c r="QH350"/>
      <c r="QI350"/>
      <c r="QJ350"/>
      <c r="QK350"/>
      <c r="QL350"/>
      <c r="QM350"/>
      <c r="QN350"/>
      <c r="QO350"/>
      <c r="QP350"/>
      <c r="QQ350"/>
      <c r="QR350"/>
      <c r="QS350"/>
      <c r="QT350"/>
      <c r="QU350"/>
      <c r="QV350"/>
      <c r="QW350"/>
      <c r="QX350"/>
      <c r="QY350"/>
      <c r="QZ350"/>
      <c r="RA350"/>
      <c r="RB350"/>
      <c r="RC350"/>
      <c r="RD350"/>
      <c r="RE350"/>
      <c r="RF350"/>
      <c r="RG350"/>
      <c r="RH350"/>
      <c r="RI350"/>
      <c r="RJ350"/>
      <c r="RK350"/>
      <c r="RL350"/>
      <c r="RM350"/>
      <c r="RN350"/>
      <c r="RO350"/>
      <c r="RP350"/>
      <c r="RQ350"/>
      <c r="RR350"/>
      <c r="RS350"/>
      <c r="RT350"/>
      <c r="RU350"/>
      <c r="RV350"/>
      <c r="RW350"/>
      <c r="RX350"/>
      <c r="RY350"/>
      <c r="RZ350"/>
      <c r="SA350"/>
      <c r="SB350"/>
      <c r="SC350"/>
      <c r="SD350"/>
      <c r="SE350"/>
      <c r="SF350"/>
      <c r="SG350"/>
      <c r="SH350"/>
      <c r="SI350"/>
      <c r="SJ350"/>
      <c r="SK350"/>
      <c r="SL350"/>
      <c r="SM350"/>
      <c r="SN350"/>
      <c r="SO350"/>
      <c r="SP350"/>
      <c r="SQ350"/>
      <c r="SR350"/>
      <c r="SS350"/>
      <c r="ST350"/>
      <c r="SU350"/>
      <c r="SV350"/>
      <c r="SW350"/>
      <c r="SX350"/>
      <c r="SY350"/>
      <c r="SZ350"/>
      <c r="TA350"/>
      <c r="TB350"/>
      <c r="TC350"/>
      <c r="TD350"/>
      <c r="TE350"/>
      <c r="TF350"/>
      <c r="TG350"/>
      <c r="TH350"/>
    </row>
    <row r="351" spans="3:528" x14ac:dyDescent="0.25">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c r="KT351"/>
      <c r="KU351"/>
      <c r="KV351"/>
      <c r="KW351"/>
      <c r="KX351"/>
      <c r="KY351"/>
      <c r="KZ351"/>
      <c r="LA351"/>
      <c r="LB351"/>
      <c r="LC351"/>
      <c r="LD351"/>
      <c r="LE351"/>
      <c r="LF351"/>
      <c r="LG351"/>
      <c r="LH351"/>
      <c r="LI351"/>
      <c r="LJ351"/>
      <c r="LK351"/>
      <c r="LL351"/>
      <c r="LM351"/>
      <c r="LN351"/>
      <c r="LO351"/>
      <c r="LP351"/>
      <c r="LQ351"/>
      <c r="LR351"/>
      <c r="LS351"/>
      <c r="LT351"/>
      <c r="LU351"/>
      <c r="LV351"/>
      <c r="LW351"/>
      <c r="LX351"/>
      <c r="LY351"/>
      <c r="LZ351"/>
      <c r="MA351"/>
      <c r="MB351"/>
      <c r="MC351"/>
      <c r="MD351"/>
      <c r="ME351"/>
      <c r="MF351"/>
      <c r="MG351"/>
      <c r="MH351"/>
      <c r="MI351"/>
      <c r="MJ351"/>
      <c r="MK351"/>
      <c r="ML351"/>
      <c r="MM351"/>
      <c r="MN351"/>
      <c r="MO351"/>
      <c r="MP351"/>
      <c r="MQ351"/>
      <c r="MR351"/>
      <c r="MS351"/>
      <c r="MT351"/>
      <c r="MU351"/>
      <c r="MV351"/>
      <c r="MW351"/>
      <c r="MX351"/>
      <c r="MY351"/>
      <c r="MZ351"/>
      <c r="NA351"/>
      <c r="NB351"/>
      <c r="NC351"/>
      <c r="ND351"/>
      <c r="NE351"/>
      <c r="NF351"/>
      <c r="NG351"/>
      <c r="NH351"/>
      <c r="NI351"/>
      <c r="NJ351"/>
      <c r="NK351"/>
      <c r="NL351"/>
      <c r="NM351"/>
      <c r="NN351"/>
      <c r="NO351"/>
      <c r="NP351"/>
      <c r="NQ351"/>
      <c r="NR351"/>
      <c r="NS351"/>
      <c r="NT351"/>
      <c r="NU351"/>
      <c r="NV351"/>
      <c r="NW351"/>
      <c r="NX351"/>
      <c r="NY351"/>
      <c r="NZ351"/>
      <c r="OA351"/>
      <c r="OB351"/>
      <c r="OC351"/>
      <c r="OD351"/>
      <c r="OE351"/>
      <c r="OF351"/>
      <c r="OG351"/>
      <c r="OH351"/>
      <c r="OI351"/>
      <c r="OJ351"/>
      <c r="OK351"/>
      <c r="OL351"/>
      <c r="OM351"/>
      <c r="ON351"/>
      <c r="OO351"/>
      <c r="OP351"/>
      <c r="OQ351"/>
      <c r="OR351"/>
      <c r="OS351"/>
      <c r="OT351"/>
      <c r="OU351"/>
      <c r="OV351"/>
      <c r="OW351"/>
      <c r="OX351"/>
      <c r="OY351"/>
      <c r="OZ351"/>
      <c r="PA351"/>
      <c r="PB351"/>
      <c r="PC351"/>
      <c r="PD351"/>
      <c r="PE351"/>
      <c r="PF351"/>
      <c r="PG351"/>
      <c r="PH351"/>
      <c r="PI351"/>
      <c r="PJ351"/>
      <c r="PK351"/>
      <c r="PL351"/>
      <c r="PM351"/>
      <c r="PN351"/>
      <c r="PO351"/>
      <c r="PP351"/>
      <c r="PQ351"/>
      <c r="PR351"/>
      <c r="PS351"/>
      <c r="PT351"/>
      <c r="PU351"/>
      <c r="PV351"/>
      <c r="PW351"/>
      <c r="PX351"/>
      <c r="PY351"/>
      <c r="PZ351"/>
      <c r="QA351"/>
      <c r="QB351"/>
      <c r="QC351"/>
      <c r="QD351"/>
      <c r="QE351"/>
      <c r="QF351"/>
      <c r="QG351"/>
      <c r="QH351"/>
      <c r="QI351"/>
      <c r="QJ351"/>
      <c r="QK351"/>
      <c r="QL351"/>
      <c r="QM351"/>
      <c r="QN351"/>
      <c r="QO351"/>
      <c r="QP351"/>
      <c r="QQ351"/>
      <c r="QR351"/>
      <c r="QS351"/>
      <c r="QT351"/>
      <c r="QU351"/>
      <c r="QV351"/>
      <c r="QW351"/>
      <c r="QX351"/>
      <c r="QY351"/>
      <c r="QZ351"/>
      <c r="RA351"/>
      <c r="RB351"/>
      <c r="RC351"/>
      <c r="RD351"/>
      <c r="RE351"/>
      <c r="RF351"/>
      <c r="RG351"/>
      <c r="RH351"/>
      <c r="RI351"/>
      <c r="RJ351"/>
      <c r="RK351"/>
      <c r="RL351"/>
      <c r="RM351"/>
      <c r="RN351"/>
      <c r="RO351"/>
      <c r="RP351"/>
      <c r="RQ351"/>
      <c r="RR351"/>
      <c r="RS351"/>
      <c r="RT351"/>
      <c r="RU351"/>
      <c r="RV351"/>
      <c r="RW351"/>
      <c r="RX351"/>
      <c r="RY351"/>
      <c r="RZ351"/>
      <c r="SA351"/>
      <c r="SB351"/>
      <c r="SC351"/>
      <c r="SD351"/>
      <c r="SE351"/>
      <c r="SF351"/>
      <c r="SG351"/>
      <c r="SH351"/>
      <c r="SI351"/>
      <c r="SJ351"/>
      <c r="SK351"/>
      <c r="SL351"/>
      <c r="SM351"/>
      <c r="SN351"/>
      <c r="SO351"/>
      <c r="SP351"/>
      <c r="SQ351"/>
      <c r="SR351"/>
      <c r="SS351"/>
      <c r="ST351"/>
      <c r="SU351"/>
      <c r="SV351"/>
      <c r="SW351"/>
      <c r="SX351"/>
      <c r="SY351"/>
      <c r="SZ351"/>
      <c r="TA351"/>
      <c r="TB351"/>
      <c r="TC351"/>
      <c r="TD351"/>
      <c r="TE351"/>
      <c r="TF351"/>
      <c r="TG351"/>
      <c r="TH351"/>
    </row>
    <row r="352" spans="3:528" x14ac:dyDescent="0.25">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c r="KT352"/>
      <c r="KU352"/>
      <c r="KV352"/>
      <c r="KW352"/>
      <c r="KX352"/>
      <c r="KY352"/>
      <c r="KZ352"/>
      <c r="LA352"/>
      <c r="LB352"/>
      <c r="LC352"/>
      <c r="LD352"/>
      <c r="LE352"/>
      <c r="LF352"/>
      <c r="LG352"/>
      <c r="LH352"/>
      <c r="LI352"/>
      <c r="LJ352"/>
      <c r="LK352"/>
      <c r="LL352"/>
      <c r="LM352"/>
      <c r="LN352"/>
      <c r="LO352"/>
      <c r="LP352"/>
      <c r="LQ352"/>
      <c r="LR352"/>
      <c r="LS352"/>
      <c r="LT352"/>
      <c r="LU352"/>
      <c r="LV352"/>
      <c r="LW352"/>
      <c r="LX352"/>
      <c r="LY352"/>
      <c r="LZ352"/>
      <c r="MA352"/>
      <c r="MB352"/>
      <c r="MC352"/>
      <c r="MD352"/>
      <c r="ME352"/>
      <c r="MF352"/>
      <c r="MG352"/>
      <c r="MH352"/>
      <c r="MI352"/>
      <c r="MJ352"/>
      <c r="MK352"/>
      <c r="ML352"/>
      <c r="MM352"/>
      <c r="MN352"/>
      <c r="MO352"/>
      <c r="MP352"/>
      <c r="MQ352"/>
      <c r="MR352"/>
      <c r="MS352"/>
      <c r="MT352"/>
      <c r="MU352"/>
      <c r="MV352"/>
      <c r="MW352"/>
      <c r="MX352"/>
      <c r="MY352"/>
      <c r="MZ352"/>
      <c r="NA352"/>
      <c r="NB352"/>
      <c r="NC352"/>
      <c r="ND352"/>
      <c r="NE352"/>
      <c r="NF352"/>
      <c r="NG352"/>
      <c r="NH352"/>
      <c r="NI352"/>
      <c r="NJ352"/>
      <c r="NK352"/>
      <c r="NL352"/>
      <c r="NM352"/>
      <c r="NN352"/>
      <c r="NO352"/>
      <c r="NP352"/>
      <c r="NQ352"/>
      <c r="NR352"/>
      <c r="NS352"/>
      <c r="NT352"/>
      <c r="NU352"/>
      <c r="NV352"/>
      <c r="NW352"/>
      <c r="NX352"/>
      <c r="NY352"/>
      <c r="NZ352"/>
      <c r="OA352"/>
      <c r="OB352"/>
      <c r="OC352"/>
      <c r="OD352"/>
      <c r="OE352"/>
      <c r="OF352"/>
      <c r="OG352"/>
      <c r="OH352"/>
      <c r="OI352"/>
      <c r="OJ352"/>
      <c r="OK352"/>
      <c r="OL352"/>
      <c r="OM352"/>
      <c r="ON352"/>
      <c r="OO352"/>
      <c r="OP352"/>
      <c r="OQ352"/>
      <c r="OR352"/>
      <c r="OS352"/>
      <c r="OT352"/>
      <c r="OU352"/>
      <c r="OV352"/>
      <c r="OW352"/>
      <c r="OX352"/>
      <c r="OY352"/>
      <c r="OZ352"/>
      <c r="PA352"/>
      <c r="PB352"/>
      <c r="PC352"/>
      <c r="PD352"/>
      <c r="PE352"/>
      <c r="PF352"/>
      <c r="PG352"/>
      <c r="PH352"/>
      <c r="PI352"/>
      <c r="PJ352"/>
      <c r="PK352"/>
      <c r="PL352"/>
      <c r="PM352"/>
      <c r="PN352"/>
      <c r="PO352"/>
      <c r="PP352"/>
      <c r="PQ352"/>
      <c r="PR352"/>
      <c r="PS352"/>
      <c r="PT352"/>
      <c r="PU352"/>
      <c r="PV352"/>
      <c r="PW352"/>
      <c r="PX352"/>
      <c r="PY352"/>
      <c r="PZ352"/>
      <c r="QA352"/>
      <c r="QB352"/>
      <c r="QC352"/>
      <c r="QD352"/>
      <c r="QE352"/>
      <c r="QF352"/>
      <c r="QG352"/>
      <c r="QH352"/>
      <c r="QI352"/>
      <c r="QJ352"/>
      <c r="QK352"/>
      <c r="QL352"/>
      <c r="QM352"/>
      <c r="QN352"/>
      <c r="QO352"/>
      <c r="QP352"/>
      <c r="QQ352"/>
      <c r="QR352"/>
      <c r="QS352"/>
      <c r="QT352"/>
      <c r="QU352"/>
      <c r="QV352"/>
      <c r="QW352"/>
      <c r="QX352"/>
      <c r="QY352"/>
      <c r="QZ352"/>
      <c r="RA352"/>
      <c r="RB352"/>
      <c r="RC352"/>
      <c r="RD352"/>
      <c r="RE352"/>
      <c r="RF352"/>
      <c r="RG352"/>
      <c r="RH352"/>
      <c r="RI352"/>
      <c r="RJ352"/>
      <c r="RK352"/>
      <c r="RL352"/>
      <c r="RM352"/>
      <c r="RN352"/>
      <c r="RO352"/>
      <c r="RP352"/>
      <c r="RQ352"/>
      <c r="RR352"/>
      <c r="RS352"/>
      <c r="RT352"/>
      <c r="RU352"/>
      <c r="RV352"/>
      <c r="RW352"/>
      <c r="RX352"/>
      <c r="RY352"/>
      <c r="RZ352"/>
      <c r="SA352"/>
      <c r="SB352"/>
      <c r="SC352"/>
      <c r="SD352"/>
      <c r="SE352"/>
      <c r="SF352"/>
      <c r="SG352"/>
      <c r="SH352"/>
      <c r="SI352"/>
      <c r="SJ352"/>
      <c r="SK352"/>
      <c r="SL352"/>
      <c r="SM352"/>
      <c r="SN352"/>
      <c r="SO352"/>
      <c r="SP352"/>
      <c r="SQ352"/>
      <c r="SR352"/>
      <c r="SS352"/>
      <c r="ST352"/>
      <c r="SU352"/>
      <c r="SV352"/>
      <c r="SW352"/>
      <c r="SX352"/>
      <c r="SY352"/>
      <c r="SZ352"/>
      <c r="TA352"/>
      <c r="TB352"/>
      <c r="TC352"/>
      <c r="TD352"/>
      <c r="TE352"/>
      <c r="TF352"/>
      <c r="TG352"/>
      <c r="TH352"/>
    </row>
    <row r="353" spans="3:528" x14ac:dyDescent="0.25">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c r="KT353"/>
      <c r="KU353"/>
      <c r="KV353"/>
      <c r="KW353"/>
      <c r="KX353"/>
      <c r="KY353"/>
      <c r="KZ353"/>
      <c r="LA353"/>
      <c r="LB353"/>
      <c r="LC353"/>
      <c r="LD353"/>
      <c r="LE353"/>
      <c r="LF353"/>
      <c r="LG353"/>
      <c r="LH353"/>
      <c r="LI353"/>
      <c r="LJ353"/>
      <c r="LK353"/>
      <c r="LL353"/>
      <c r="LM353"/>
      <c r="LN353"/>
      <c r="LO353"/>
      <c r="LP353"/>
      <c r="LQ353"/>
      <c r="LR353"/>
      <c r="LS353"/>
      <c r="LT353"/>
      <c r="LU353"/>
      <c r="LV353"/>
      <c r="LW353"/>
      <c r="LX353"/>
      <c r="LY353"/>
      <c r="LZ353"/>
      <c r="MA353"/>
      <c r="MB353"/>
      <c r="MC353"/>
      <c r="MD353"/>
      <c r="ME353"/>
      <c r="MF353"/>
      <c r="MG353"/>
      <c r="MH353"/>
      <c r="MI353"/>
      <c r="MJ353"/>
      <c r="MK353"/>
      <c r="ML353"/>
      <c r="MM353"/>
      <c r="MN353"/>
      <c r="MO353"/>
      <c r="MP353"/>
      <c r="MQ353"/>
      <c r="MR353"/>
      <c r="MS353"/>
      <c r="MT353"/>
      <c r="MU353"/>
      <c r="MV353"/>
      <c r="MW353"/>
      <c r="MX353"/>
      <c r="MY353"/>
      <c r="MZ353"/>
      <c r="NA353"/>
      <c r="NB353"/>
      <c r="NC353"/>
      <c r="ND353"/>
      <c r="NE353"/>
      <c r="NF353"/>
      <c r="NG353"/>
      <c r="NH353"/>
      <c r="NI353"/>
      <c r="NJ353"/>
      <c r="NK353"/>
      <c r="NL353"/>
      <c r="NM353"/>
      <c r="NN353"/>
      <c r="NO353"/>
      <c r="NP353"/>
      <c r="NQ353"/>
      <c r="NR353"/>
      <c r="NS353"/>
      <c r="NT353"/>
      <c r="NU353"/>
      <c r="NV353"/>
      <c r="NW353"/>
      <c r="NX353"/>
      <c r="NY353"/>
      <c r="NZ353"/>
      <c r="OA353"/>
      <c r="OB353"/>
      <c r="OC353"/>
      <c r="OD353"/>
      <c r="OE353"/>
      <c r="OF353"/>
      <c r="OG353"/>
      <c r="OH353"/>
      <c r="OI353"/>
      <c r="OJ353"/>
      <c r="OK353"/>
      <c r="OL353"/>
      <c r="OM353"/>
      <c r="ON353"/>
      <c r="OO353"/>
      <c r="OP353"/>
      <c r="OQ353"/>
      <c r="OR353"/>
      <c r="OS353"/>
      <c r="OT353"/>
      <c r="OU353"/>
      <c r="OV353"/>
      <c r="OW353"/>
      <c r="OX353"/>
      <c r="OY353"/>
      <c r="OZ353"/>
      <c r="PA353"/>
      <c r="PB353"/>
      <c r="PC353"/>
      <c r="PD353"/>
      <c r="PE353"/>
      <c r="PF353"/>
      <c r="PG353"/>
      <c r="PH353"/>
      <c r="PI353"/>
      <c r="PJ353"/>
      <c r="PK353"/>
      <c r="PL353"/>
      <c r="PM353"/>
      <c r="PN353"/>
      <c r="PO353"/>
      <c r="PP353"/>
      <c r="PQ353"/>
      <c r="PR353"/>
      <c r="PS353"/>
      <c r="PT353"/>
      <c r="PU353"/>
      <c r="PV353"/>
      <c r="PW353"/>
      <c r="PX353"/>
      <c r="PY353"/>
      <c r="PZ353"/>
      <c r="QA353"/>
      <c r="QB353"/>
      <c r="QC353"/>
      <c r="QD353"/>
      <c r="QE353"/>
      <c r="QF353"/>
      <c r="QG353"/>
      <c r="QH353"/>
      <c r="QI353"/>
      <c r="QJ353"/>
      <c r="QK353"/>
      <c r="QL353"/>
      <c r="QM353"/>
      <c r="QN353"/>
      <c r="QO353"/>
      <c r="QP353"/>
      <c r="QQ353"/>
      <c r="QR353"/>
      <c r="QS353"/>
      <c r="QT353"/>
      <c r="QU353"/>
      <c r="QV353"/>
      <c r="QW353"/>
      <c r="QX353"/>
      <c r="QY353"/>
      <c r="QZ353"/>
      <c r="RA353"/>
      <c r="RB353"/>
      <c r="RC353"/>
      <c r="RD353"/>
      <c r="RE353"/>
      <c r="RF353"/>
      <c r="RG353"/>
      <c r="RH353"/>
      <c r="RI353"/>
      <c r="RJ353"/>
      <c r="RK353"/>
      <c r="RL353"/>
      <c r="RM353"/>
      <c r="RN353"/>
      <c r="RO353"/>
      <c r="RP353"/>
      <c r="RQ353"/>
      <c r="RR353"/>
      <c r="RS353"/>
      <c r="RT353"/>
      <c r="RU353"/>
      <c r="RV353"/>
      <c r="RW353"/>
      <c r="RX353"/>
      <c r="RY353"/>
      <c r="RZ353"/>
      <c r="SA353"/>
      <c r="SB353"/>
      <c r="SC353"/>
      <c r="SD353"/>
      <c r="SE353"/>
      <c r="SF353"/>
      <c r="SG353"/>
      <c r="SH353"/>
      <c r="SI353"/>
      <c r="SJ353"/>
      <c r="SK353"/>
      <c r="SL353"/>
      <c r="SM353"/>
      <c r="SN353"/>
      <c r="SO353"/>
      <c r="SP353"/>
      <c r="SQ353"/>
      <c r="SR353"/>
      <c r="SS353"/>
      <c r="ST353"/>
      <c r="SU353"/>
      <c r="SV353"/>
      <c r="SW353"/>
      <c r="SX353"/>
      <c r="SY353"/>
      <c r="SZ353"/>
      <c r="TA353"/>
      <c r="TB353"/>
      <c r="TC353"/>
      <c r="TD353"/>
      <c r="TE353"/>
      <c r="TF353"/>
      <c r="TG353"/>
      <c r="TH353"/>
    </row>
    <row r="354" spans="3:528" x14ac:dyDescent="0.25">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c r="KT354"/>
      <c r="KU354"/>
      <c r="KV354"/>
      <c r="KW354"/>
      <c r="KX354"/>
      <c r="KY354"/>
      <c r="KZ354"/>
      <c r="LA354"/>
      <c r="LB354"/>
      <c r="LC354"/>
      <c r="LD354"/>
      <c r="LE354"/>
      <c r="LF354"/>
      <c r="LG354"/>
      <c r="LH354"/>
      <c r="LI354"/>
      <c r="LJ354"/>
      <c r="LK354"/>
      <c r="LL354"/>
      <c r="LM354"/>
      <c r="LN354"/>
      <c r="LO354"/>
      <c r="LP354"/>
      <c r="LQ354"/>
      <c r="LR354"/>
      <c r="LS354"/>
      <c r="LT354"/>
      <c r="LU354"/>
      <c r="LV354"/>
      <c r="LW354"/>
      <c r="LX354"/>
      <c r="LY354"/>
      <c r="LZ354"/>
      <c r="MA354"/>
      <c r="MB354"/>
      <c r="MC354"/>
      <c r="MD354"/>
      <c r="ME354"/>
      <c r="MF354"/>
      <c r="MG354"/>
      <c r="MH354"/>
      <c r="MI354"/>
      <c r="MJ354"/>
      <c r="MK354"/>
      <c r="ML354"/>
      <c r="MM354"/>
      <c r="MN354"/>
      <c r="MO354"/>
      <c r="MP354"/>
      <c r="MQ354"/>
      <c r="MR354"/>
      <c r="MS354"/>
      <c r="MT354"/>
      <c r="MU354"/>
      <c r="MV354"/>
      <c r="MW354"/>
      <c r="MX354"/>
      <c r="MY354"/>
      <c r="MZ354"/>
      <c r="NA354"/>
      <c r="NB354"/>
      <c r="NC354"/>
      <c r="ND354"/>
      <c r="NE354"/>
      <c r="NF354"/>
      <c r="NG354"/>
      <c r="NH354"/>
      <c r="NI354"/>
      <c r="NJ354"/>
      <c r="NK354"/>
      <c r="NL354"/>
      <c r="NM354"/>
      <c r="NN354"/>
      <c r="NO354"/>
      <c r="NP354"/>
      <c r="NQ354"/>
      <c r="NR354"/>
      <c r="NS354"/>
      <c r="NT354"/>
      <c r="NU354"/>
      <c r="NV354"/>
      <c r="NW354"/>
      <c r="NX354"/>
      <c r="NY354"/>
      <c r="NZ354"/>
      <c r="OA354"/>
      <c r="OB354"/>
      <c r="OC354"/>
      <c r="OD354"/>
      <c r="OE354"/>
      <c r="OF354"/>
      <c r="OG354"/>
      <c r="OH354"/>
      <c r="OI354"/>
      <c r="OJ354"/>
      <c r="OK354"/>
      <c r="OL354"/>
      <c r="OM354"/>
      <c r="ON354"/>
      <c r="OO354"/>
      <c r="OP354"/>
      <c r="OQ354"/>
      <c r="OR354"/>
      <c r="OS354"/>
      <c r="OT354"/>
      <c r="OU354"/>
      <c r="OV354"/>
      <c r="OW354"/>
      <c r="OX354"/>
      <c r="OY354"/>
      <c r="OZ354"/>
      <c r="PA354"/>
      <c r="PB354"/>
      <c r="PC354"/>
      <c r="PD354"/>
      <c r="PE354"/>
      <c r="PF354"/>
      <c r="PG354"/>
      <c r="PH354"/>
      <c r="PI354"/>
      <c r="PJ354"/>
      <c r="PK354"/>
      <c r="PL354"/>
      <c r="PM354"/>
      <c r="PN354"/>
      <c r="PO354"/>
      <c r="PP354"/>
      <c r="PQ354"/>
      <c r="PR354"/>
      <c r="PS354"/>
      <c r="PT354"/>
      <c r="PU354"/>
      <c r="PV354"/>
      <c r="PW354"/>
      <c r="PX354"/>
      <c r="PY354"/>
      <c r="PZ354"/>
      <c r="QA354"/>
      <c r="QB354"/>
      <c r="QC354"/>
      <c r="QD354"/>
      <c r="QE354"/>
      <c r="QF354"/>
      <c r="QG354"/>
      <c r="QH354"/>
      <c r="QI354"/>
      <c r="QJ354"/>
      <c r="QK354"/>
      <c r="QL354"/>
      <c r="QM354"/>
      <c r="QN354"/>
      <c r="QO354"/>
      <c r="QP354"/>
      <c r="QQ354"/>
      <c r="QR354"/>
      <c r="QS354"/>
      <c r="QT354"/>
      <c r="QU354"/>
      <c r="QV354"/>
      <c r="QW354"/>
      <c r="QX354"/>
      <c r="QY354"/>
      <c r="QZ354"/>
      <c r="RA354"/>
      <c r="RB354"/>
      <c r="RC354"/>
      <c r="RD354"/>
      <c r="RE354"/>
      <c r="RF354"/>
      <c r="RG354"/>
      <c r="RH354"/>
      <c r="RI354"/>
      <c r="RJ354"/>
      <c r="RK354"/>
      <c r="RL354"/>
      <c r="RM354"/>
      <c r="RN354"/>
      <c r="RO354"/>
      <c r="RP354"/>
      <c r="RQ354"/>
      <c r="RR354"/>
      <c r="RS354"/>
      <c r="RT354"/>
      <c r="RU354"/>
      <c r="RV354"/>
      <c r="RW354"/>
      <c r="RX354"/>
      <c r="RY354"/>
      <c r="RZ354"/>
      <c r="SA354"/>
      <c r="SB354"/>
      <c r="SC354"/>
      <c r="SD354"/>
      <c r="SE354"/>
      <c r="SF354"/>
      <c r="SG354"/>
      <c r="SH354"/>
      <c r="SI354"/>
      <c r="SJ354"/>
      <c r="SK354"/>
      <c r="SL354"/>
      <c r="SM354"/>
      <c r="SN354"/>
      <c r="SO354"/>
      <c r="SP354"/>
      <c r="SQ354"/>
      <c r="SR354"/>
      <c r="SS354"/>
      <c r="ST354"/>
      <c r="SU354"/>
      <c r="SV354"/>
      <c r="SW354"/>
      <c r="SX354"/>
      <c r="SY354"/>
      <c r="SZ354"/>
      <c r="TA354"/>
      <c r="TB354"/>
      <c r="TC354"/>
      <c r="TD354"/>
      <c r="TE354"/>
      <c r="TF354"/>
      <c r="TG354"/>
      <c r="TH354"/>
    </row>
    <row r="355" spans="3:528" x14ac:dyDescent="0.2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c r="KT355"/>
      <c r="KU355"/>
      <c r="KV355"/>
      <c r="KW355"/>
      <c r="KX355"/>
      <c r="KY355"/>
      <c r="KZ355"/>
      <c r="LA355"/>
      <c r="LB355"/>
      <c r="LC355"/>
      <c r="LD355"/>
      <c r="LE355"/>
      <c r="LF355"/>
      <c r="LG355"/>
      <c r="LH355"/>
      <c r="LI355"/>
      <c r="LJ355"/>
      <c r="LK355"/>
      <c r="LL355"/>
      <c r="LM355"/>
      <c r="LN355"/>
      <c r="LO355"/>
      <c r="LP355"/>
      <c r="LQ355"/>
      <c r="LR355"/>
      <c r="LS355"/>
      <c r="LT355"/>
      <c r="LU355"/>
      <c r="LV355"/>
      <c r="LW355"/>
      <c r="LX355"/>
      <c r="LY355"/>
      <c r="LZ355"/>
      <c r="MA355"/>
      <c r="MB355"/>
      <c r="MC355"/>
      <c r="MD355"/>
      <c r="ME355"/>
      <c r="MF355"/>
      <c r="MG355"/>
      <c r="MH355"/>
      <c r="MI355"/>
      <c r="MJ355"/>
      <c r="MK355"/>
      <c r="ML355"/>
      <c r="MM355"/>
      <c r="MN355"/>
      <c r="MO355"/>
      <c r="MP355"/>
      <c r="MQ355"/>
      <c r="MR355"/>
      <c r="MS355"/>
      <c r="MT355"/>
      <c r="MU355"/>
      <c r="MV355"/>
      <c r="MW355"/>
      <c r="MX355"/>
      <c r="MY355"/>
      <c r="MZ355"/>
      <c r="NA355"/>
      <c r="NB355"/>
      <c r="NC355"/>
      <c r="ND355"/>
      <c r="NE355"/>
      <c r="NF355"/>
      <c r="NG355"/>
      <c r="NH355"/>
      <c r="NI355"/>
      <c r="NJ355"/>
      <c r="NK355"/>
      <c r="NL355"/>
      <c r="NM355"/>
      <c r="NN355"/>
      <c r="NO355"/>
      <c r="NP355"/>
      <c r="NQ355"/>
      <c r="NR355"/>
      <c r="NS355"/>
      <c r="NT355"/>
      <c r="NU355"/>
      <c r="NV355"/>
      <c r="NW355"/>
      <c r="NX355"/>
      <c r="NY355"/>
      <c r="NZ355"/>
      <c r="OA355"/>
      <c r="OB355"/>
      <c r="OC355"/>
      <c r="OD355"/>
      <c r="OE355"/>
      <c r="OF355"/>
      <c r="OG355"/>
      <c r="OH355"/>
      <c r="OI355"/>
      <c r="OJ355"/>
      <c r="OK355"/>
      <c r="OL355"/>
      <c r="OM355"/>
      <c r="ON355"/>
      <c r="OO355"/>
      <c r="OP355"/>
      <c r="OQ355"/>
      <c r="OR355"/>
      <c r="OS355"/>
      <c r="OT355"/>
      <c r="OU355"/>
      <c r="OV355"/>
      <c r="OW355"/>
      <c r="OX355"/>
      <c r="OY355"/>
      <c r="OZ355"/>
      <c r="PA355"/>
      <c r="PB355"/>
      <c r="PC355"/>
      <c r="PD355"/>
      <c r="PE355"/>
      <c r="PF355"/>
      <c r="PG355"/>
      <c r="PH355"/>
      <c r="PI355"/>
      <c r="PJ355"/>
      <c r="PK355"/>
      <c r="PL355"/>
      <c r="PM355"/>
      <c r="PN355"/>
      <c r="PO355"/>
      <c r="PP355"/>
      <c r="PQ355"/>
      <c r="PR355"/>
      <c r="PS355"/>
      <c r="PT355"/>
      <c r="PU355"/>
      <c r="PV355"/>
      <c r="PW355"/>
      <c r="PX355"/>
      <c r="PY355"/>
      <c r="PZ355"/>
      <c r="QA355"/>
      <c r="QB355"/>
      <c r="QC355"/>
      <c r="QD355"/>
      <c r="QE355"/>
      <c r="QF355"/>
      <c r="QG355"/>
      <c r="QH355"/>
      <c r="QI355"/>
      <c r="QJ355"/>
      <c r="QK355"/>
      <c r="QL355"/>
      <c r="QM355"/>
      <c r="QN355"/>
      <c r="QO355"/>
      <c r="QP355"/>
      <c r="QQ355"/>
      <c r="QR355"/>
      <c r="QS355"/>
      <c r="QT355"/>
      <c r="QU355"/>
      <c r="QV355"/>
      <c r="QW355"/>
      <c r="QX355"/>
      <c r="QY355"/>
      <c r="QZ355"/>
      <c r="RA355"/>
      <c r="RB355"/>
      <c r="RC355"/>
      <c r="RD355"/>
      <c r="RE355"/>
      <c r="RF355"/>
      <c r="RG355"/>
      <c r="RH355"/>
      <c r="RI355"/>
      <c r="RJ355"/>
      <c r="RK355"/>
      <c r="RL355"/>
      <c r="RM355"/>
      <c r="RN355"/>
      <c r="RO355"/>
      <c r="RP355"/>
      <c r="RQ355"/>
      <c r="RR355"/>
      <c r="RS355"/>
      <c r="RT355"/>
      <c r="RU355"/>
      <c r="RV355"/>
      <c r="RW355"/>
      <c r="RX355"/>
      <c r="RY355"/>
      <c r="RZ355"/>
      <c r="SA355"/>
      <c r="SB355"/>
      <c r="SC355"/>
      <c r="SD355"/>
      <c r="SE355"/>
      <c r="SF355"/>
      <c r="SG355"/>
      <c r="SH355"/>
      <c r="SI355"/>
      <c r="SJ355"/>
      <c r="SK355"/>
      <c r="SL355"/>
      <c r="SM355"/>
      <c r="SN355"/>
      <c r="SO355"/>
      <c r="SP355"/>
      <c r="SQ355"/>
      <c r="SR355"/>
      <c r="SS355"/>
      <c r="ST355"/>
      <c r="SU355"/>
      <c r="SV355"/>
      <c r="SW355"/>
      <c r="SX355"/>
      <c r="SY355"/>
      <c r="SZ355"/>
      <c r="TA355"/>
      <c r="TB355"/>
      <c r="TC355"/>
      <c r="TD355"/>
      <c r="TE355"/>
      <c r="TF355"/>
      <c r="TG355"/>
      <c r="TH355"/>
    </row>
    <row r="356" spans="3:528" x14ac:dyDescent="0.25">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c r="KT356"/>
      <c r="KU356"/>
      <c r="KV356"/>
      <c r="KW356"/>
      <c r="KX356"/>
      <c r="KY356"/>
      <c r="KZ356"/>
      <c r="LA356"/>
      <c r="LB356"/>
      <c r="LC356"/>
      <c r="LD356"/>
      <c r="LE356"/>
      <c r="LF356"/>
      <c r="LG356"/>
      <c r="LH356"/>
      <c r="LI356"/>
      <c r="LJ356"/>
      <c r="LK356"/>
      <c r="LL356"/>
      <c r="LM356"/>
      <c r="LN356"/>
      <c r="LO356"/>
      <c r="LP356"/>
      <c r="LQ356"/>
      <c r="LR356"/>
      <c r="LS356"/>
      <c r="LT356"/>
      <c r="LU356"/>
      <c r="LV356"/>
      <c r="LW356"/>
      <c r="LX356"/>
      <c r="LY356"/>
      <c r="LZ356"/>
      <c r="MA356"/>
      <c r="MB356"/>
      <c r="MC356"/>
      <c r="MD356"/>
      <c r="ME356"/>
      <c r="MF356"/>
      <c r="MG356"/>
      <c r="MH356"/>
      <c r="MI356"/>
      <c r="MJ356"/>
      <c r="MK356"/>
      <c r="ML356"/>
      <c r="MM356"/>
      <c r="MN356"/>
      <c r="MO356"/>
      <c r="MP356"/>
      <c r="MQ356"/>
      <c r="MR356"/>
      <c r="MS356"/>
      <c r="MT356"/>
      <c r="MU356"/>
      <c r="MV356"/>
      <c r="MW356"/>
      <c r="MX356"/>
      <c r="MY356"/>
      <c r="MZ356"/>
      <c r="NA356"/>
      <c r="NB356"/>
      <c r="NC356"/>
      <c r="ND356"/>
      <c r="NE356"/>
      <c r="NF356"/>
      <c r="NG356"/>
      <c r="NH356"/>
      <c r="NI356"/>
      <c r="NJ356"/>
      <c r="NK356"/>
      <c r="NL356"/>
      <c r="NM356"/>
      <c r="NN356"/>
      <c r="NO356"/>
      <c r="NP356"/>
      <c r="NQ356"/>
      <c r="NR356"/>
      <c r="NS356"/>
      <c r="NT356"/>
      <c r="NU356"/>
      <c r="NV356"/>
      <c r="NW356"/>
      <c r="NX356"/>
      <c r="NY356"/>
      <c r="NZ356"/>
      <c r="OA356"/>
      <c r="OB356"/>
      <c r="OC356"/>
      <c r="OD356"/>
      <c r="OE356"/>
      <c r="OF356"/>
      <c r="OG356"/>
      <c r="OH356"/>
      <c r="OI356"/>
      <c r="OJ356"/>
      <c r="OK356"/>
      <c r="OL356"/>
      <c r="OM356"/>
      <c r="ON356"/>
      <c r="OO356"/>
      <c r="OP356"/>
      <c r="OQ356"/>
      <c r="OR356"/>
      <c r="OS356"/>
      <c r="OT356"/>
      <c r="OU356"/>
      <c r="OV356"/>
      <c r="OW356"/>
      <c r="OX356"/>
      <c r="OY356"/>
      <c r="OZ356"/>
      <c r="PA356"/>
      <c r="PB356"/>
      <c r="PC356"/>
      <c r="PD356"/>
      <c r="PE356"/>
      <c r="PF356"/>
      <c r="PG356"/>
      <c r="PH356"/>
      <c r="PI356"/>
      <c r="PJ356"/>
      <c r="PK356"/>
      <c r="PL356"/>
      <c r="PM356"/>
      <c r="PN356"/>
      <c r="PO356"/>
      <c r="PP356"/>
      <c r="PQ356"/>
      <c r="PR356"/>
      <c r="PS356"/>
      <c r="PT356"/>
      <c r="PU356"/>
      <c r="PV356"/>
      <c r="PW356"/>
      <c r="PX356"/>
      <c r="PY356"/>
      <c r="PZ356"/>
      <c r="QA356"/>
      <c r="QB356"/>
      <c r="QC356"/>
      <c r="QD356"/>
      <c r="QE356"/>
      <c r="QF356"/>
      <c r="QG356"/>
      <c r="QH356"/>
      <c r="QI356"/>
      <c r="QJ356"/>
      <c r="QK356"/>
      <c r="QL356"/>
      <c r="QM356"/>
      <c r="QN356"/>
      <c r="QO356"/>
      <c r="QP356"/>
      <c r="QQ356"/>
      <c r="QR356"/>
      <c r="QS356"/>
      <c r="QT356"/>
      <c r="QU356"/>
      <c r="QV356"/>
      <c r="QW356"/>
      <c r="QX356"/>
      <c r="QY356"/>
      <c r="QZ356"/>
      <c r="RA356"/>
      <c r="RB356"/>
      <c r="RC356"/>
      <c r="RD356"/>
      <c r="RE356"/>
      <c r="RF356"/>
      <c r="RG356"/>
      <c r="RH356"/>
      <c r="RI356"/>
      <c r="RJ356"/>
      <c r="RK356"/>
      <c r="RL356"/>
      <c r="RM356"/>
      <c r="RN356"/>
      <c r="RO356"/>
      <c r="RP356"/>
      <c r="RQ356"/>
      <c r="RR356"/>
      <c r="RS356"/>
      <c r="RT356"/>
      <c r="RU356"/>
      <c r="RV356"/>
      <c r="RW356"/>
      <c r="RX356"/>
      <c r="RY356"/>
      <c r="RZ356"/>
      <c r="SA356"/>
      <c r="SB356"/>
      <c r="SC356"/>
      <c r="SD356"/>
      <c r="SE356"/>
      <c r="SF356"/>
      <c r="SG356"/>
      <c r="SH356"/>
      <c r="SI356"/>
      <c r="SJ356"/>
      <c r="SK356"/>
      <c r="SL356"/>
      <c r="SM356"/>
      <c r="SN356"/>
      <c r="SO356"/>
      <c r="SP356"/>
      <c r="SQ356"/>
      <c r="SR356"/>
      <c r="SS356"/>
      <c r="ST356"/>
      <c r="SU356"/>
      <c r="SV356"/>
      <c r="SW356"/>
      <c r="SX356"/>
      <c r="SY356"/>
      <c r="SZ356"/>
      <c r="TA356"/>
      <c r="TB356"/>
      <c r="TC356"/>
      <c r="TD356"/>
      <c r="TE356"/>
      <c r="TF356"/>
      <c r="TG356"/>
      <c r="TH356"/>
    </row>
    <row r="357" spans="3:528" x14ac:dyDescent="0.25">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c r="KT357"/>
      <c r="KU357"/>
      <c r="KV357"/>
      <c r="KW357"/>
      <c r="KX357"/>
      <c r="KY357"/>
      <c r="KZ357"/>
      <c r="LA357"/>
      <c r="LB357"/>
      <c r="LC357"/>
      <c r="LD357"/>
      <c r="LE357"/>
      <c r="LF357"/>
      <c r="LG357"/>
      <c r="LH357"/>
      <c r="LI357"/>
      <c r="LJ357"/>
      <c r="LK357"/>
      <c r="LL357"/>
      <c r="LM357"/>
      <c r="LN357"/>
      <c r="LO357"/>
      <c r="LP357"/>
      <c r="LQ357"/>
      <c r="LR357"/>
      <c r="LS357"/>
      <c r="LT357"/>
      <c r="LU357"/>
      <c r="LV357"/>
      <c r="LW357"/>
      <c r="LX357"/>
      <c r="LY357"/>
      <c r="LZ357"/>
      <c r="MA357"/>
      <c r="MB357"/>
      <c r="MC357"/>
      <c r="MD357"/>
      <c r="ME357"/>
      <c r="MF357"/>
      <c r="MG357"/>
      <c r="MH357"/>
      <c r="MI357"/>
      <c r="MJ357"/>
      <c r="MK357"/>
      <c r="ML357"/>
      <c r="MM357"/>
      <c r="MN357"/>
      <c r="MO357"/>
      <c r="MP357"/>
      <c r="MQ357"/>
      <c r="MR357"/>
      <c r="MS357"/>
      <c r="MT357"/>
      <c r="MU357"/>
      <c r="MV357"/>
      <c r="MW357"/>
      <c r="MX357"/>
      <c r="MY357"/>
      <c r="MZ357"/>
      <c r="NA357"/>
      <c r="NB357"/>
      <c r="NC357"/>
      <c r="ND357"/>
      <c r="NE357"/>
      <c r="NF357"/>
      <c r="NG357"/>
      <c r="NH357"/>
      <c r="NI357"/>
      <c r="NJ357"/>
      <c r="NK357"/>
      <c r="NL357"/>
      <c r="NM357"/>
      <c r="NN357"/>
      <c r="NO357"/>
      <c r="NP357"/>
      <c r="NQ357"/>
      <c r="NR357"/>
      <c r="NS357"/>
      <c r="NT357"/>
      <c r="NU357"/>
      <c r="NV357"/>
      <c r="NW357"/>
      <c r="NX357"/>
      <c r="NY357"/>
      <c r="NZ357"/>
      <c r="OA357"/>
      <c r="OB357"/>
      <c r="OC357"/>
      <c r="OD357"/>
      <c r="OE357"/>
      <c r="OF357"/>
      <c r="OG357"/>
      <c r="OH357"/>
      <c r="OI357"/>
      <c r="OJ357"/>
      <c r="OK357"/>
      <c r="OL357"/>
      <c r="OM357"/>
      <c r="ON357"/>
      <c r="OO357"/>
      <c r="OP357"/>
      <c r="OQ357"/>
      <c r="OR357"/>
      <c r="OS357"/>
      <c r="OT357"/>
      <c r="OU357"/>
      <c r="OV357"/>
      <c r="OW357"/>
      <c r="OX357"/>
      <c r="OY357"/>
      <c r="OZ357"/>
      <c r="PA357"/>
      <c r="PB357"/>
      <c r="PC357"/>
      <c r="PD357"/>
      <c r="PE357"/>
      <c r="PF357"/>
      <c r="PG357"/>
      <c r="PH357"/>
      <c r="PI357"/>
      <c r="PJ357"/>
      <c r="PK357"/>
      <c r="PL357"/>
      <c r="PM357"/>
      <c r="PN357"/>
      <c r="PO357"/>
      <c r="PP357"/>
      <c r="PQ357"/>
      <c r="PR357"/>
      <c r="PS357"/>
      <c r="PT357"/>
      <c r="PU357"/>
      <c r="PV357"/>
      <c r="PW357"/>
      <c r="PX357"/>
      <c r="PY357"/>
      <c r="PZ357"/>
      <c r="QA357"/>
      <c r="QB357"/>
      <c r="QC357"/>
      <c r="QD357"/>
      <c r="QE357"/>
      <c r="QF357"/>
      <c r="QG357"/>
      <c r="QH357"/>
      <c r="QI357"/>
      <c r="QJ357"/>
      <c r="QK357"/>
      <c r="QL357"/>
      <c r="QM357"/>
      <c r="QN357"/>
      <c r="QO357"/>
      <c r="QP357"/>
      <c r="QQ357"/>
      <c r="QR357"/>
      <c r="QS357"/>
      <c r="QT357"/>
      <c r="QU357"/>
      <c r="QV357"/>
      <c r="QW357"/>
      <c r="QX357"/>
      <c r="QY357"/>
      <c r="QZ357"/>
      <c r="RA357"/>
      <c r="RB357"/>
      <c r="RC357"/>
      <c r="RD357"/>
      <c r="RE357"/>
      <c r="RF357"/>
      <c r="RG357"/>
      <c r="RH357"/>
      <c r="RI357"/>
      <c r="RJ357"/>
      <c r="RK357"/>
      <c r="RL357"/>
      <c r="RM357"/>
      <c r="RN357"/>
      <c r="RO357"/>
      <c r="RP357"/>
      <c r="RQ357"/>
      <c r="RR357"/>
      <c r="RS357"/>
      <c r="RT357"/>
      <c r="RU357"/>
      <c r="RV357"/>
      <c r="RW357"/>
      <c r="RX357"/>
      <c r="RY357"/>
      <c r="RZ357"/>
      <c r="SA357"/>
      <c r="SB357"/>
      <c r="SC357"/>
      <c r="SD357"/>
      <c r="SE357"/>
      <c r="SF357"/>
      <c r="SG357"/>
      <c r="SH357"/>
      <c r="SI357"/>
      <c r="SJ357"/>
      <c r="SK357"/>
      <c r="SL357"/>
      <c r="SM357"/>
      <c r="SN357"/>
      <c r="SO357"/>
      <c r="SP357"/>
      <c r="SQ357"/>
      <c r="SR357"/>
      <c r="SS357"/>
      <c r="ST357"/>
      <c r="SU357"/>
      <c r="SV357"/>
      <c r="SW357"/>
      <c r="SX357"/>
      <c r="SY357"/>
      <c r="SZ357"/>
      <c r="TA357"/>
      <c r="TB357"/>
      <c r="TC357"/>
      <c r="TD357"/>
      <c r="TE357"/>
      <c r="TF357"/>
      <c r="TG357"/>
      <c r="TH357"/>
    </row>
    <row r="358" spans="3:528" x14ac:dyDescent="0.25">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c r="KT358"/>
      <c r="KU358"/>
      <c r="KV358"/>
      <c r="KW358"/>
      <c r="KX358"/>
      <c r="KY358"/>
      <c r="KZ358"/>
      <c r="LA358"/>
      <c r="LB358"/>
      <c r="LC358"/>
      <c r="LD358"/>
      <c r="LE358"/>
      <c r="LF358"/>
      <c r="LG358"/>
      <c r="LH358"/>
      <c r="LI358"/>
      <c r="LJ358"/>
      <c r="LK358"/>
      <c r="LL358"/>
      <c r="LM358"/>
      <c r="LN358"/>
      <c r="LO358"/>
      <c r="LP358"/>
      <c r="LQ358"/>
      <c r="LR358"/>
      <c r="LS358"/>
      <c r="LT358"/>
      <c r="LU358"/>
      <c r="LV358"/>
      <c r="LW358"/>
      <c r="LX358"/>
      <c r="LY358"/>
      <c r="LZ358"/>
      <c r="MA358"/>
      <c r="MB358"/>
      <c r="MC358"/>
      <c r="MD358"/>
      <c r="ME358"/>
      <c r="MF358"/>
      <c r="MG358"/>
      <c r="MH358"/>
      <c r="MI358"/>
      <c r="MJ358"/>
      <c r="MK358"/>
      <c r="ML358"/>
      <c r="MM358"/>
      <c r="MN358"/>
      <c r="MO358"/>
      <c r="MP358"/>
      <c r="MQ358"/>
      <c r="MR358"/>
      <c r="MS358"/>
      <c r="MT358"/>
      <c r="MU358"/>
      <c r="MV358"/>
      <c r="MW358"/>
      <c r="MX358"/>
      <c r="MY358"/>
      <c r="MZ358"/>
      <c r="NA358"/>
      <c r="NB358"/>
      <c r="NC358"/>
      <c r="ND358"/>
      <c r="NE358"/>
      <c r="NF358"/>
      <c r="NG358"/>
      <c r="NH358"/>
      <c r="NI358"/>
      <c r="NJ358"/>
      <c r="NK358"/>
      <c r="NL358"/>
      <c r="NM358"/>
      <c r="NN358"/>
      <c r="NO358"/>
      <c r="NP358"/>
      <c r="NQ358"/>
      <c r="NR358"/>
      <c r="NS358"/>
      <c r="NT358"/>
      <c r="NU358"/>
      <c r="NV358"/>
      <c r="NW358"/>
      <c r="NX358"/>
      <c r="NY358"/>
      <c r="NZ358"/>
      <c r="OA358"/>
      <c r="OB358"/>
      <c r="OC358"/>
      <c r="OD358"/>
      <c r="OE358"/>
      <c r="OF358"/>
      <c r="OG358"/>
      <c r="OH358"/>
      <c r="OI358"/>
      <c r="OJ358"/>
      <c r="OK358"/>
      <c r="OL358"/>
      <c r="OM358"/>
      <c r="ON358"/>
      <c r="OO358"/>
      <c r="OP358"/>
      <c r="OQ358"/>
      <c r="OR358"/>
      <c r="OS358"/>
      <c r="OT358"/>
      <c r="OU358"/>
      <c r="OV358"/>
      <c r="OW358"/>
      <c r="OX358"/>
      <c r="OY358"/>
      <c r="OZ358"/>
      <c r="PA358"/>
      <c r="PB358"/>
      <c r="PC358"/>
      <c r="PD358"/>
      <c r="PE358"/>
      <c r="PF358"/>
      <c r="PG358"/>
      <c r="PH358"/>
      <c r="PI358"/>
      <c r="PJ358"/>
      <c r="PK358"/>
      <c r="PL358"/>
      <c r="PM358"/>
      <c r="PN358"/>
      <c r="PO358"/>
      <c r="PP358"/>
      <c r="PQ358"/>
      <c r="PR358"/>
      <c r="PS358"/>
      <c r="PT358"/>
      <c r="PU358"/>
      <c r="PV358"/>
      <c r="PW358"/>
      <c r="PX358"/>
      <c r="PY358"/>
      <c r="PZ358"/>
      <c r="QA358"/>
      <c r="QB358"/>
      <c r="QC358"/>
      <c r="QD358"/>
      <c r="QE358"/>
      <c r="QF358"/>
      <c r="QG358"/>
      <c r="QH358"/>
      <c r="QI358"/>
      <c r="QJ358"/>
      <c r="QK358"/>
      <c r="QL358"/>
      <c r="QM358"/>
      <c r="QN358"/>
      <c r="QO358"/>
      <c r="QP358"/>
      <c r="QQ358"/>
      <c r="QR358"/>
      <c r="QS358"/>
      <c r="QT358"/>
      <c r="QU358"/>
      <c r="QV358"/>
      <c r="QW358"/>
      <c r="QX358"/>
      <c r="QY358"/>
      <c r="QZ358"/>
      <c r="RA358"/>
      <c r="RB358"/>
      <c r="RC358"/>
      <c r="RD358"/>
      <c r="RE358"/>
      <c r="RF358"/>
      <c r="RG358"/>
      <c r="RH358"/>
      <c r="RI358"/>
      <c r="RJ358"/>
      <c r="RK358"/>
      <c r="RL358"/>
      <c r="RM358"/>
      <c r="RN358"/>
      <c r="RO358"/>
      <c r="RP358"/>
      <c r="RQ358"/>
      <c r="RR358"/>
      <c r="RS358"/>
      <c r="RT358"/>
      <c r="RU358"/>
      <c r="RV358"/>
      <c r="RW358"/>
      <c r="RX358"/>
      <c r="RY358"/>
      <c r="RZ358"/>
      <c r="SA358"/>
      <c r="SB358"/>
      <c r="SC358"/>
      <c r="SD358"/>
      <c r="SE358"/>
      <c r="SF358"/>
      <c r="SG358"/>
      <c r="SH358"/>
      <c r="SI358"/>
      <c r="SJ358"/>
      <c r="SK358"/>
      <c r="SL358"/>
      <c r="SM358"/>
      <c r="SN358"/>
      <c r="SO358"/>
      <c r="SP358"/>
      <c r="SQ358"/>
      <c r="SR358"/>
      <c r="SS358"/>
      <c r="ST358"/>
      <c r="SU358"/>
      <c r="SV358"/>
      <c r="SW358"/>
      <c r="SX358"/>
      <c r="SY358"/>
      <c r="SZ358"/>
      <c r="TA358"/>
      <c r="TB358"/>
      <c r="TC358"/>
      <c r="TD358"/>
      <c r="TE358"/>
      <c r="TF358"/>
      <c r="TG358"/>
      <c r="TH358"/>
    </row>
    <row r="359" spans="3:528" x14ac:dyDescent="0.25">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c r="KT359"/>
      <c r="KU359"/>
      <c r="KV359"/>
      <c r="KW359"/>
      <c r="KX359"/>
      <c r="KY359"/>
      <c r="KZ359"/>
      <c r="LA359"/>
      <c r="LB359"/>
      <c r="LC359"/>
      <c r="LD359"/>
      <c r="LE359"/>
      <c r="LF359"/>
      <c r="LG359"/>
      <c r="LH359"/>
      <c r="LI359"/>
      <c r="LJ359"/>
      <c r="LK359"/>
      <c r="LL359"/>
      <c r="LM359"/>
      <c r="LN359"/>
      <c r="LO359"/>
      <c r="LP359"/>
      <c r="LQ359"/>
      <c r="LR359"/>
      <c r="LS359"/>
      <c r="LT359"/>
      <c r="LU359"/>
      <c r="LV359"/>
      <c r="LW359"/>
      <c r="LX359"/>
      <c r="LY359"/>
      <c r="LZ359"/>
      <c r="MA359"/>
      <c r="MB359"/>
      <c r="MC359"/>
      <c r="MD359"/>
      <c r="ME359"/>
      <c r="MF359"/>
      <c r="MG359"/>
      <c r="MH359"/>
      <c r="MI359"/>
      <c r="MJ359"/>
      <c r="MK359"/>
      <c r="ML359"/>
      <c r="MM359"/>
      <c r="MN359"/>
      <c r="MO359"/>
      <c r="MP359"/>
      <c r="MQ359"/>
      <c r="MR359"/>
      <c r="MS359"/>
      <c r="MT359"/>
      <c r="MU359"/>
      <c r="MV359"/>
      <c r="MW359"/>
      <c r="MX359"/>
      <c r="MY359"/>
      <c r="MZ359"/>
      <c r="NA359"/>
      <c r="NB359"/>
      <c r="NC359"/>
      <c r="ND359"/>
      <c r="NE359"/>
      <c r="NF359"/>
      <c r="NG359"/>
      <c r="NH359"/>
      <c r="NI359"/>
      <c r="NJ359"/>
      <c r="NK359"/>
      <c r="NL359"/>
      <c r="NM359"/>
      <c r="NN359"/>
      <c r="NO359"/>
      <c r="NP359"/>
      <c r="NQ359"/>
      <c r="NR359"/>
      <c r="NS359"/>
      <c r="NT359"/>
      <c r="NU359"/>
      <c r="NV359"/>
      <c r="NW359"/>
      <c r="NX359"/>
      <c r="NY359"/>
      <c r="NZ359"/>
      <c r="OA359"/>
      <c r="OB359"/>
      <c r="OC359"/>
      <c r="OD359"/>
      <c r="OE359"/>
      <c r="OF359"/>
      <c r="OG359"/>
      <c r="OH359"/>
      <c r="OI359"/>
      <c r="OJ359"/>
      <c r="OK359"/>
      <c r="OL359"/>
      <c r="OM359"/>
      <c r="ON359"/>
      <c r="OO359"/>
      <c r="OP359"/>
      <c r="OQ359"/>
      <c r="OR359"/>
      <c r="OS359"/>
      <c r="OT359"/>
      <c r="OU359"/>
      <c r="OV359"/>
      <c r="OW359"/>
      <c r="OX359"/>
      <c r="OY359"/>
      <c r="OZ359"/>
      <c r="PA359"/>
      <c r="PB359"/>
      <c r="PC359"/>
      <c r="PD359"/>
      <c r="PE359"/>
      <c r="PF359"/>
      <c r="PG359"/>
      <c r="PH359"/>
      <c r="PI359"/>
      <c r="PJ359"/>
      <c r="PK359"/>
      <c r="PL359"/>
      <c r="PM359"/>
      <c r="PN359"/>
      <c r="PO359"/>
      <c r="PP359"/>
      <c r="PQ359"/>
      <c r="PR359"/>
      <c r="PS359"/>
      <c r="PT359"/>
      <c r="PU359"/>
      <c r="PV359"/>
      <c r="PW359"/>
      <c r="PX359"/>
      <c r="PY359"/>
      <c r="PZ359"/>
      <c r="QA359"/>
      <c r="QB359"/>
      <c r="QC359"/>
      <c r="QD359"/>
      <c r="QE359"/>
      <c r="QF359"/>
      <c r="QG359"/>
      <c r="QH359"/>
      <c r="QI359"/>
      <c r="QJ359"/>
      <c r="QK359"/>
      <c r="QL359"/>
      <c r="QM359"/>
      <c r="QN359"/>
      <c r="QO359"/>
      <c r="QP359"/>
      <c r="QQ359"/>
      <c r="QR359"/>
      <c r="QS359"/>
      <c r="QT359"/>
      <c r="QU359"/>
      <c r="QV359"/>
      <c r="QW359"/>
      <c r="QX359"/>
      <c r="QY359"/>
      <c r="QZ359"/>
      <c r="RA359"/>
      <c r="RB359"/>
      <c r="RC359"/>
      <c r="RD359"/>
      <c r="RE359"/>
      <c r="RF359"/>
      <c r="RG359"/>
      <c r="RH359"/>
      <c r="RI359"/>
      <c r="RJ359"/>
      <c r="RK359"/>
      <c r="RL359"/>
      <c r="RM359"/>
      <c r="RN359"/>
      <c r="RO359"/>
      <c r="RP359"/>
      <c r="RQ359"/>
      <c r="RR359"/>
      <c r="RS359"/>
      <c r="RT359"/>
      <c r="RU359"/>
      <c r="RV359"/>
      <c r="RW359"/>
      <c r="RX359"/>
      <c r="RY359"/>
      <c r="RZ359"/>
      <c r="SA359"/>
      <c r="SB359"/>
      <c r="SC359"/>
      <c r="SD359"/>
      <c r="SE359"/>
      <c r="SF359"/>
      <c r="SG359"/>
      <c r="SH359"/>
      <c r="SI359"/>
      <c r="SJ359"/>
      <c r="SK359"/>
      <c r="SL359"/>
      <c r="SM359"/>
      <c r="SN359"/>
      <c r="SO359"/>
      <c r="SP359"/>
      <c r="SQ359"/>
      <c r="SR359"/>
      <c r="SS359"/>
      <c r="ST359"/>
      <c r="SU359"/>
      <c r="SV359"/>
      <c r="SW359"/>
      <c r="SX359"/>
      <c r="SY359"/>
      <c r="SZ359"/>
      <c r="TA359"/>
      <c r="TB359"/>
      <c r="TC359"/>
      <c r="TD359"/>
      <c r="TE359"/>
      <c r="TF359"/>
      <c r="TG359"/>
      <c r="TH359"/>
    </row>
    <row r="360" spans="3:528" x14ac:dyDescent="0.25">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c r="KT360"/>
      <c r="KU360"/>
      <c r="KV360"/>
      <c r="KW360"/>
      <c r="KX360"/>
      <c r="KY360"/>
      <c r="KZ360"/>
      <c r="LA360"/>
      <c r="LB360"/>
      <c r="LC360"/>
      <c r="LD360"/>
      <c r="LE360"/>
      <c r="LF360"/>
      <c r="LG360"/>
      <c r="LH360"/>
      <c r="LI360"/>
      <c r="LJ360"/>
      <c r="LK360"/>
      <c r="LL360"/>
      <c r="LM360"/>
      <c r="LN360"/>
      <c r="LO360"/>
      <c r="LP360"/>
      <c r="LQ360"/>
      <c r="LR360"/>
      <c r="LS360"/>
      <c r="LT360"/>
      <c r="LU360"/>
      <c r="LV360"/>
      <c r="LW360"/>
      <c r="LX360"/>
      <c r="LY360"/>
      <c r="LZ360"/>
      <c r="MA360"/>
      <c r="MB360"/>
      <c r="MC360"/>
      <c r="MD360"/>
      <c r="ME360"/>
      <c r="MF360"/>
      <c r="MG360"/>
      <c r="MH360"/>
      <c r="MI360"/>
      <c r="MJ360"/>
      <c r="MK360"/>
      <c r="ML360"/>
      <c r="MM360"/>
      <c r="MN360"/>
      <c r="MO360"/>
      <c r="MP360"/>
      <c r="MQ360"/>
      <c r="MR360"/>
      <c r="MS360"/>
      <c r="MT360"/>
      <c r="MU360"/>
      <c r="MV360"/>
      <c r="MW360"/>
      <c r="MX360"/>
      <c r="MY360"/>
      <c r="MZ360"/>
      <c r="NA360"/>
      <c r="NB360"/>
      <c r="NC360"/>
      <c r="ND360"/>
      <c r="NE360"/>
      <c r="NF360"/>
      <c r="NG360"/>
      <c r="NH360"/>
      <c r="NI360"/>
      <c r="NJ360"/>
      <c r="NK360"/>
      <c r="NL360"/>
      <c r="NM360"/>
      <c r="NN360"/>
      <c r="NO360"/>
      <c r="NP360"/>
      <c r="NQ360"/>
      <c r="NR360"/>
      <c r="NS360"/>
      <c r="NT360"/>
      <c r="NU360"/>
      <c r="NV360"/>
      <c r="NW360"/>
      <c r="NX360"/>
      <c r="NY360"/>
      <c r="NZ360"/>
      <c r="OA360"/>
      <c r="OB360"/>
      <c r="OC360"/>
      <c r="OD360"/>
      <c r="OE360"/>
      <c r="OF360"/>
      <c r="OG360"/>
      <c r="OH360"/>
      <c r="OI360"/>
      <c r="OJ360"/>
      <c r="OK360"/>
      <c r="OL360"/>
      <c r="OM360"/>
      <c r="ON360"/>
      <c r="OO360"/>
      <c r="OP360"/>
      <c r="OQ360"/>
      <c r="OR360"/>
      <c r="OS360"/>
      <c r="OT360"/>
      <c r="OU360"/>
      <c r="OV360"/>
      <c r="OW360"/>
      <c r="OX360"/>
      <c r="OY360"/>
      <c r="OZ360"/>
      <c r="PA360"/>
      <c r="PB360"/>
      <c r="PC360"/>
      <c r="PD360"/>
      <c r="PE360"/>
      <c r="PF360"/>
      <c r="PG360"/>
      <c r="PH360"/>
      <c r="PI360"/>
      <c r="PJ360"/>
      <c r="PK360"/>
      <c r="PL360"/>
      <c r="PM360"/>
      <c r="PN360"/>
      <c r="PO360"/>
      <c r="PP360"/>
      <c r="PQ360"/>
      <c r="PR360"/>
      <c r="PS360"/>
      <c r="PT360"/>
      <c r="PU360"/>
      <c r="PV360"/>
      <c r="PW360"/>
      <c r="PX360"/>
      <c r="PY360"/>
      <c r="PZ360"/>
      <c r="QA360"/>
      <c r="QB360"/>
      <c r="QC360"/>
      <c r="QD360"/>
      <c r="QE360"/>
      <c r="QF360"/>
      <c r="QG360"/>
      <c r="QH360"/>
      <c r="QI360"/>
      <c r="QJ360"/>
      <c r="QK360"/>
      <c r="QL360"/>
      <c r="QM360"/>
      <c r="QN360"/>
      <c r="QO360"/>
      <c r="QP360"/>
      <c r="QQ360"/>
      <c r="QR360"/>
      <c r="QS360"/>
      <c r="QT360"/>
      <c r="QU360"/>
      <c r="QV360"/>
      <c r="QW360"/>
      <c r="QX360"/>
      <c r="QY360"/>
      <c r="QZ360"/>
      <c r="RA360"/>
      <c r="RB360"/>
      <c r="RC360"/>
      <c r="RD360"/>
      <c r="RE360"/>
      <c r="RF360"/>
      <c r="RG360"/>
      <c r="RH360"/>
      <c r="RI360"/>
      <c r="RJ360"/>
      <c r="RK360"/>
      <c r="RL360"/>
      <c r="RM360"/>
      <c r="RN360"/>
      <c r="RO360"/>
      <c r="RP360"/>
      <c r="RQ360"/>
      <c r="RR360"/>
      <c r="RS360"/>
      <c r="RT360"/>
      <c r="RU360"/>
      <c r="RV360"/>
      <c r="RW360"/>
      <c r="RX360"/>
      <c r="RY360"/>
      <c r="RZ360"/>
      <c r="SA360"/>
      <c r="SB360"/>
      <c r="SC360"/>
      <c r="SD360"/>
      <c r="SE360"/>
      <c r="SF360"/>
      <c r="SG360"/>
      <c r="SH360"/>
      <c r="SI360"/>
      <c r="SJ360"/>
      <c r="SK360"/>
      <c r="SL360"/>
      <c r="SM360"/>
      <c r="SN360"/>
      <c r="SO360"/>
      <c r="SP360"/>
      <c r="SQ360"/>
      <c r="SR360"/>
      <c r="SS360"/>
      <c r="ST360"/>
      <c r="SU360"/>
      <c r="SV360"/>
      <c r="SW360"/>
      <c r="SX360"/>
      <c r="SY360"/>
      <c r="SZ360"/>
      <c r="TA360"/>
      <c r="TB360"/>
      <c r="TC360"/>
      <c r="TD360"/>
      <c r="TE360"/>
      <c r="TF360"/>
      <c r="TG360"/>
      <c r="TH360"/>
    </row>
    <row r="361" spans="3:528" x14ac:dyDescent="0.25">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c r="KT361"/>
      <c r="KU361"/>
      <c r="KV361"/>
      <c r="KW361"/>
      <c r="KX361"/>
      <c r="KY361"/>
      <c r="KZ361"/>
      <c r="LA361"/>
      <c r="LB361"/>
      <c r="LC361"/>
      <c r="LD361"/>
      <c r="LE361"/>
      <c r="LF361"/>
      <c r="LG361"/>
      <c r="LH361"/>
      <c r="LI361"/>
      <c r="LJ361"/>
      <c r="LK361"/>
      <c r="LL361"/>
      <c r="LM361"/>
      <c r="LN361"/>
      <c r="LO361"/>
      <c r="LP361"/>
      <c r="LQ361"/>
      <c r="LR361"/>
      <c r="LS361"/>
      <c r="LT361"/>
      <c r="LU361"/>
      <c r="LV361"/>
      <c r="LW361"/>
      <c r="LX361"/>
      <c r="LY361"/>
      <c r="LZ361"/>
      <c r="MA361"/>
      <c r="MB361"/>
      <c r="MC361"/>
      <c r="MD361"/>
      <c r="ME361"/>
      <c r="MF361"/>
      <c r="MG361"/>
      <c r="MH361"/>
      <c r="MI361"/>
      <c r="MJ361"/>
      <c r="MK361"/>
      <c r="ML361"/>
      <c r="MM361"/>
      <c r="MN361"/>
      <c r="MO361"/>
      <c r="MP361"/>
      <c r="MQ361"/>
      <c r="MR361"/>
      <c r="MS361"/>
      <c r="MT361"/>
      <c r="MU361"/>
      <c r="MV361"/>
      <c r="MW361"/>
      <c r="MX361"/>
      <c r="MY361"/>
      <c r="MZ361"/>
      <c r="NA361"/>
      <c r="NB361"/>
      <c r="NC361"/>
      <c r="ND361"/>
      <c r="NE361"/>
      <c r="NF361"/>
      <c r="NG361"/>
      <c r="NH361"/>
      <c r="NI361"/>
      <c r="NJ361"/>
      <c r="NK361"/>
      <c r="NL361"/>
      <c r="NM361"/>
      <c r="NN361"/>
      <c r="NO361"/>
      <c r="NP361"/>
      <c r="NQ361"/>
      <c r="NR361"/>
      <c r="NS361"/>
      <c r="NT361"/>
      <c r="NU361"/>
      <c r="NV361"/>
      <c r="NW361"/>
      <c r="NX361"/>
      <c r="NY361"/>
      <c r="NZ361"/>
      <c r="OA361"/>
      <c r="OB361"/>
      <c r="OC361"/>
      <c r="OD361"/>
      <c r="OE361"/>
      <c r="OF361"/>
      <c r="OG361"/>
      <c r="OH361"/>
      <c r="OI361"/>
      <c r="OJ361"/>
      <c r="OK361"/>
      <c r="OL361"/>
      <c r="OM361"/>
      <c r="ON361"/>
      <c r="OO361"/>
      <c r="OP361"/>
      <c r="OQ361"/>
      <c r="OR361"/>
      <c r="OS361"/>
      <c r="OT361"/>
      <c r="OU361"/>
      <c r="OV361"/>
      <c r="OW361"/>
      <c r="OX361"/>
      <c r="OY361"/>
      <c r="OZ361"/>
      <c r="PA361"/>
      <c r="PB361"/>
      <c r="PC361"/>
      <c r="PD361"/>
      <c r="PE361"/>
      <c r="PF361"/>
      <c r="PG361"/>
      <c r="PH361"/>
      <c r="PI361"/>
      <c r="PJ361"/>
      <c r="PK361"/>
      <c r="PL361"/>
      <c r="PM361"/>
      <c r="PN361"/>
      <c r="PO361"/>
      <c r="PP361"/>
      <c r="PQ361"/>
      <c r="PR361"/>
      <c r="PS361"/>
      <c r="PT361"/>
      <c r="PU361"/>
      <c r="PV361"/>
      <c r="PW361"/>
      <c r="PX361"/>
      <c r="PY361"/>
      <c r="PZ361"/>
      <c r="QA361"/>
      <c r="QB361"/>
      <c r="QC361"/>
      <c r="QD361"/>
      <c r="QE361"/>
      <c r="QF361"/>
      <c r="QG361"/>
      <c r="QH361"/>
      <c r="QI361"/>
      <c r="QJ361"/>
      <c r="QK361"/>
      <c r="QL361"/>
      <c r="QM361"/>
      <c r="QN361"/>
      <c r="QO361"/>
      <c r="QP361"/>
      <c r="QQ361"/>
      <c r="QR361"/>
      <c r="QS361"/>
      <c r="QT361"/>
      <c r="QU361"/>
      <c r="QV361"/>
      <c r="QW361"/>
      <c r="QX361"/>
      <c r="QY361"/>
      <c r="QZ361"/>
      <c r="RA361"/>
      <c r="RB361"/>
      <c r="RC361"/>
      <c r="RD361"/>
      <c r="RE361"/>
      <c r="RF361"/>
      <c r="RG361"/>
      <c r="RH361"/>
      <c r="RI361"/>
      <c r="RJ361"/>
      <c r="RK361"/>
      <c r="RL361"/>
      <c r="RM361"/>
      <c r="RN361"/>
      <c r="RO361"/>
      <c r="RP361"/>
      <c r="RQ361"/>
      <c r="RR361"/>
      <c r="RS361"/>
      <c r="RT361"/>
      <c r="RU361"/>
      <c r="RV361"/>
      <c r="RW361"/>
      <c r="RX361"/>
      <c r="RY361"/>
      <c r="RZ361"/>
      <c r="SA361"/>
      <c r="SB361"/>
      <c r="SC361"/>
      <c r="SD361"/>
      <c r="SE361"/>
      <c r="SF361"/>
      <c r="SG361"/>
      <c r="SH361"/>
      <c r="SI361"/>
      <c r="SJ361"/>
      <c r="SK361"/>
      <c r="SL361"/>
      <c r="SM361"/>
      <c r="SN361"/>
      <c r="SO361"/>
      <c r="SP361"/>
      <c r="SQ361"/>
      <c r="SR361"/>
      <c r="SS361"/>
      <c r="ST361"/>
      <c r="SU361"/>
      <c r="SV361"/>
      <c r="SW361"/>
      <c r="SX361"/>
      <c r="SY361"/>
      <c r="SZ361"/>
      <c r="TA361"/>
      <c r="TB361"/>
      <c r="TC361"/>
      <c r="TD361"/>
      <c r="TE361"/>
      <c r="TF361"/>
      <c r="TG361"/>
      <c r="TH361"/>
    </row>
    <row r="362" spans="3:528" x14ac:dyDescent="0.25">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c r="KT362"/>
      <c r="KU362"/>
      <c r="KV362"/>
      <c r="KW362"/>
      <c r="KX362"/>
      <c r="KY362"/>
      <c r="KZ362"/>
      <c r="LA362"/>
      <c r="LB362"/>
      <c r="LC362"/>
      <c r="LD362"/>
      <c r="LE362"/>
      <c r="LF362"/>
      <c r="LG362"/>
      <c r="LH362"/>
      <c r="LI362"/>
      <c r="LJ362"/>
      <c r="LK362"/>
      <c r="LL362"/>
      <c r="LM362"/>
      <c r="LN362"/>
      <c r="LO362"/>
      <c r="LP362"/>
      <c r="LQ362"/>
      <c r="LR362"/>
      <c r="LS362"/>
      <c r="LT362"/>
      <c r="LU362"/>
      <c r="LV362"/>
      <c r="LW362"/>
      <c r="LX362"/>
      <c r="LY362"/>
      <c r="LZ362"/>
      <c r="MA362"/>
      <c r="MB362"/>
      <c r="MC362"/>
      <c r="MD362"/>
      <c r="ME362"/>
      <c r="MF362"/>
      <c r="MG362"/>
      <c r="MH362"/>
      <c r="MI362"/>
      <c r="MJ362"/>
      <c r="MK362"/>
      <c r="ML362"/>
      <c r="MM362"/>
      <c r="MN362"/>
      <c r="MO362"/>
      <c r="MP362"/>
      <c r="MQ362"/>
      <c r="MR362"/>
      <c r="MS362"/>
      <c r="MT362"/>
      <c r="MU362"/>
      <c r="MV362"/>
      <c r="MW362"/>
      <c r="MX362"/>
      <c r="MY362"/>
      <c r="MZ362"/>
      <c r="NA362"/>
      <c r="NB362"/>
      <c r="NC362"/>
      <c r="ND362"/>
      <c r="NE362"/>
      <c r="NF362"/>
      <c r="NG362"/>
      <c r="NH362"/>
      <c r="NI362"/>
      <c r="NJ362"/>
      <c r="NK362"/>
      <c r="NL362"/>
      <c r="NM362"/>
      <c r="NN362"/>
      <c r="NO362"/>
      <c r="NP362"/>
      <c r="NQ362"/>
      <c r="NR362"/>
      <c r="NS362"/>
      <c r="NT362"/>
      <c r="NU362"/>
      <c r="NV362"/>
      <c r="NW362"/>
      <c r="NX362"/>
      <c r="NY362"/>
      <c r="NZ362"/>
      <c r="OA362"/>
      <c r="OB362"/>
      <c r="OC362"/>
      <c r="OD362"/>
      <c r="OE362"/>
      <c r="OF362"/>
      <c r="OG362"/>
      <c r="OH362"/>
      <c r="OI362"/>
      <c r="OJ362"/>
      <c r="OK362"/>
      <c r="OL362"/>
      <c r="OM362"/>
      <c r="ON362"/>
      <c r="OO362"/>
      <c r="OP362"/>
      <c r="OQ362"/>
      <c r="OR362"/>
      <c r="OS362"/>
      <c r="OT362"/>
      <c r="OU362"/>
      <c r="OV362"/>
      <c r="OW362"/>
      <c r="OX362"/>
      <c r="OY362"/>
      <c r="OZ362"/>
      <c r="PA362"/>
      <c r="PB362"/>
      <c r="PC362"/>
      <c r="PD362"/>
      <c r="PE362"/>
      <c r="PF362"/>
      <c r="PG362"/>
      <c r="PH362"/>
      <c r="PI362"/>
      <c r="PJ362"/>
      <c r="PK362"/>
      <c r="PL362"/>
      <c r="PM362"/>
      <c r="PN362"/>
      <c r="PO362"/>
      <c r="PP362"/>
      <c r="PQ362"/>
      <c r="PR362"/>
      <c r="PS362"/>
      <c r="PT362"/>
      <c r="PU362"/>
      <c r="PV362"/>
      <c r="PW362"/>
      <c r="PX362"/>
      <c r="PY362"/>
      <c r="PZ362"/>
      <c r="QA362"/>
      <c r="QB362"/>
      <c r="QC362"/>
      <c r="QD362"/>
      <c r="QE362"/>
      <c r="QF362"/>
      <c r="QG362"/>
      <c r="QH362"/>
      <c r="QI362"/>
      <c r="QJ362"/>
      <c r="QK362"/>
      <c r="QL362"/>
      <c r="QM362"/>
      <c r="QN362"/>
      <c r="QO362"/>
      <c r="QP362"/>
      <c r="QQ362"/>
      <c r="QR362"/>
      <c r="QS362"/>
      <c r="QT362"/>
      <c r="QU362"/>
      <c r="QV362"/>
      <c r="QW362"/>
      <c r="QX362"/>
      <c r="QY362"/>
      <c r="QZ362"/>
      <c r="RA362"/>
      <c r="RB362"/>
      <c r="RC362"/>
      <c r="RD362"/>
      <c r="RE362"/>
      <c r="RF362"/>
      <c r="RG362"/>
      <c r="RH362"/>
      <c r="RI362"/>
      <c r="RJ362"/>
      <c r="RK362"/>
      <c r="RL362"/>
      <c r="RM362"/>
      <c r="RN362"/>
      <c r="RO362"/>
      <c r="RP362"/>
      <c r="RQ362"/>
      <c r="RR362"/>
      <c r="RS362"/>
      <c r="RT362"/>
      <c r="RU362"/>
      <c r="RV362"/>
      <c r="RW362"/>
      <c r="RX362"/>
      <c r="RY362"/>
      <c r="RZ362"/>
      <c r="SA362"/>
      <c r="SB362"/>
      <c r="SC362"/>
      <c r="SD362"/>
      <c r="SE362"/>
      <c r="SF362"/>
      <c r="SG362"/>
      <c r="SH362"/>
      <c r="SI362"/>
      <c r="SJ362"/>
      <c r="SK362"/>
      <c r="SL362"/>
      <c r="SM362"/>
      <c r="SN362"/>
      <c r="SO362"/>
      <c r="SP362"/>
      <c r="SQ362"/>
      <c r="SR362"/>
      <c r="SS362"/>
      <c r="ST362"/>
      <c r="SU362"/>
      <c r="SV362"/>
      <c r="SW362"/>
      <c r="SX362"/>
      <c r="SY362"/>
      <c r="SZ362"/>
      <c r="TA362"/>
      <c r="TB362"/>
      <c r="TC362"/>
      <c r="TD362"/>
      <c r="TE362"/>
      <c r="TF362"/>
      <c r="TG362"/>
      <c r="TH362"/>
    </row>
    <row r="363" spans="3:528" x14ac:dyDescent="0.25">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c r="KT363"/>
      <c r="KU363"/>
      <c r="KV363"/>
      <c r="KW363"/>
      <c r="KX363"/>
      <c r="KY363"/>
      <c r="KZ363"/>
      <c r="LA363"/>
      <c r="LB363"/>
      <c r="LC363"/>
      <c r="LD363"/>
      <c r="LE363"/>
      <c r="LF363"/>
      <c r="LG363"/>
      <c r="LH363"/>
      <c r="LI363"/>
      <c r="LJ363"/>
      <c r="LK363"/>
      <c r="LL363"/>
      <c r="LM363"/>
      <c r="LN363"/>
      <c r="LO363"/>
      <c r="LP363"/>
      <c r="LQ363"/>
      <c r="LR363"/>
      <c r="LS363"/>
      <c r="LT363"/>
      <c r="LU363"/>
      <c r="LV363"/>
      <c r="LW363"/>
      <c r="LX363"/>
      <c r="LY363"/>
      <c r="LZ363"/>
      <c r="MA363"/>
      <c r="MB363"/>
      <c r="MC363"/>
      <c r="MD363"/>
      <c r="ME363"/>
      <c r="MF363"/>
      <c r="MG363"/>
      <c r="MH363"/>
      <c r="MI363"/>
      <c r="MJ363"/>
      <c r="MK363"/>
      <c r="ML363"/>
      <c r="MM363"/>
      <c r="MN363"/>
      <c r="MO363"/>
      <c r="MP363"/>
      <c r="MQ363"/>
      <c r="MR363"/>
      <c r="MS363"/>
      <c r="MT363"/>
      <c r="MU363"/>
      <c r="MV363"/>
      <c r="MW363"/>
      <c r="MX363"/>
      <c r="MY363"/>
      <c r="MZ363"/>
      <c r="NA363"/>
      <c r="NB363"/>
      <c r="NC363"/>
      <c r="ND363"/>
      <c r="NE363"/>
      <c r="NF363"/>
      <c r="NG363"/>
      <c r="NH363"/>
      <c r="NI363"/>
      <c r="NJ363"/>
      <c r="NK363"/>
      <c r="NL363"/>
      <c r="NM363"/>
      <c r="NN363"/>
      <c r="NO363"/>
      <c r="NP363"/>
      <c r="NQ363"/>
      <c r="NR363"/>
      <c r="NS363"/>
      <c r="NT363"/>
      <c r="NU363"/>
      <c r="NV363"/>
      <c r="NW363"/>
      <c r="NX363"/>
      <c r="NY363"/>
      <c r="NZ363"/>
      <c r="OA363"/>
      <c r="OB363"/>
      <c r="OC363"/>
      <c r="OD363"/>
      <c r="OE363"/>
      <c r="OF363"/>
      <c r="OG363"/>
      <c r="OH363"/>
      <c r="OI363"/>
      <c r="OJ363"/>
      <c r="OK363"/>
      <c r="OL363"/>
      <c r="OM363"/>
      <c r="ON363"/>
      <c r="OO363"/>
      <c r="OP363"/>
      <c r="OQ363"/>
      <c r="OR363"/>
      <c r="OS363"/>
      <c r="OT363"/>
      <c r="OU363"/>
      <c r="OV363"/>
      <c r="OW363"/>
      <c r="OX363"/>
      <c r="OY363"/>
      <c r="OZ363"/>
      <c r="PA363"/>
      <c r="PB363"/>
      <c r="PC363"/>
      <c r="PD363"/>
      <c r="PE363"/>
      <c r="PF363"/>
      <c r="PG363"/>
      <c r="PH363"/>
      <c r="PI363"/>
      <c r="PJ363"/>
      <c r="PK363"/>
      <c r="PL363"/>
      <c r="PM363"/>
      <c r="PN363"/>
      <c r="PO363"/>
      <c r="PP363"/>
      <c r="PQ363"/>
      <c r="PR363"/>
      <c r="PS363"/>
      <c r="PT363"/>
      <c r="PU363"/>
      <c r="PV363"/>
      <c r="PW363"/>
      <c r="PX363"/>
      <c r="PY363"/>
      <c r="PZ363"/>
      <c r="QA363"/>
      <c r="QB363"/>
      <c r="QC363"/>
      <c r="QD363"/>
      <c r="QE363"/>
      <c r="QF363"/>
      <c r="QG363"/>
      <c r="QH363"/>
      <c r="QI363"/>
      <c r="QJ363"/>
      <c r="QK363"/>
      <c r="QL363"/>
      <c r="QM363"/>
      <c r="QN363"/>
      <c r="QO363"/>
      <c r="QP363"/>
      <c r="QQ363"/>
      <c r="QR363"/>
      <c r="QS363"/>
      <c r="QT363"/>
      <c r="QU363"/>
      <c r="QV363"/>
      <c r="QW363"/>
      <c r="QX363"/>
      <c r="QY363"/>
      <c r="QZ363"/>
      <c r="RA363"/>
      <c r="RB363"/>
      <c r="RC363"/>
      <c r="RD363"/>
      <c r="RE363"/>
      <c r="RF363"/>
      <c r="RG363"/>
      <c r="RH363"/>
      <c r="RI363"/>
      <c r="RJ363"/>
      <c r="RK363"/>
      <c r="RL363"/>
      <c r="RM363"/>
      <c r="RN363"/>
      <c r="RO363"/>
      <c r="RP363"/>
      <c r="RQ363"/>
      <c r="RR363"/>
      <c r="RS363"/>
      <c r="RT363"/>
      <c r="RU363"/>
      <c r="RV363"/>
      <c r="RW363"/>
      <c r="RX363"/>
      <c r="RY363"/>
      <c r="RZ363"/>
      <c r="SA363"/>
      <c r="SB363"/>
      <c r="SC363"/>
      <c r="SD363"/>
      <c r="SE363"/>
      <c r="SF363"/>
      <c r="SG363"/>
      <c r="SH363"/>
      <c r="SI363"/>
      <c r="SJ363"/>
      <c r="SK363"/>
      <c r="SL363"/>
      <c r="SM363"/>
      <c r="SN363"/>
      <c r="SO363"/>
      <c r="SP363"/>
      <c r="SQ363"/>
      <c r="SR363"/>
      <c r="SS363"/>
      <c r="ST363"/>
      <c r="SU363"/>
      <c r="SV363"/>
      <c r="SW363"/>
      <c r="SX363"/>
      <c r="SY363"/>
      <c r="SZ363"/>
      <c r="TA363"/>
      <c r="TB363"/>
      <c r="TC363"/>
      <c r="TD363"/>
      <c r="TE363"/>
      <c r="TF363"/>
      <c r="TG363"/>
      <c r="TH363"/>
    </row>
    <row r="364" spans="3:528" x14ac:dyDescent="0.25">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c r="KT364"/>
      <c r="KU364"/>
      <c r="KV364"/>
      <c r="KW364"/>
      <c r="KX364"/>
      <c r="KY364"/>
      <c r="KZ364"/>
      <c r="LA364"/>
      <c r="LB364"/>
      <c r="LC364"/>
      <c r="LD364"/>
      <c r="LE364"/>
      <c r="LF364"/>
      <c r="LG364"/>
      <c r="LH364"/>
      <c r="LI364"/>
      <c r="LJ364"/>
      <c r="LK364"/>
      <c r="LL364"/>
      <c r="LM364"/>
      <c r="LN364"/>
      <c r="LO364"/>
      <c r="LP364"/>
      <c r="LQ364"/>
      <c r="LR364"/>
      <c r="LS364"/>
      <c r="LT364"/>
      <c r="LU364"/>
      <c r="LV364"/>
      <c r="LW364"/>
      <c r="LX364"/>
      <c r="LY364"/>
      <c r="LZ364"/>
      <c r="MA364"/>
      <c r="MB364"/>
      <c r="MC364"/>
      <c r="MD364"/>
      <c r="ME364"/>
      <c r="MF364"/>
      <c r="MG364"/>
      <c r="MH364"/>
      <c r="MI364"/>
      <c r="MJ364"/>
      <c r="MK364"/>
      <c r="ML364"/>
      <c r="MM364"/>
      <c r="MN364"/>
      <c r="MO364"/>
      <c r="MP364"/>
      <c r="MQ364"/>
      <c r="MR364"/>
      <c r="MS364"/>
      <c r="MT364"/>
      <c r="MU364"/>
      <c r="MV364"/>
      <c r="MW364"/>
      <c r="MX364"/>
      <c r="MY364"/>
      <c r="MZ364"/>
      <c r="NA364"/>
      <c r="NB364"/>
      <c r="NC364"/>
      <c r="ND364"/>
      <c r="NE364"/>
      <c r="NF364"/>
      <c r="NG364"/>
      <c r="NH364"/>
      <c r="NI364"/>
      <c r="NJ364"/>
      <c r="NK364"/>
      <c r="NL364"/>
      <c r="NM364"/>
      <c r="NN364"/>
      <c r="NO364"/>
      <c r="NP364"/>
      <c r="NQ364"/>
      <c r="NR364"/>
      <c r="NS364"/>
      <c r="NT364"/>
      <c r="NU364"/>
      <c r="NV364"/>
      <c r="NW364"/>
      <c r="NX364"/>
      <c r="NY364"/>
      <c r="NZ364"/>
      <c r="OA364"/>
      <c r="OB364"/>
      <c r="OC364"/>
      <c r="OD364"/>
      <c r="OE364"/>
      <c r="OF364"/>
      <c r="OG364"/>
      <c r="OH364"/>
      <c r="OI364"/>
      <c r="OJ364"/>
      <c r="OK364"/>
      <c r="OL364"/>
      <c r="OM364"/>
      <c r="ON364"/>
      <c r="OO364"/>
      <c r="OP364"/>
      <c r="OQ364"/>
      <c r="OR364"/>
      <c r="OS364"/>
      <c r="OT364"/>
      <c r="OU364"/>
      <c r="OV364"/>
      <c r="OW364"/>
      <c r="OX364"/>
      <c r="OY364"/>
      <c r="OZ364"/>
      <c r="PA364"/>
      <c r="PB364"/>
      <c r="PC364"/>
      <c r="PD364"/>
      <c r="PE364"/>
      <c r="PF364"/>
      <c r="PG364"/>
      <c r="PH364"/>
      <c r="PI364"/>
      <c r="PJ364"/>
      <c r="PK364"/>
      <c r="PL364"/>
      <c r="PM364"/>
      <c r="PN364"/>
      <c r="PO364"/>
      <c r="PP364"/>
      <c r="PQ364"/>
      <c r="PR364"/>
      <c r="PS364"/>
      <c r="PT364"/>
      <c r="PU364"/>
      <c r="PV364"/>
      <c r="PW364"/>
      <c r="PX364"/>
      <c r="PY364"/>
      <c r="PZ364"/>
      <c r="QA364"/>
      <c r="QB364"/>
      <c r="QC364"/>
      <c r="QD364"/>
      <c r="QE364"/>
      <c r="QF364"/>
      <c r="QG364"/>
      <c r="QH364"/>
      <c r="QI364"/>
      <c r="QJ364"/>
      <c r="QK364"/>
      <c r="QL364"/>
      <c r="QM364"/>
      <c r="QN364"/>
      <c r="QO364"/>
      <c r="QP364"/>
      <c r="QQ364"/>
      <c r="QR364"/>
      <c r="QS364"/>
      <c r="QT364"/>
      <c r="QU364"/>
      <c r="QV364"/>
      <c r="QW364"/>
      <c r="QX364"/>
      <c r="QY364"/>
      <c r="QZ364"/>
      <c r="RA364"/>
      <c r="RB364"/>
      <c r="RC364"/>
      <c r="RD364"/>
      <c r="RE364"/>
      <c r="RF364"/>
      <c r="RG364"/>
      <c r="RH364"/>
      <c r="RI364"/>
      <c r="RJ364"/>
      <c r="RK364"/>
      <c r="RL364"/>
      <c r="RM364"/>
      <c r="RN364"/>
      <c r="RO364"/>
      <c r="RP364"/>
      <c r="RQ364"/>
      <c r="RR364"/>
      <c r="RS364"/>
      <c r="RT364"/>
      <c r="RU364"/>
      <c r="RV364"/>
      <c r="RW364"/>
      <c r="RX364"/>
      <c r="RY364"/>
      <c r="RZ364"/>
      <c r="SA364"/>
      <c r="SB364"/>
      <c r="SC364"/>
      <c r="SD364"/>
      <c r="SE364"/>
      <c r="SF364"/>
      <c r="SG364"/>
      <c r="SH364"/>
      <c r="SI364"/>
      <c r="SJ364"/>
      <c r="SK364"/>
      <c r="SL364"/>
      <c r="SM364"/>
      <c r="SN364"/>
      <c r="SO364"/>
      <c r="SP364"/>
      <c r="SQ364"/>
      <c r="SR364"/>
      <c r="SS364"/>
      <c r="ST364"/>
      <c r="SU364"/>
      <c r="SV364"/>
      <c r="SW364"/>
      <c r="SX364"/>
      <c r="SY364"/>
      <c r="SZ364"/>
      <c r="TA364"/>
      <c r="TB364"/>
      <c r="TC364"/>
      <c r="TD364"/>
      <c r="TE364"/>
      <c r="TF364"/>
      <c r="TG364"/>
      <c r="TH364"/>
    </row>
    <row r="365" spans="3:528" x14ac:dyDescent="0.2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c r="KT365"/>
      <c r="KU365"/>
      <c r="KV365"/>
      <c r="KW365"/>
      <c r="KX365"/>
      <c r="KY365"/>
      <c r="KZ365"/>
      <c r="LA365"/>
      <c r="LB365"/>
      <c r="LC365"/>
      <c r="LD365"/>
      <c r="LE365"/>
      <c r="LF365"/>
      <c r="LG365"/>
      <c r="LH365"/>
      <c r="LI365"/>
      <c r="LJ365"/>
      <c r="LK365"/>
      <c r="LL365"/>
      <c r="LM365"/>
      <c r="LN365"/>
      <c r="LO365"/>
      <c r="LP365"/>
      <c r="LQ365"/>
      <c r="LR365"/>
      <c r="LS365"/>
      <c r="LT365"/>
      <c r="LU365"/>
      <c r="LV365"/>
      <c r="LW365"/>
      <c r="LX365"/>
      <c r="LY365"/>
      <c r="LZ365"/>
      <c r="MA365"/>
      <c r="MB365"/>
      <c r="MC365"/>
      <c r="MD365"/>
      <c r="ME365"/>
      <c r="MF365"/>
      <c r="MG365"/>
      <c r="MH365"/>
      <c r="MI365"/>
      <c r="MJ365"/>
      <c r="MK365"/>
      <c r="ML365"/>
      <c r="MM365"/>
      <c r="MN365"/>
      <c r="MO365"/>
      <c r="MP365"/>
      <c r="MQ365"/>
      <c r="MR365"/>
      <c r="MS365"/>
      <c r="MT365"/>
      <c r="MU365"/>
      <c r="MV365"/>
      <c r="MW365"/>
      <c r="MX365"/>
      <c r="MY365"/>
      <c r="MZ365"/>
      <c r="NA365"/>
      <c r="NB365"/>
      <c r="NC365"/>
      <c r="ND365"/>
      <c r="NE365"/>
      <c r="NF365"/>
      <c r="NG365"/>
      <c r="NH365"/>
      <c r="NI365"/>
      <c r="NJ365"/>
      <c r="NK365"/>
      <c r="NL365"/>
      <c r="NM365"/>
      <c r="NN365"/>
      <c r="NO365"/>
      <c r="NP365"/>
      <c r="NQ365"/>
      <c r="NR365"/>
      <c r="NS365"/>
      <c r="NT365"/>
      <c r="NU365"/>
      <c r="NV365"/>
      <c r="NW365"/>
      <c r="NX365"/>
      <c r="NY365"/>
      <c r="NZ365"/>
      <c r="OA365"/>
      <c r="OB365"/>
      <c r="OC365"/>
      <c r="OD365"/>
      <c r="OE365"/>
      <c r="OF365"/>
      <c r="OG365"/>
      <c r="OH365"/>
      <c r="OI365"/>
      <c r="OJ365"/>
      <c r="OK365"/>
      <c r="OL365"/>
      <c r="OM365"/>
      <c r="ON365"/>
      <c r="OO365"/>
      <c r="OP365"/>
      <c r="OQ365"/>
      <c r="OR365"/>
      <c r="OS365"/>
      <c r="OT365"/>
      <c r="OU365"/>
      <c r="OV365"/>
      <c r="OW365"/>
      <c r="OX365"/>
      <c r="OY365"/>
      <c r="OZ365"/>
      <c r="PA365"/>
      <c r="PB365"/>
      <c r="PC365"/>
      <c r="PD365"/>
      <c r="PE365"/>
      <c r="PF365"/>
      <c r="PG365"/>
      <c r="PH365"/>
      <c r="PI365"/>
      <c r="PJ365"/>
      <c r="PK365"/>
      <c r="PL365"/>
      <c r="PM365"/>
      <c r="PN365"/>
      <c r="PO365"/>
      <c r="PP365"/>
      <c r="PQ365"/>
      <c r="PR365"/>
      <c r="PS365"/>
      <c r="PT365"/>
      <c r="PU365"/>
      <c r="PV365"/>
      <c r="PW365"/>
      <c r="PX365"/>
      <c r="PY365"/>
      <c r="PZ365"/>
      <c r="QA365"/>
      <c r="QB365"/>
      <c r="QC365"/>
      <c r="QD365"/>
      <c r="QE365"/>
      <c r="QF365"/>
      <c r="QG365"/>
      <c r="QH365"/>
      <c r="QI365"/>
      <c r="QJ365"/>
      <c r="QK365"/>
      <c r="QL365"/>
      <c r="QM365"/>
      <c r="QN365"/>
      <c r="QO365"/>
      <c r="QP365"/>
      <c r="QQ365"/>
      <c r="QR365"/>
      <c r="QS365"/>
      <c r="QT365"/>
      <c r="QU365"/>
      <c r="QV365"/>
      <c r="QW365"/>
      <c r="QX365"/>
      <c r="QY365"/>
      <c r="QZ365"/>
      <c r="RA365"/>
      <c r="RB365"/>
      <c r="RC365"/>
      <c r="RD365"/>
      <c r="RE365"/>
      <c r="RF365"/>
      <c r="RG365"/>
      <c r="RH365"/>
      <c r="RI365"/>
      <c r="RJ365"/>
      <c r="RK365"/>
      <c r="RL365"/>
      <c r="RM365"/>
      <c r="RN365"/>
      <c r="RO365"/>
      <c r="RP365"/>
      <c r="RQ365"/>
      <c r="RR365"/>
      <c r="RS365"/>
      <c r="RT365"/>
      <c r="RU365"/>
      <c r="RV365"/>
      <c r="RW365"/>
      <c r="RX365"/>
      <c r="RY365"/>
      <c r="RZ365"/>
      <c r="SA365"/>
      <c r="SB365"/>
      <c r="SC365"/>
      <c r="SD365"/>
      <c r="SE365"/>
      <c r="SF365"/>
      <c r="SG365"/>
      <c r="SH365"/>
      <c r="SI365"/>
      <c r="SJ365"/>
      <c r="SK365"/>
      <c r="SL365"/>
      <c r="SM365"/>
      <c r="SN365"/>
      <c r="SO365"/>
      <c r="SP365"/>
      <c r="SQ365"/>
      <c r="SR365"/>
      <c r="SS365"/>
      <c r="ST365"/>
      <c r="SU365"/>
      <c r="SV365"/>
      <c r="SW365"/>
      <c r="SX365"/>
      <c r="SY365"/>
      <c r="SZ365"/>
      <c r="TA365"/>
      <c r="TB365"/>
      <c r="TC365"/>
      <c r="TD365"/>
      <c r="TE365"/>
      <c r="TF365"/>
      <c r="TG365"/>
      <c r="TH365"/>
    </row>
    <row r="366" spans="3:528" x14ac:dyDescent="0.25">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c r="KT366"/>
      <c r="KU366"/>
      <c r="KV366"/>
      <c r="KW366"/>
      <c r="KX366"/>
      <c r="KY366"/>
      <c r="KZ366"/>
      <c r="LA366"/>
      <c r="LB366"/>
      <c r="LC366"/>
      <c r="LD366"/>
      <c r="LE366"/>
      <c r="LF366"/>
      <c r="LG366"/>
      <c r="LH366"/>
      <c r="LI366"/>
      <c r="LJ366"/>
      <c r="LK366"/>
      <c r="LL366"/>
      <c r="LM366"/>
      <c r="LN366"/>
      <c r="LO366"/>
      <c r="LP366"/>
      <c r="LQ366"/>
      <c r="LR366"/>
      <c r="LS366"/>
      <c r="LT366"/>
      <c r="LU366"/>
      <c r="LV366"/>
      <c r="LW366"/>
      <c r="LX366"/>
      <c r="LY366"/>
      <c r="LZ366"/>
      <c r="MA366"/>
      <c r="MB366"/>
      <c r="MC366"/>
      <c r="MD366"/>
      <c r="ME366"/>
      <c r="MF366"/>
      <c r="MG366"/>
      <c r="MH366"/>
      <c r="MI366"/>
      <c r="MJ366"/>
      <c r="MK366"/>
      <c r="ML366"/>
      <c r="MM366"/>
      <c r="MN366"/>
      <c r="MO366"/>
      <c r="MP366"/>
      <c r="MQ366"/>
      <c r="MR366"/>
      <c r="MS366"/>
      <c r="MT366"/>
      <c r="MU366"/>
      <c r="MV366"/>
      <c r="MW366"/>
      <c r="MX366"/>
      <c r="MY366"/>
      <c r="MZ366"/>
      <c r="NA366"/>
      <c r="NB366"/>
      <c r="NC366"/>
      <c r="ND366"/>
      <c r="NE366"/>
      <c r="NF366"/>
      <c r="NG366"/>
      <c r="NH366"/>
      <c r="NI366"/>
      <c r="NJ366"/>
      <c r="NK366"/>
      <c r="NL366"/>
      <c r="NM366"/>
      <c r="NN366"/>
      <c r="NO366"/>
      <c r="NP366"/>
      <c r="NQ366"/>
      <c r="NR366"/>
      <c r="NS366"/>
      <c r="NT366"/>
      <c r="NU366"/>
      <c r="NV366"/>
      <c r="NW366"/>
      <c r="NX366"/>
      <c r="NY366"/>
      <c r="NZ366"/>
      <c r="OA366"/>
      <c r="OB366"/>
      <c r="OC366"/>
      <c r="OD366"/>
      <c r="OE366"/>
      <c r="OF366"/>
      <c r="OG366"/>
      <c r="OH366"/>
      <c r="OI366"/>
      <c r="OJ366"/>
      <c r="OK366"/>
      <c r="OL366"/>
      <c r="OM366"/>
      <c r="ON366"/>
      <c r="OO366"/>
      <c r="OP366"/>
      <c r="OQ366"/>
      <c r="OR366"/>
      <c r="OS366"/>
      <c r="OT366"/>
      <c r="OU366"/>
      <c r="OV366"/>
      <c r="OW366"/>
      <c r="OX366"/>
      <c r="OY366"/>
      <c r="OZ366"/>
      <c r="PA366"/>
      <c r="PB366"/>
      <c r="PC366"/>
      <c r="PD366"/>
      <c r="PE366"/>
      <c r="PF366"/>
      <c r="PG366"/>
      <c r="PH366"/>
      <c r="PI366"/>
      <c r="PJ366"/>
      <c r="PK366"/>
      <c r="PL366"/>
      <c r="PM366"/>
      <c r="PN366"/>
      <c r="PO366"/>
      <c r="PP366"/>
      <c r="PQ366"/>
      <c r="PR366"/>
      <c r="PS366"/>
      <c r="PT366"/>
      <c r="PU366"/>
      <c r="PV366"/>
      <c r="PW366"/>
      <c r="PX366"/>
      <c r="PY366"/>
      <c r="PZ366"/>
      <c r="QA366"/>
      <c r="QB366"/>
      <c r="QC366"/>
      <c r="QD366"/>
      <c r="QE366"/>
      <c r="QF366"/>
      <c r="QG366"/>
      <c r="QH366"/>
      <c r="QI366"/>
      <c r="QJ366"/>
      <c r="QK366"/>
      <c r="QL366"/>
      <c r="QM366"/>
      <c r="QN366"/>
      <c r="QO366"/>
      <c r="QP366"/>
      <c r="QQ366"/>
      <c r="QR366"/>
      <c r="QS366"/>
      <c r="QT366"/>
      <c r="QU366"/>
      <c r="QV366"/>
      <c r="QW366"/>
      <c r="QX366"/>
      <c r="QY366"/>
      <c r="QZ366"/>
      <c r="RA366"/>
      <c r="RB366"/>
      <c r="RC366"/>
      <c r="RD366"/>
      <c r="RE366"/>
      <c r="RF366"/>
      <c r="RG366"/>
      <c r="RH366"/>
      <c r="RI366"/>
      <c r="RJ366"/>
      <c r="RK366"/>
      <c r="RL366"/>
      <c r="RM366"/>
      <c r="RN366"/>
      <c r="RO366"/>
      <c r="RP366"/>
      <c r="RQ366"/>
      <c r="RR366"/>
      <c r="RS366"/>
      <c r="RT366"/>
      <c r="RU366"/>
      <c r="RV366"/>
      <c r="RW366"/>
      <c r="RX366"/>
      <c r="RY366"/>
      <c r="RZ366"/>
      <c r="SA366"/>
      <c r="SB366"/>
      <c r="SC366"/>
      <c r="SD366"/>
      <c r="SE366"/>
      <c r="SF366"/>
      <c r="SG366"/>
      <c r="SH366"/>
      <c r="SI366"/>
      <c r="SJ366"/>
      <c r="SK366"/>
      <c r="SL366"/>
      <c r="SM366"/>
      <c r="SN366"/>
      <c r="SO366"/>
      <c r="SP366"/>
      <c r="SQ366"/>
      <c r="SR366"/>
      <c r="SS366"/>
      <c r="ST366"/>
      <c r="SU366"/>
      <c r="SV366"/>
      <c r="SW366"/>
      <c r="SX366"/>
      <c r="SY366"/>
      <c r="SZ366"/>
      <c r="TA366"/>
      <c r="TB366"/>
      <c r="TC366"/>
      <c r="TD366"/>
      <c r="TE366"/>
      <c r="TF366"/>
      <c r="TG366"/>
      <c r="TH366"/>
    </row>
    <row r="367" spans="3:528" x14ac:dyDescent="0.25">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c r="KT367"/>
      <c r="KU367"/>
      <c r="KV367"/>
      <c r="KW367"/>
      <c r="KX367"/>
      <c r="KY367"/>
      <c r="KZ367"/>
      <c r="LA367"/>
      <c r="LB367"/>
      <c r="LC367"/>
      <c r="LD367"/>
      <c r="LE367"/>
      <c r="LF367"/>
      <c r="LG367"/>
      <c r="LH367"/>
      <c r="LI367"/>
      <c r="LJ367"/>
      <c r="LK367"/>
      <c r="LL367"/>
      <c r="LM367"/>
      <c r="LN367"/>
      <c r="LO367"/>
      <c r="LP367"/>
      <c r="LQ367"/>
      <c r="LR367"/>
      <c r="LS367"/>
      <c r="LT367"/>
      <c r="LU367"/>
      <c r="LV367"/>
      <c r="LW367"/>
      <c r="LX367"/>
      <c r="LY367"/>
      <c r="LZ367"/>
      <c r="MA367"/>
      <c r="MB367"/>
      <c r="MC367"/>
      <c r="MD367"/>
      <c r="ME367"/>
      <c r="MF367"/>
      <c r="MG367"/>
      <c r="MH367"/>
      <c r="MI367"/>
      <c r="MJ367"/>
      <c r="MK367"/>
      <c r="ML367"/>
      <c r="MM367"/>
      <c r="MN367"/>
      <c r="MO367"/>
      <c r="MP367"/>
      <c r="MQ367"/>
      <c r="MR367"/>
      <c r="MS367"/>
      <c r="MT367"/>
      <c r="MU367"/>
      <c r="MV367"/>
      <c r="MW367"/>
      <c r="MX367"/>
      <c r="MY367"/>
      <c r="MZ367"/>
      <c r="NA367"/>
      <c r="NB367"/>
      <c r="NC367"/>
      <c r="ND367"/>
      <c r="NE367"/>
      <c r="NF367"/>
      <c r="NG367"/>
      <c r="NH367"/>
      <c r="NI367"/>
      <c r="NJ367"/>
      <c r="NK367"/>
      <c r="NL367"/>
      <c r="NM367"/>
      <c r="NN367"/>
      <c r="NO367"/>
      <c r="NP367"/>
      <c r="NQ367"/>
      <c r="NR367"/>
      <c r="NS367"/>
      <c r="NT367"/>
      <c r="NU367"/>
      <c r="NV367"/>
      <c r="NW367"/>
      <c r="NX367"/>
      <c r="NY367"/>
      <c r="NZ367"/>
      <c r="OA367"/>
      <c r="OB367"/>
      <c r="OC367"/>
      <c r="OD367"/>
      <c r="OE367"/>
      <c r="OF367"/>
      <c r="OG367"/>
      <c r="OH367"/>
      <c r="OI367"/>
      <c r="OJ367"/>
      <c r="OK367"/>
      <c r="OL367"/>
      <c r="OM367"/>
      <c r="ON367"/>
      <c r="OO367"/>
      <c r="OP367"/>
      <c r="OQ367"/>
      <c r="OR367"/>
      <c r="OS367"/>
      <c r="OT367"/>
      <c r="OU367"/>
      <c r="OV367"/>
      <c r="OW367"/>
      <c r="OX367"/>
      <c r="OY367"/>
      <c r="OZ367"/>
      <c r="PA367"/>
      <c r="PB367"/>
      <c r="PC367"/>
      <c r="PD367"/>
      <c r="PE367"/>
      <c r="PF367"/>
      <c r="PG367"/>
      <c r="PH367"/>
      <c r="PI367"/>
      <c r="PJ367"/>
      <c r="PK367"/>
      <c r="PL367"/>
      <c r="PM367"/>
      <c r="PN367"/>
      <c r="PO367"/>
      <c r="PP367"/>
      <c r="PQ367"/>
      <c r="PR367"/>
      <c r="PS367"/>
      <c r="PT367"/>
      <c r="PU367"/>
      <c r="PV367"/>
      <c r="PW367"/>
      <c r="PX367"/>
      <c r="PY367"/>
      <c r="PZ367"/>
      <c r="QA367"/>
      <c r="QB367"/>
      <c r="QC367"/>
      <c r="QD367"/>
      <c r="QE367"/>
      <c r="QF367"/>
      <c r="QG367"/>
      <c r="QH367"/>
      <c r="QI367"/>
      <c r="QJ367"/>
      <c r="QK367"/>
      <c r="QL367"/>
      <c r="QM367"/>
      <c r="QN367"/>
      <c r="QO367"/>
      <c r="QP367"/>
      <c r="QQ367"/>
      <c r="QR367"/>
      <c r="QS367"/>
      <c r="QT367"/>
      <c r="QU367"/>
      <c r="QV367"/>
      <c r="QW367"/>
      <c r="QX367"/>
      <c r="QY367"/>
      <c r="QZ367"/>
      <c r="RA367"/>
      <c r="RB367"/>
      <c r="RC367"/>
      <c r="RD367"/>
      <c r="RE367"/>
      <c r="RF367"/>
      <c r="RG367"/>
      <c r="RH367"/>
      <c r="RI367"/>
      <c r="RJ367"/>
      <c r="RK367"/>
      <c r="RL367"/>
      <c r="RM367"/>
      <c r="RN367"/>
      <c r="RO367"/>
      <c r="RP367"/>
      <c r="RQ367"/>
      <c r="RR367"/>
      <c r="RS367"/>
      <c r="RT367"/>
      <c r="RU367"/>
      <c r="RV367"/>
      <c r="RW367"/>
      <c r="RX367"/>
      <c r="RY367"/>
      <c r="RZ367"/>
      <c r="SA367"/>
      <c r="SB367"/>
      <c r="SC367"/>
      <c r="SD367"/>
      <c r="SE367"/>
      <c r="SF367"/>
      <c r="SG367"/>
      <c r="SH367"/>
      <c r="SI367"/>
      <c r="SJ367"/>
      <c r="SK367"/>
      <c r="SL367"/>
      <c r="SM367"/>
      <c r="SN367"/>
      <c r="SO367"/>
      <c r="SP367"/>
      <c r="SQ367"/>
      <c r="SR367"/>
      <c r="SS367"/>
      <c r="ST367"/>
      <c r="SU367"/>
      <c r="SV367"/>
      <c r="SW367"/>
      <c r="SX367"/>
      <c r="SY367"/>
      <c r="SZ367"/>
      <c r="TA367"/>
      <c r="TB367"/>
      <c r="TC367"/>
      <c r="TD367"/>
      <c r="TE367"/>
      <c r="TF367"/>
      <c r="TG367"/>
      <c r="TH367"/>
    </row>
    <row r="368" spans="3:528" x14ac:dyDescent="0.25">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c r="KT368"/>
      <c r="KU368"/>
      <c r="KV368"/>
      <c r="KW368"/>
      <c r="KX368"/>
      <c r="KY368"/>
      <c r="KZ368"/>
      <c r="LA368"/>
      <c r="LB368"/>
      <c r="LC368"/>
      <c r="LD368"/>
      <c r="LE368"/>
      <c r="LF368"/>
      <c r="LG368"/>
      <c r="LH368"/>
      <c r="LI368"/>
      <c r="LJ368"/>
      <c r="LK368"/>
      <c r="LL368"/>
      <c r="LM368"/>
      <c r="LN368"/>
      <c r="LO368"/>
      <c r="LP368"/>
      <c r="LQ368"/>
      <c r="LR368"/>
      <c r="LS368"/>
      <c r="LT368"/>
      <c r="LU368"/>
      <c r="LV368"/>
      <c r="LW368"/>
      <c r="LX368"/>
      <c r="LY368"/>
      <c r="LZ368"/>
      <c r="MA368"/>
      <c r="MB368"/>
      <c r="MC368"/>
      <c r="MD368"/>
      <c r="ME368"/>
      <c r="MF368"/>
      <c r="MG368"/>
      <c r="MH368"/>
      <c r="MI368"/>
      <c r="MJ368"/>
      <c r="MK368"/>
      <c r="ML368"/>
      <c r="MM368"/>
      <c r="MN368"/>
      <c r="MO368"/>
      <c r="MP368"/>
      <c r="MQ368"/>
      <c r="MR368"/>
      <c r="MS368"/>
      <c r="MT368"/>
      <c r="MU368"/>
      <c r="MV368"/>
      <c r="MW368"/>
      <c r="MX368"/>
      <c r="MY368"/>
      <c r="MZ368"/>
      <c r="NA368"/>
      <c r="NB368"/>
      <c r="NC368"/>
      <c r="ND368"/>
      <c r="NE368"/>
      <c r="NF368"/>
      <c r="NG368"/>
      <c r="NH368"/>
      <c r="NI368"/>
      <c r="NJ368"/>
      <c r="NK368"/>
      <c r="NL368"/>
      <c r="NM368"/>
      <c r="NN368"/>
      <c r="NO368"/>
      <c r="NP368"/>
      <c r="NQ368"/>
      <c r="NR368"/>
      <c r="NS368"/>
      <c r="NT368"/>
      <c r="NU368"/>
      <c r="NV368"/>
      <c r="NW368"/>
      <c r="NX368"/>
      <c r="NY368"/>
      <c r="NZ368"/>
      <c r="OA368"/>
      <c r="OB368"/>
      <c r="OC368"/>
      <c r="OD368"/>
      <c r="OE368"/>
      <c r="OF368"/>
      <c r="OG368"/>
      <c r="OH368"/>
      <c r="OI368"/>
      <c r="OJ368"/>
      <c r="OK368"/>
      <c r="OL368"/>
      <c r="OM368"/>
      <c r="ON368"/>
      <c r="OO368"/>
      <c r="OP368"/>
      <c r="OQ368"/>
      <c r="OR368"/>
      <c r="OS368"/>
      <c r="OT368"/>
      <c r="OU368"/>
      <c r="OV368"/>
      <c r="OW368"/>
      <c r="OX368"/>
      <c r="OY368"/>
      <c r="OZ368"/>
      <c r="PA368"/>
      <c r="PB368"/>
      <c r="PC368"/>
      <c r="PD368"/>
      <c r="PE368"/>
      <c r="PF368"/>
      <c r="PG368"/>
      <c r="PH368"/>
      <c r="PI368"/>
      <c r="PJ368"/>
      <c r="PK368"/>
      <c r="PL368"/>
      <c r="PM368"/>
      <c r="PN368"/>
      <c r="PO368"/>
      <c r="PP368"/>
      <c r="PQ368"/>
      <c r="PR368"/>
      <c r="PS368"/>
      <c r="PT368"/>
      <c r="PU368"/>
      <c r="PV368"/>
      <c r="PW368"/>
      <c r="PX368"/>
      <c r="PY368"/>
      <c r="PZ368"/>
      <c r="QA368"/>
      <c r="QB368"/>
      <c r="QC368"/>
      <c r="QD368"/>
      <c r="QE368"/>
      <c r="QF368"/>
      <c r="QG368"/>
      <c r="QH368"/>
      <c r="QI368"/>
      <c r="QJ368"/>
      <c r="QK368"/>
      <c r="QL368"/>
      <c r="QM368"/>
      <c r="QN368"/>
      <c r="QO368"/>
      <c r="QP368"/>
      <c r="QQ368"/>
      <c r="QR368"/>
      <c r="QS368"/>
      <c r="QT368"/>
      <c r="QU368"/>
      <c r="QV368"/>
      <c r="QW368"/>
      <c r="QX368"/>
      <c r="QY368"/>
      <c r="QZ368"/>
      <c r="RA368"/>
      <c r="RB368"/>
      <c r="RC368"/>
      <c r="RD368"/>
      <c r="RE368"/>
      <c r="RF368"/>
      <c r="RG368"/>
      <c r="RH368"/>
      <c r="RI368"/>
      <c r="RJ368"/>
      <c r="RK368"/>
      <c r="RL368"/>
      <c r="RM368"/>
      <c r="RN368"/>
      <c r="RO368"/>
      <c r="RP368"/>
      <c r="RQ368"/>
      <c r="RR368"/>
      <c r="RS368"/>
      <c r="RT368"/>
      <c r="RU368"/>
      <c r="RV368"/>
      <c r="RW368"/>
      <c r="RX368"/>
      <c r="RY368"/>
      <c r="RZ368"/>
      <c r="SA368"/>
      <c r="SB368"/>
      <c r="SC368"/>
      <c r="SD368"/>
      <c r="SE368"/>
      <c r="SF368"/>
      <c r="SG368"/>
      <c r="SH368"/>
      <c r="SI368"/>
      <c r="SJ368"/>
      <c r="SK368"/>
      <c r="SL368"/>
      <c r="SM368"/>
      <c r="SN368"/>
      <c r="SO368"/>
      <c r="SP368"/>
      <c r="SQ368"/>
      <c r="SR368"/>
      <c r="SS368"/>
      <c r="ST368"/>
      <c r="SU368"/>
      <c r="SV368"/>
      <c r="SW368"/>
      <c r="SX368"/>
      <c r="SY368"/>
      <c r="SZ368"/>
      <c r="TA368"/>
      <c r="TB368"/>
      <c r="TC368"/>
      <c r="TD368"/>
      <c r="TE368"/>
      <c r="TF368"/>
      <c r="TG368"/>
      <c r="TH368"/>
    </row>
    <row r="369" spans="3:528" x14ac:dyDescent="0.25">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c r="KT369"/>
      <c r="KU369"/>
      <c r="KV369"/>
      <c r="KW369"/>
      <c r="KX369"/>
      <c r="KY369"/>
      <c r="KZ369"/>
      <c r="LA369"/>
      <c r="LB369"/>
      <c r="LC369"/>
      <c r="LD369"/>
      <c r="LE369"/>
      <c r="LF369"/>
      <c r="LG369"/>
      <c r="LH369"/>
      <c r="LI369"/>
      <c r="LJ369"/>
      <c r="LK369"/>
      <c r="LL369"/>
      <c r="LM369"/>
      <c r="LN369"/>
      <c r="LO369"/>
      <c r="LP369"/>
      <c r="LQ369"/>
      <c r="LR369"/>
      <c r="LS369"/>
      <c r="LT369"/>
      <c r="LU369"/>
      <c r="LV369"/>
      <c r="LW369"/>
      <c r="LX369"/>
      <c r="LY369"/>
      <c r="LZ369"/>
      <c r="MA369"/>
      <c r="MB369"/>
      <c r="MC369"/>
      <c r="MD369"/>
      <c r="ME369"/>
      <c r="MF369"/>
      <c r="MG369"/>
      <c r="MH369"/>
      <c r="MI369"/>
      <c r="MJ369"/>
      <c r="MK369"/>
      <c r="ML369"/>
      <c r="MM369"/>
      <c r="MN369"/>
      <c r="MO369"/>
      <c r="MP369"/>
      <c r="MQ369"/>
      <c r="MR369"/>
      <c r="MS369"/>
      <c r="MT369"/>
      <c r="MU369"/>
      <c r="MV369"/>
      <c r="MW369"/>
      <c r="MX369"/>
      <c r="MY369"/>
      <c r="MZ369"/>
      <c r="NA369"/>
      <c r="NB369"/>
      <c r="NC369"/>
      <c r="ND369"/>
      <c r="NE369"/>
      <c r="NF369"/>
      <c r="NG369"/>
      <c r="NH369"/>
      <c r="NI369"/>
      <c r="NJ369"/>
      <c r="NK369"/>
      <c r="NL369"/>
      <c r="NM369"/>
      <c r="NN369"/>
      <c r="NO369"/>
      <c r="NP369"/>
      <c r="NQ369"/>
      <c r="NR369"/>
      <c r="NS369"/>
      <c r="NT369"/>
      <c r="NU369"/>
      <c r="NV369"/>
      <c r="NW369"/>
      <c r="NX369"/>
      <c r="NY369"/>
      <c r="NZ369"/>
      <c r="OA369"/>
      <c r="OB369"/>
      <c r="OC369"/>
      <c r="OD369"/>
      <c r="OE369"/>
      <c r="OF369"/>
      <c r="OG369"/>
      <c r="OH369"/>
      <c r="OI369"/>
      <c r="OJ369"/>
      <c r="OK369"/>
      <c r="OL369"/>
      <c r="OM369"/>
      <c r="ON369"/>
      <c r="OO369"/>
      <c r="OP369"/>
      <c r="OQ369"/>
      <c r="OR369"/>
      <c r="OS369"/>
      <c r="OT369"/>
      <c r="OU369"/>
      <c r="OV369"/>
      <c r="OW369"/>
      <c r="OX369"/>
      <c r="OY369"/>
      <c r="OZ369"/>
      <c r="PA369"/>
      <c r="PB369"/>
      <c r="PC369"/>
      <c r="PD369"/>
      <c r="PE369"/>
      <c r="PF369"/>
      <c r="PG369"/>
      <c r="PH369"/>
      <c r="PI369"/>
      <c r="PJ369"/>
      <c r="PK369"/>
      <c r="PL369"/>
      <c r="PM369"/>
      <c r="PN369"/>
      <c r="PO369"/>
      <c r="PP369"/>
      <c r="PQ369"/>
      <c r="PR369"/>
      <c r="PS369"/>
      <c r="PT369"/>
      <c r="PU369"/>
      <c r="PV369"/>
      <c r="PW369"/>
      <c r="PX369"/>
      <c r="PY369"/>
      <c r="PZ369"/>
      <c r="QA369"/>
      <c r="QB369"/>
      <c r="QC369"/>
      <c r="QD369"/>
      <c r="QE369"/>
      <c r="QF369"/>
      <c r="QG369"/>
      <c r="QH369"/>
      <c r="QI369"/>
      <c r="QJ369"/>
      <c r="QK369"/>
      <c r="QL369"/>
      <c r="QM369"/>
      <c r="QN369"/>
      <c r="QO369"/>
      <c r="QP369"/>
      <c r="QQ369"/>
      <c r="QR369"/>
      <c r="QS369"/>
      <c r="QT369"/>
      <c r="QU369"/>
      <c r="QV369"/>
      <c r="QW369"/>
      <c r="QX369"/>
      <c r="QY369"/>
      <c r="QZ369"/>
      <c r="RA369"/>
      <c r="RB369"/>
      <c r="RC369"/>
      <c r="RD369"/>
      <c r="RE369"/>
      <c r="RF369"/>
      <c r="RG369"/>
      <c r="RH369"/>
      <c r="RI369"/>
      <c r="RJ369"/>
      <c r="RK369"/>
      <c r="RL369"/>
      <c r="RM369"/>
      <c r="RN369"/>
      <c r="RO369"/>
      <c r="RP369"/>
      <c r="RQ369"/>
      <c r="RR369"/>
      <c r="RS369"/>
      <c r="RT369"/>
      <c r="RU369"/>
      <c r="RV369"/>
      <c r="RW369"/>
      <c r="RX369"/>
      <c r="RY369"/>
      <c r="RZ369"/>
      <c r="SA369"/>
      <c r="SB369"/>
      <c r="SC369"/>
      <c r="SD369"/>
      <c r="SE369"/>
      <c r="SF369"/>
      <c r="SG369"/>
      <c r="SH369"/>
      <c r="SI369"/>
      <c r="SJ369"/>
      <c r="SK369"/>
      <c r="SL369"/>
      <c r="SM369"/>
      <c r="SN369"/>
      <c r="SO369"/>
      <c r="SP369"/>
      <c r="SQ369"/>
      <c r="SR369"/>
      <c r="SS369"/>
      <c r="ST369"/>
      <c r="SU369"/>
      <c r="SV369"/>
      <c r="SW369"/>
      <c r="SX369"/>
      <c r="SY369"/>
      <c r="SZ369"/>
      <c r="TA369"/>
      <c r="TB369"/>
      <c r="TC369"/>
      <c r="TD369"/>
      <c r="TE369"/>
      <c r="TF369"/>
      <c r="TG369"/>
      <c r="TH369"/>
    </row>
    <row r="370" spans="3:528" x14ac:dyDescent="0.25">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c r="KT370"/>
      <c r="KU370"/>
      <c r="KV370"/>
      <c r="KW370"/>
      <c r="KX370"/>
      <c r="KY370"/>
      <c r="KZ370"/>
      <c r="LA370"/>
      <c r="LB370"/>
      <c r="LC370"/>
      <c r="LD370"/>
      <c r="LE370"/>
      <c r="LF370"/>
      <c r="LG370"/>
      <c r="LH370"/>
      <c r="LI370"/>
      <c r="LJ370"/>
      <c r="LK370"/>
      <c r="LL370"/>
      <c r="LM370"/>
      <c r="LN370"/>
      <c r="LO370"/>
      <c r="LP370"/>
      <c r="LQ370"/>
      <c r="LR370"/>
      <c r="LS370"/>
      <c r="LT370"/>
      <c r="LU370"/>
      <c r="LV370"/>
      <c r="LW370"/>
      <c r="LX370"/>
      <c r="LY370"/>
      <c r="LZ370"/>
      <c r="MA370"/>
      <c r="MB370"/>
      <c r="MC370"/>
      <c r="MD370"/>
      <c r="ME370"/>
      <c r="MF370"/>
      <c r="MG370"/>
      <c r="MH370"/>
      <c r="MI370"/>
      <c r="MJ370"/>
      <c r="MK370"/>
      <c r="ML370"/>
      <c r="MM370"/>
      <c r="MN370"/>
      <c r="MO370"/>
      <c r="MP370"/>
      <c r="MQ370"/>
      <c r="MR370"/>
      <c r="MS370"/>
      <c r="MT370"/>
      <c r="MU370"/>
      <c r="MV370"/>
      <c r="MW370"/>
      <c r="MX370"/>
      <c r="MY370"/>
      <c r="MZ370"/>
      <c r="NA370"/>
      <c r="NB370"/>
      <c r="NC370"/>
      <c r="ND370"/>
      <c r="NE370"/>
      <c r="NF370"/>
      <c r="NG370"/>
      <c r="NH370"/>
      <c r="NI370"/>
      <c r="NJ370"/>
      <c r="NK370"/>
      <c r="NL370"/>
      <c r="NM370"/>
      <c r="NN370"/>
      <c r="NO370"/>
      <c r="NP370"/>
      <c r="NQ370"/>
      <c r="NR370"/>
      <c r="NS370"/>
      <c r="NT370"/>
      <c r="NU370"/>
      <c r="NV370"/>
      <c r="NW370"/>
      <c r="NX370"/>
      <c r="NY370"/>
      <c r="NZ370"/>
      <c r="OA370"/>
      <c r="OB370"/>
      <c r="OC370"/>
      <c r="OD370"/>
      <c r="OE370"/>
      <c r="OF370"/>
      <c r="OG370"/>
      <c r="OH370"/>
      <c r="OI370"/>
      <c r="OJ370"/>
      <c r="OK370"/>
      <c r="OL370"/>
      <c r="OM370"/>
      <c r="ON370"/>
      <c r="OO370"/>
      <c r="OP370"/>
      <c r="OQ370"/>
      <c r="OR370"/>
      <c r="OS370"/>
      <c r="OT370"/>
      <c r="OU370"/>
      <c r="OV370"/>
      <c r="OW370"/>
      <c r="OX370"/>
      <c r="OY370"/>
      <c r="OZ370"/>
      <c r="PA370"/>
      <c r="PB370"/>
      <c r="PC370"/>
      <c r="PD370"/>
      <c r="PE370"/>
      <c r="PF370"/>
      <c r="PG370"/>
      <c r="PH370"/>
      <c r="PI370"/>
      <c r="PJ370"/>
      <c r="PK370"/>
      <c r="PL370"/>
      <c r="PM370"/>
      <c r="PN370"/>
      <c r="PO370"/>
      <c r="PP370"/>
      <c r="PQ370"/>
      <c r="PR370"/>
      <c r="PS370"/>
      <c r="PT370"/>
      <c r="PU370"/>
      <c r="PV370"/>
      <c r="PW370"/>
      <c r="PX370"/>
      <c r="PY370"/>
      <c r="PZ370"/>
      <c r="QA370"/>
      <c r="QB370"/>
      <c r="QC370"/>
      <c r="QD370"/>
      <c r="QE370"/>
      <c r="QF370"/>
      <c r="QG370"/>
      <c r="QH370"/>
      <c r="QI370"/>
      <c r="QJ370"/>
      <c r="QK370"/>
      <c r="QL370"/>
      <c r="QM370"/>
      <c r="QN370"/>
      <c r="QO370"/>
      <c r="QP370"/>
      <c r="QQ370"/>
      <c r="QR370"/>
      <c r="QS370"/>
      <c r="QT370"/>
      <c r="QU370"/>
      <c r="QV370"/>
      <c r="QW370"/>
      <c r="QX370"/>
      <c r="QY370"/>
      <c r="QZ370"/>
      <c r="RA370"/>
      <c r="RB370"/>
      <c r="RC370"/>
      <c r="RD370"/>
      <c r="RE370"/>
      <c r="RF370"/>
      <c r="RG370"/>
      <c r="RH370"/>
      <c r="RI370"/>
      <c r="RJ370"/>
      <c r="RK370"/>
      <c r="RL370"/>
      <c r="RM370"/>
      <c r="RN370"/>
      <c r="RO370"/>
      <c r="RP370"/>
      <c r="RQ370"/>
      <c r="RR370"/>
      <c r="RS370"/>
      <c r="RT370"/>
      <c r="RU370"/>
      <c r="RV370"/>
      <c r="RW370"/>
      <c r="RX370"/>
      <c r="RY370"/>
      <c r="RZ370"/>
      <c r="SA370"/>
      <c r="SB370"/>
      <c r="SC370"/>
      <c r="SD370"/>
      <c r="SE370"/>
      <c r="SF370"/>
      <c r="SG370"/>
      <c r="SH370"/>
      <c r="SI370"/>
      <c r="SJ370"/>
      <c r="SK370"/>
      <c r="SL370"/>
      <c r="SM370"/>
      <c r="SN370"/>
      <c r="SO370"/>
      <c r="SP370"/>
      <c r="SQ370"/>
      <c r="SR370"/>
      <c r="SS370"/>
      <c r="ST370"/>
      <c r="SU370"/>
      <c r="SV370"/>
      <c r="SW370"/>
      <c r="SX370"/>
      <c r="SY370"/>
      <c r="SZ370"/>
      <c r="TA370"/>
      <c r="TB370"/>
      <c r="TC370"/>
      <c r="TD370"/>
      <c r="TE370"/>
      <c r="TF370"/>
      <c r="TG370"/>
      <c r="TH370"/>
    </row>
    <row r="371" spans="3:528" x14ac:dyDescent="0.25">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c r="KT371"/>
      <c r="KU371"/>
      <c r="KV371"/>
      <c r="KW371"/>
      <c r="KX371"/>
      <c r="KY371"/>
      <c r="KZ371"/>
      <c r="LA371"/>
      <c r="LB371"/>
      <c r="LC371"/>
      <c r="LD371"/>
      <c r="LE371"/>
      <c r="LF371"/>
      <c r="LG371"/>
      <c r="LH371"/>
      <c r="LI371"/>
      <c r="LJ371"/>
      <c r="LK371"/>
      <c r="LL371"/>
      <c r="LM371"/>
      <c r="LN371"/>
      <c r="LO371"/>
      <c r="LP371"/>
      <c r="LQ371"/>
      <c r="LR371"/>
      <c r="LS371"/>
      <c r="LT371"/>
      <c r="LU371"/>
      <c r="LV371"/>
      <c r="LW371"/>
      <c r="LX371"/>
      <c r="LY371"/>
      <c r="LZ371"/>
      <c r="MA371"/>
      <c r="MB371"/>
      <c r="MC371"/>
      <c r="MD371"/>
      <c r="ME371"/>
      <c r="MF371"/>
      <c r="MG371"/>
      <c r="MH371"/>
      <c r="MI371"/>
      <c r="MJ371"/>
      <c r="MK371"/>
      <c r="ML371"/>
      <c r="MM371"/>
      <c r="MN371"/>
      <c r="MO371"/>
      <c r="MP371"/>
      <c r="MQ371"/>
      <c r="MR371"/>
      <c r="MS371"/>
      <c r="MT371"/>
      <c r="MU371"/>
      <c r="MV371"/>
      <c r="MW371"/>
      <c r="MX371"/>
      <c r="MY371"/>
      <c r="MZ371"/>
      <c r="NA371"/>
      <c r="NB371"/>
      <c r="NC371"/>
      <c r="ND371"/>
      <c r="NE371"/>
      <c r="NF371"/>
      <c r="NG371"/>
      <c r="NH371"/>
      <c r="NI371"/>
      <c r="NJ371"/>
      <c r="NK371"/>
      <c r="NL371"/>
      <c r="NM371"/>
      <c r="NN371"/>
      <c r="NO371"/>
      <c r="NP371"/>
      <c r="NQ371"/>
      <c r="NR371"/>
      <c r="NS371"/>
      <c r="NT371"/>
      <c r="NU371"/>
      <c r="NV371"/>
      <c r="NW371"/>
      <c r="NX371"/>
      <c r="NY371"/>
      <c r="NZ371"/>
      <c r="OA371"/>
      <c r="OB371"/>
      <c r="OC371"/>
      <c r="OD371"/>
      <c r="OE371"/>
      <c r="OF371"/>
      <c r="OG371"/>
      <c r="OH371"/>
      <c r="OI371"/>
      <c r="OJ371"/>
      <c r="OK371"/>
      <c r="OL371"/>
      <c r="OM371"/>
      <c r="ON371"/>
      <c r="OO371"/>
      <c r="OP371"/>
      <c r="OQ371"/>
      <c r="OR371"/>
      <c r="OS371"/>
      <c r="OT371"/>
      <c r="OU371"/>
      <c r="OV371"/>
      <c r="OW371"/>
      <c r="OX371"/>
      <c r="OY371"/>
      <c r="OZ371"/>
      <c r="PA371"/>
      <c r="PB371"/>
      <c r="PC371"/>
      <c r="PD371"/>
      <c r="PE371"/>
      <c r="PF371"/>
      <c r="PG371"/>
      <c r="PH371"/>
      <c r="PI371"/>
      <c r="PJ371"/>
      <c r="PK371"/>
      <c r="PL371"/>
      <c r="PM371"/>
      <c r="PN371"/>
      <c r="PO371"/>
      <c r="PP371"/>
      <c r="PQ371"/>
      <c r="PR371"/>
      <c r="PS371"/>
      <c r="PT371"/>
      <c r="PU371"/>
      <c r="PV371"/>
      <c r="PW371"/>
      <c r="PX371"/>
      <c r="PY371"/>
      <c r="PZ371"/>
      <c r="QA371"/>
      <c r="QB371"/>
      <c r="QC371"/>
      <c r="QD371"/>
      <c r="QE371"/>
      <c r="QF371"/>
      <c r="QG371"/>
      <c r="QH371"/>
      <c r="QI371"/>
      <c r="QJ371"/>
      <c r="QK371"/>
      <c r="QL371"/>
      <c r="QM371"/>
      <c r="QN371"/>
      <c r="QO371"/>
      <c r="QP371"/>
      <c r="QQ371"/>
      <c r="QR371"/>
      <c r="QS371"/>
      <c r="QT371"/>
      <c r="QU371"/>
      <c r="QV371"/>
      <c r="QW371"/>
      <c r="QX371"/>
      <c r="QY371"/>
      <c r="QZ371"/>
      <c r="RA371"/>
      <c r="RB371"/>
      <c r="RC371"/>
      <c r="RD371"/>
      <c r="RE371"/>
      <c r="RF371"/>
      <c r="RG371"/>
      <c r="RH371"/>
      <c r="RI371"/>
      <c r="RJ371"/>
      <c r="RK371"/>
      <c r="RL371"/>
      <c r="RM371"/>
      <c r="RN371"/>
      <c r="RO371"/>
      <c r="RP371"/>
      <c r="RQ371"/>
      <c r="RR371"/>
      <c r="RS371"/>
      <c r="RT371"/>
      <c r="RU371"/>
      <c r="RV371"/>
      <c r="RW371"/>
      <c r="RX371"/>
      <c r="RY371"/>
      <c r="RZ371"/>
      <c r="SA371"/>
      <c r="SB371"/>
      <c r="SC371"/>
      <c r="SD371"/>
      <c r="SE371"/>
      <c r="SF371"/>
      <c r="SG371"/>
      <c r="SH371"/>
      <c r="SI371"/>
      <c r="SJ371"/>
      <c r="SK371"/>
      <c r="SL371"/>
      <c r="SM371"/>
      <c r="SN371"/>
      <c r="SO371"/>
      <c r="SP371"/>
      <c r="SQ371"/>
      <c r="SR371"/>
      <c r="SS371"/>
      <c r="ST371"/>
      <c r="SU371"/>
      <c r="SV371"/>
      <c r="SW371"/>
      <c r="SX371"/>
      <c r="SY371"/>
      <c r="SZ371"/>
      <c r="TA371"/>
      <c r="TB371"/>
      <c r="TC371"/>
      <c r="TD371"/>
      <c r="TE371"/>
      <c r="TF371"/>
      <c r="TG371"/>
      <c r="TH371"/>
    </row>
    <row r="372" spans="3:528" x14ac:dyDescent="0.25">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c r="KT372"/>
      <c r="KU372"/>
      <c r="KV372"/>
      <c r="KW372"/>
      <c r="KX372"/>
      <c r="KY372"/>
      <c r="KZ372"/>
      <c r="LA372"/>
      <c r="LB372"/>
      <c r="LC372"/>
      <c r="LD372"/>
      <c r="LE372"/>
      <c r="LF372"/>
      <c r="LG372"/>
      <c r="LH372"/>
      <c r="LI372"/>
      <c r="LJ372"/>
      <c r="LK372"/>
      <c r="LL372"/>
      <c r="LM372"/>
      <c r="LN372"/>
      <c r="LO372"/>
      <c r="LP372"/>
      <c r="LQ372"/>
      <c r="LR372"/>
      <c r="LS372"/>
      <c r="LT372"/>
      <c r="LU372"/>
      <c r="LV372"/>
      <c r="LW372"/>
      <c r="LX372"/>
      <c r="LY372"/>
      <c r="LZ372"/>
      <c r="MA372"/>
      <c r="MB372"/>
      <c r="MC372"/>
      <c r="MD372"/>
      <c r="ME372"/>
      <c r="MF372"/>
      <c r="MG372"/>
      <c r="MH372"/>
      <c r="MI372"/>
      <c r="MJ372"/>
      <c r="MK372"/>
      <c r="ML372"/>
      <c r="MM372"/>
      <c r="MN372"/>
      <c r="MO372"/>
      <c r="MP372"/>
      <c r="MQ372"/>
      <c r="MR372"/>
      <c r="MS372"/>
      <c r="MT372"/>
      <c r="MU372"/>
      <c r="MV372"/>
      <c r="MW372"/>
      <c r="MX372"/>
      <c r="MY372"/>
      <c r="MZ372"/>
      <c r="NA372"/>
      <c r="NB372"/>
      <c r="NC372"/>
      <c r="ND372"/>
      <c r="NE372"/>
      <c r="NF372"/>
      <c r="NG372"/>
      <c r="NH372"/>
      <c r="NI372"/>
      <c r="NJ372"/>
      <c r="NK372"/>
      <c r="NL372"/>
      <c r="NM372"/>
      <c r="NN372"/>
      <c r="NO372"/>
      <c r="NP372"/>
      <c r="NQ372"/>
      <c r="NR372"/>
      <c r="NS372"/>
      <c r="NT372"/>
      <c r="NU372"/>
      <c r="NV372"/>
      <c r="NW372"/>
      <c r="NX372"/>
      <c r="NY372"/>
      <c r="NZ372"/>
      <c r="OA372"/>
      <c r="OB372"/>
      <c r="OC372"/>
      <c r="OD372"/>
      <c r="OE372"/>
      <c r="OF372"/>
      <c r="OG372"/>
      <c r="OH372"/>
      <c r="OI372"/>
      <c r="OJ372"/>
      <c r="OK372"/>
      <c r="OL372"/>
      <c r="OM372"/>
      <c r="ON372"/>
      <c r="OO372"/>
      <c r="OP372"/>
      <c r="OQ372"/>
      <c r="OR372"/>
      <c r="OS372"/>
      <c r="OT372"/>
      <c r="OU372"/>
      <c r="OV372"/>
      <c r="OW372"/>
      <c r="OX372"/>
      <c r="OY372"/>
      <c r="OZ372"/>
      <c r="PA372"/>
      <c r="PB372"/>
      <c r="PC372"/>
      <c r="PD372"/>
      <c r="PE372"/>
      <c r="PF372"/>
      <c r="PG372"/>
      <c r="PH372"/>
      <c r="PI372"/>
      <c r="PJ372"/>
      <c r="PK372"/>
      <c r="PL372"/>
      <c r="PM372"/>
      <c r="PN372"/>
      <c r="PO372"/>
      <c r="PP372"/>
      <c r="PQ372"/>
      <c r="PR372"/>
      <c r="PS372"/>
      <c r="PT372"/>
      <c r="PU372"/>
      <c r="PV372"/>
      <c r="PW372"/>
      <c r="PX372"/>
      <c r="PY372"/>
      <c r="PZ372"/>
      <c r="QA372"/>
      <c r="QB372"/>
      <c r="QC372"/>
      <c r="QD372"/>
      <c r="QE372"/>
      <c r="QF372"/>
      <c r="QG372"/>
      <c r="QH372"/>
      <c r="QI372"/>
      <c r="QJ372"/>
      <c r="QK372"/>
      <c r="QL372"/>
      <c r="QM372"/>
      <c r="QN372"/>
      <c r="QO372"/>
      <c r="QP372"/>
      <c r="QQ372"/>
      <c r="QR372"/>
      <c r="QS372"/>
      <c r="QT372"/>
      <c r="QU372"/>
      <c r="QV372"/>
      <c r="QW372"/>
      <c r="QX372"/>
      <c r="QY372"/>
      <c r="QZ372"/>
      <c r="RA372"/>
      <c r="RB372"/>
      <c r="RC372"/>
      <c r="RD372"/>
      <c r="RE372"/>
      <c r="RF372"/>
      <c r="RG372"/>
      <c r="RH372"/>
      <c r="RI372"/>
      <c r="RJ372"/>
      <c r="RK372"/>
      <c r="RL372"/>
      <c r="RM372"/>
      <c r="RN372"/>
      <c r="RO372"/>
      <c r="RP372"/>
      <c r="RQ372"/>
      <c r="RR372"/>
      <c r="RS372"/>
      <c r="RT372"/>
      <c r="RU372"/>
      <c r="RV372"/>
      <c r="RW372"/>
      <c r="RX372"/>
      <c r="RY372"/>
      <c r="RZ372"/>
      <c r="SA372"/>
      <c r="SB372"/>
      <c r="SC372"/>
      <c r="SD372"/>
      <c r="SE372"/>
      <c r="SF372"/>
      <c r="SG372"/>
      <c r="SH372"/>
      <c r="SI372"/>
      <c r="SJ372"/>
      <c r="SK372"/>
      <c r="SL372"/>
      <c r="SM372"/>
      <c r="SN372"/>
      <c r="SO372"/>
      <c r="SP372"/>
      <c r="SQ372"/>
      <c r="SR372"/>
      <c r="SS372"/>
      <c r="ST372"/>
      <c r="SU372"/>
      <c r="SV372"/>
      <c r="SW372"/>
      <c r="SX372"/>
      <c r="SY372"/>
      <c r="SZ372"/>
      <c r="TA372"/>
      <c r="TB372"/>
      <c r="TC372"/>
      <c r="TD372"/>
      <c r="TE372"/>
      <c r="TF372"/>
      <c r="TG372"/>
      <c r="TH372"/>
    </row>
    <row r="373" spans="3:528" x14ac:dyDescent="0.25">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c r="KT373"/>
      <c r="KU373"/>
      <c r="KV373"/>
      <c r="KW373"/>
      <c r="KX373"/>
      <c r="KY373"/>
      <c r="KZ373"/>
      <c r="LA373"/>
      <c r="LB373"/>
      <c r="LC373"/>
      <c r="LD373"/>
      <c r="LE373"/>
      <c r="LF373"/>
      <c r="LG373"/>
      <c r="LH373"/>
      <c r="LI373"/>
      <c r="LJ373"/>
      <c r="LK373"/>
      <c r="LL373"/>
      <c r="LM373"/>
      <c r="LN373"/>
      <c r="LO373"/>
      <c r="LP373"/>
      <c r="LQ373"/>
      <c r="LR373"/>
      <c r="LS373"/>
      <c r="LT373"/>
      <c r="LU373"/>
      <c r="LV373"/>
      <c r="LW373"/>
      <c r="LX373"/>
      <c r="LY373"/>
      <c r="LZ373"/>
      <c r="MA373"/>
      <c r="MB373"/>
      <c r="MC373"/>
      <c r="MD373"/>
      <c r="ME373"/>
      <c r="MF373"/>
      <c r="MG373"/>
      <c r="MH373"/>
      <c r="MI373"/>
      <c r="MJ373"/>
      <c r="MK373"/>
      <c r="ML373"/>
      <c r="MM373"/>
      <c r="MN373"/>
      <c r="MO373"/>
      <c r="MP373"/>
      <c r="MQ373"/>
      <c r="MR373"/>
      <c r="MS373"/>
      <c r="MT373"/>
      <c r="MU373"/>
      <c r="MV373"/>
      <c r="MW373"/>
      <c r="MX373"/>
      <c r="MY373"/>
      <c r="MZ373"/>
      <c r="NA373"/>
      <c r="NB373"/>
      <c r="NC373"/>
      <c r="ND373"/>
      <c r="NE373"/>
      <c r="NF373"/>
      <c r="NG373"/>
      <c r="NH373"/>
      <c r="NI373"/>
      <c r="NJ373"/>
      <c r="NK373"/>
      <c r="NL373"/>
      <c r="NM373"/>
      <c r="NN373"/>
      <c r="NO373"/>
      <c r="NP373"/>
      <c r="NQ373"/>
      <c r="NR373"/>
      <c r="NS373"/>
      <c r="NT373"/>
      <c r="NU373"/>
      <c r="NV373"/>
      <c r="NW373"/>
      <c r="NX373"/>
      <c r="NY373"/>
      <c r="NZ373"/>
      <c r="OA373"/>
      <c r="OB373"/>
      <c r="OC373"/>
      <c r="OD373"/>
      <c r="OE373"/>
      <c r="OF373"/>
      <c r="OG373"/>
      <c r="OH373"/>
      <c r="OI373"/>
      <c r="OJ373"/>
      <c r="OK373"/>
      <c r="OL373"/>
      <c r="OM373"/>
      <c r="ON373"/>
      <c r="OO373"/>
      <c r="OP373"/>
      <c r="OQ373"/>
      <c r="OR373"/>
      <c r="OS373"/>
      <c r="OT373"/>
      <c r="OU373"/>
      <c r="OV373"/>
      <c r="OW373"/>
      <c r="OX373"/>
      <c r="OY373"/>
      <c r="OZ373"/>
      <c r="PA373"/>
      <c r="PB373"/>
      <c r="PC373"/>
      <c r="PD373"/>
      <c r="PE373"/>
      <c r="PF373"/>
      <c r="PG373"/>
      <c r="PH373"/>
      <c r="PI373"/>
      <c r="PJ373"/>
      <c r="PK373"/>
      <c r="PL373"/>
      <c r="PM373"/>
      <c r="PN373"/>
      <c r="PO373"/>
      <c r="PP373"/>
      <c r="PQ373"/>
      <c r="PR373"/>
      <c r="PS373"/>
      <c r="PT373"/>
      <c r="PU373"/>
      <c r="PV373"/>
      <c r="PW373"/>
      <c r="PX373"/>
      <c r="PY373"/>
      <c r="PZ373"/>
      <c r="QA373"/>
      <c r="QB373"/>
      <c r="QC373"/>
      <c r="QD373"/>
      <c r="QE373"/>
      <c r="QF373"/>
      <c r="QG373"/>
      <c r="QH373"/>
      <c r="QI373"/>
      <c r="QJ373"/>
      <c r="QK373"/>
      <c r="QL373"/>
      <c r="QM373"/>
      <c r="QN373"/>
      <c r="QO373"/>
      <c r="QP373"/>
      <c r="QQ373"/>
      <c r="QR373"/>
      <c r="QS373"/>
      <c r="QT373"/>
      <c r="QU373"/>
      <c r="QV373"/>
      <c r="QW373"/>
      <c r="QX373"/>
      <c r="QY373"/>
      <c r="QZ373"/>
      <c r="RA373"/>
      <c r="RB373"/>
      <c r="RC373"/>
      <c r="RD373"/>
      <c r="RE373"/>
      <c r="RF373"/>
      <c r="RG373"/>
      <c r="RH373"/>
      <c r="RI373"/>
      <c r="RJ373"/>
      <c r="RK373"/>
      <c r="RL373"/>
      <c r="RM373"/>
      <c r="RN373"/>
      <c r="RO373"/>
      <c r="RP373"/>
      <c r="RQ373"/>
      <c r="RR373"/>
      <c r="RS373"/>
      <c r="RT373"/>
      <c r="RU373"/>
      <c r="RV373"/>
      <c r="RW373"/>
      <c r="RX373"/>
      <c r="RY373"/>
      <c r="RZ373"/>
      <c r="SA373"/>
      <c r="SB373"/>
      <c r="SC373"/>
      <c r="SD373"/>
      <c r="SE373"/>
      <c r="SF373"/>
      <c r="SG373"/>
      <c r="SH373"/>
      <c r="SI373"/>
      <c r="SJ373"/>
      <c r="SK373"/>
      <c r="SL373"/>
      <c r="SM373"/>
      <c r="SN373"/>
      <c r="SO373"/>
      <c r="SP373"/>
      <c r="SQ373"/>
      <c r="SR373"/>
      <c r="SS373"/>
      <c r="ST373"/>
      <c r="SU373"/>
      <c r="SV373"/>
      <c r="SW373"/>
      <c r="SX373"/>
      <c r="SY373"/>
      <c r="SZ373"/>
      <c r="TA373"/>
      <c r="TB373"/>
      <c r="TC373"/>
      <c r="TD373"/>
      <c r="TE373"/>
      <c r="TF373"/>
      <c r="TG373"/>
      <c r="TH373"/>
    </row>
    <row r="374" spans="3:528" x14ac:dyDescent="0.25">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c r="KT374"/>
      <c r="KU374"/>
      <c r="KV374"/>
      <c r="KW374"/>
      <c r="KX374"/>
      <c r="KY374"/>
      <c r="KZ374"/>
      <c r="LA374"/>
      <c r="LB374"/>
      <c r="LC374"/>
      <c r="LD374"/>
      <c r="LE374"/>
      <c r="LF374"/>
      <c r="LG374"/>
      <c r="LH374"/>
      <c r="LI374"/>
      <c r="LJ374"/>
      <c r="LK374"/>
      <c r="LL374"/>
      <c r="LM374"/>
      <c r="LN374"/>
      <c r="LO374"/>
      <c r="LP374"/>
      <c r="LQ374"/>
      <c r="LR374"/>
      <c r="LS374"/>
      <c r="LT374"/>
      <c r="LU374"/>
      <c r="LV374"/>
      <c r="LW374"/>
      <c r="LX374"/>
      <c r="LY374"/>
      <c r="LZ374"/>
      <c r="MA374"/>
      <c r="MB374"/>
      <c r="MC374"/>
      <c r="MD374"/>
      <c r="ME374"/>
      <c r="MF374"/>
      <c r="MG374"/>
      <c r="MH374"/>
      <c r="MI374"/>
      <c r="MJ374"/>
      <c r="MK374"/>
      <c r="ML374"/>
      <c r="MM374"/>
      <c r="MN374"/>
      <c r="MO374"/>
      <c r="MP374"/>
      <c r="MQ374"/>
      <c r="MR374"/>
      <c r="MS374"/>
      <c r="MT374"/>
      <c r="MU374"/>
      <c r="MV374"/>
      <c r="MW374"/>
      <c r="MX374"/>
      <c r="MY374"/>
      <c r="MZ374"/>
      <c r="NA374"/>
      <c r="NB374"/>
      <c r="NC374"/>
      <c r="ND374"/>
      <c r="NE374"/>
      <c r="NF374"/>
      <c r="NG374"/>
      <c r="NH374"/>
      <c r="NI374"/>
      <c r="NJ374"/>
      <c r="NK374"/>
      <c r="NL374"/>
      <c r="NM374"/>
      <c r="NN374"/>
      <c r="NO374"/>
      <c r="NP374"/>
      <c r="NQ374"/>
      <c r="NR374"/>
      <c r="NS374"/>
      <c r="NT374"/>
      <c r="NU374"/>
      <c r="NV374"/>
      <c r="NW374"/>
      <c r="NX374"/>
      <c r="NY374"/>
      <c r="NZ374"/>
      <c r="OA374"/>
      <c r="OB374"/>
      <c r="OC374"/>
      <c r="OD374"/>
      <c r="OE374"/>
      <c r="OF374"/>
      <c r="OG374"/>
      <c r="OH374"/>
      <c r="OI374"/>
      <c r="OJ374"/>
      <c r="OK374"/>
      <c r="OL374"/>
      <c r="OM374"/>
      <c r="ON374"/>
      <c r="OO374"/>
      <c r="OP374"/>
      <c r="OQ374"/>
      <c r="OR374"/>
      <c r="OS374"/>
      <c r="OT374"/>
      <c r="OU374"/>
      <c r="OV374"/>
      <c r="OW374"/>
      <c r="OX374"/>
      <c r="OY374"/>
      <c r="OZ374"/>
      <c r="PA374"/>
      <c r="PB374"/>
      <c r="PC374"/>
      <c r="PD374"/>
      <c r="PE374"/>
      <c r="PF374"/>
      <c r="PG374"/>
      <c r="PH374"/>
      <c r="PI374"/>
      <c r="PJ374"/>
      <c r="PK374"/>
      <c r="PL374"/>
      <c r="PM374"/>
      <c r="PN374"/>
      <c r="PO374"/>
      <c r="PP374"/>
      <c r="PQ374"/>
      <c r="PR374"/>
      <c r="PS374"/>
      <c r="PT374"/>
      <c r="PU374"/>
      <c r="PV374"/>
      <c r="PW374"/>
      <c r="PX374"/>
      <c r="PY374"/>
      <c r="PZ374"/>
      <c r="QA374"/>
      <c r="QB374"/>
      <c r="QC374"/>
      <c r="QD374"/>
      <c r="QE374"/>
      <c r="QF374"/>
      <c r="QG374"/>
      <c r="QH374"/>
      <c r="QI374"/>
      <c r="QJ374"/>
      <c r="QK374"/>
      <c r="QL374"/>
      <c r="QM374"/>
      <c r="QN374"/>
      <c r="QO374"/>
      <c r="QP374"/>
      <c r="QQ374"/>
      <c r="QR374"/>
      <c r="QS374"/>
      <c r="QT374"/>
      <c r="QU374"/>
      <c r="QV374"/>
      <c r="QW374"/>
      <c r="QX374"/>
      <c r="QY374"/>
      <c r="QZ374"/>
      <c r="RA374"/>
      <c r="RB374"/>
      <c r="RC374"/>
      <c r="RD374"/>
      <c r="RE374"/>
      <c r="RF374"/>
      <c r="RG374"/>
      <c r="RH374"/>
      <c r="RI374"/>
      <c r="RJ374"/>
      <c r="RK374"/>
      <c r="RL374"/>
      <c r="RM374"/>
      <c r="RN374"/>
      <c r="RO374"/>
      <c r="RP374"/>
      <c r="RQ374"/>
      <c r="RR374"/>
      <c r="RS374"/>
      <c r="RT374"/>
      <c r="RU374"/>
      <c r="RV374"/>
      <c r="RW374"/>
      <c r="RX374"/>
      <c r="RY374"/>
      <c r="RZ374"/>
      <c r="SA374"/>
      <c r="SB374"/>
      <c r="SC374"/>
      <c r="SD374"/>
      <c r="SE374"/>
      <c r="SF374"/>
      <c r="SG374"/>
      <c r="SH374"/>
      <c r="SI374"/>
      <c r="SJ374"/>
      <c r="SK374"/>
      <c r="SL374"/>
      <c r="SM374"/>
      <c r="SN374"/>
      <c r="SO374"/>
      <c r="SP374"/>
      <c r="SQ374"/>
      <c r="SR374"/>
      <c r="SS374"/>
      <c r="ST374"/>
      <c r="SU374"/>
      <c r="SV374"/>
      <c r="SW374"/>
      <c r="SX374"/>
      <c r="SY374"/>
      <c r="SZ374"/>
      <c r="TA374"/>
      <c r="TB374"/>
      <c r="TC374"/>
      <c r="TD374"/>
      <c r="TE374"/>
      <c r="TF374"/>
      <c r="TG374"/>
      <c r="TH374"/>
    </row>
    <row r="375" spans="3:528" x14ac:dyDescent="0.2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c r="KT375"/>
      <c r="KU375"/>
      <c r="KV375"/>
      <c r="KW375"/>
      <c r="KX375"/>
      <c r="KY375"/>
      <c r="KZ375"/>
      <c r="LA375"/>
      <c r="LB375"/>
      <c r="LC375"/>
      <c r="LD375"/>
      <c r="LE375"/>
      <c r="LF375"/>
      <c r="LG375"/>
      <c r="LH375"/>
      <c r="LI375"/>
      <c r="LJ375"/>
      <c r="LK375"/>
      <c r="LL375"/>
      <c r="LM375"/>
      <c r="LN375"/>
      <c r="LO375"/>
      <c r="LP375"/>
      <c r="LQ375"/>
      <c r="LR375"/>
      <c r="LS375"/>
      <c r="LT375"/>
      <c r="LU375"/>
      <c r="LV375"/>
      <c r="LW375"/>
      <c r="LX375"/>
      <c r="LY375"/>
      <c r="LZ375"/>
      <c r="MA375"/>
      <c r="MB375"/>
      <c r="MC375"/>
      <c r="MD375"/>
      <c r="ME375"/>
      <c r="MF375"/>
      <c r="MG375"/>
      <c r="MH375"/>
      <c r="MI375"/>
      <c r="MJ375"/>
      <c r="MK375"/>
      <c r="ML375"/>
      <c r="MM375"/>
      <c r="MN375"/>
      <c r="MO375"/>
      <c r="MP375"/>
      <c r="MQ375"/>
      <c r="MR375"/>
      <c r="MS375"/>
      <c r="MT375"/>
      <c r="MU375"/>
      <c r="MV375"/>
      <c r="MW375"/>
      <c r="MX375"/>
      <c r="MY375"/>
      <c r="MZ375"/>
      <c r="NA375"/>
      <c r="NB375"/>
      <c r="NC375"/>
      <c r="ND375"/>
      <c r="NE375"/>
      <c r="NF375"/>
      <c r="NG375"/>
      <c r="NH375"/>
      <c r="NI375"/>
      <c r="NJ375"/>
      <c r="NK375"/>
      <c r="NL375"/>
      <c r="NM375"/>
      <c r="NN375"/>
      <c r="NO375"/>
      <c r="NP375"/>
      <c r="NQ375"/>
      <c r="NR375"/>
      <c r="NS375"/>
      <c r="NT375"/>
      <c r="NU375"/>
      <c r="NV375"/>
      <c r="NW375"/>
      <c r="NX375"/>
      <c r="NY375"/>
      <c r="NZ375"/>
      <c r="OA375"/>
      <c r="OB375"/>
      <c r="OC375"/>
      <c r="OD375"/>
      <c r="OE375"/>
      <c r="OF375"/>
      <c r="OG375"/>
      <c r="OH375"/>
      <c r="OI375"/>
      <c r="OJ375"/>
      <c r="OK375"/>
      <c r="OL375"/>
      <c r="OM375"/>
      <c r="ON375"/>
      <c r="OO375"/>
      <c r="OP375"/>
      <c r="OQ375"/>
      <c r="OR375"/>
      <c r="OS375"/>
      <c r="OT375"/>
      <c r="OU375"/>
      <c r="OV375"/>
      <c r="OW375"/>
      <c r="OX375"/>
      <c r="OY375"/>
      <c r="OZ375"/>
      <c r="PA375"/>
      <c r="PB375"/>
      <c r="PC375"/>
      <c r="PD375"/>
      <c r="PE375"/>
      <c r="PF375"/>
      <c r="PG375"/>
      <c r="PH375"/>
      <c r="PI375"/>
      <c r="PJ375"/>
      <c r="PK375"/>
      <c r="PL375"/>
      <c r="PM375"/>
      <c r="PN375"/>
      <c r="PO375"/>
      <c r="PP375"/>
      <c r="PQ375"/>
      <c r="PR375"/>
      <c r="PS375"/>
      <c r="PT375"/>
      <c r="PU375"/>
      <c r="PV375"/>
      <c r="PW375"/>
      <c r="PX375"/>
      <c r="PY375"/>
      <c r="PZ375"/>
      <c r="QA375"/>
      <c r="QB375"/>
      <c r="QC375"/>
      <c r="QD375"/>
      <c r="QE375"/>
      <c r="QF375"/>
      <c r="QG375"/>
      <c r="QH375"/>
      <c r="QI375"/>
      <c r="QJ375"/>
      <c r="QK375"/>
      <c r="QL375"/>
      <c r="QM375"/>
      <c r="QN375"/>
      <c r="QO375"/>
      <c r="QP375"/>
      <c r="QQ375"/>
      <c r="QR375"/>
      <c r="QS375"/>
      <c r="QT375"/>
      <c r="QU375"/>
      <c r="QV375"/>
      <c r="QW375"/>
      <c r="QX375"/>
      <c r="QY375"/>
      <c r="QZ375"/>
      <c r="RA375"/>
      <c r="RB375"/>
      <c r="RC375"/>
      <c r="RD375"/>
      <c r="RE375"/>
      <c r="RF375"/>
      <c r="RG375"/>
      <c r="RH375"/>
      <c r="RI375"/>
      <c r="RJ375"/>
      <c r="RK375"/>
      <c r="RL375"/>
      <c r="RM375"/>
      <c r="RN375"/>
      <c r="RO375"/>
      <c r="RP375"/>
      <c r="RQ375"/>
      <c r="RR375"/>
      <c r="RS375"/>
      <c r="RT375"/>
      <c r="RU375"/>
      <c r="RV375"/>
      <c r="RW375"/>
      <c r="RX375"/>
      <c r="RY375"/>
      <c r="RZ375"/>
      <c r="SA375"/>
      <c r="SB375"/>
      <c r="SC375"/>
      <c r="SD375"/>
      <c r="SE375"/>
      <c r="SF375"/>
      <c r="SG375"/>
      <c r="SH375"/>
      <c r="SI375"/>
      <c r="SJ375"/>
      <c r="SK375"/>
      <c r="SL375"/>
      <c r="SM375"/>
      <c r="SN375"/>
      <c r="SO375"/>
      <c r="SP375"/>
      <c r="SQ375"/>
      <c r="SR375"/>
      <c r="SS375"/>
      <c r="ST375"/>
      <c r="SU375"/>
      <c r="SV375"/>
      <c r="SW375"/>
      <c r="SX375"/>
      <c r="SY375"/>
      <c r="SZ375"/>
      <c r="TA375"/>
      <c r="TB375"/>
      <c r="TC375"/>
      <c r="TD375"/>
      <c r="TE375"/>
      <c r="TF375"/>
      <c r="TG375"/>
      <c r="TH375"/>
    </row>
    <row r="376" spans="3:528" x14ac:dyDescent="0.25">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c r="KT376"/>
      <c r="KU376"/>
      <c r="KV376"/>
      <c r="KW376"/>
      <c r="KX376"/>
      <c r="KY376"/>
      <c r="KZ376"/>
      <c r="LA376"/>
      <c r="LB376"/>
      <c r="LC376"/>
      <c r="LD376"/>
      <c r="LE376"/>
      <c r="LF376"/>
      <c r="LG376"/>
      <c r="LH376"/>
      <c r="LI376"/>
      <c r="LJ376"/>
      <c r="LK376"/>
      <c r="LL376"/>
      <c r="LM376"/>
      <c r="LN376"/>
      <c r="LO376"/>
      <c r="LP376"/>
      <c r="LQ376"/>
      <c r="LR376"/>
      <c r="LS376"/>
      <c r="LT376"/>
      <c r="LU376"/>
      <c r="LV376"/>
      <c r="LW376"/>
      <c r="LX376"/>
      <c r="LY376"/>
      <c r="LZ376"/>
      <c r="MA376"/>
      <c r="MB376"/>
      <c r="MC376"/>
      <c r="MD376"/>
      <c r="ME376"/>
      <c r="MF376"/>
      <c r="MG376"/>
      <c r="MH376"/>
      <c r="MI376"/>
      <c r="MJ376"/>
      <c r="MK376"/>
      <c r="ML376"/>
      <c r="MM376"/>
      <c r="MN376"/>
      <c r="MO376"/>
      <c r="MP376"/>
      <c r="MQ376"/>
      <c r="MR376"/>
      <c r="MS376"/>
      <c r="MT376"/>
      <c r="MU376"/>
      <c r="MV376"/>
      <c r="MW376"/>
      <c r="MX376"/>
      <c r="MY376"/>
      <c r="MZ376"/>
      <c r="NA376"/>
      <c r="NB376"/>
      <c r="NC376"/>
      <c r="ND376"/>
      <c r="NE376"/>
      <c r="NF376"/>
      <c r="NG376"/>
      <c r="NH376"/>
      <c r="NI376"/>
      <c r="NJ376"/>
      <c r="NK376"/>
      <c r="NL376"/>
      <c r="NM376"/>
      <c r="NN376"/>
      <c r="NO376"/>
      <c r="NP376"/>
      <c r="NQ376"/>
      <c r="NR376"/>
      <c r="NS376"/>
      <c r="NT376"/>
      <c r="NU376"/>
      <c r="NV376"/>
      <c r="NW376"/>
      <c r="NX376"/>
      <c r="NY376"/>
      <c r="NZ376"/>
      <c r="OA376"/>
      <c r="OB376"/>
      <c r="OC376"/>
      <c r="OD376"/>
      <c r="OE376"/>
      <c r="OF376"/>
      <c r="OG376"/>
      <c r="OH376"/>
      <c r="OI376"/>
      <c r="OJ376"/>
      <c r="OK376"/>
      <c r="OL376"/>
      <c r="OM376"/>
      <c r="ON376"/>
      <c r="OO376"/>
      <c r="OP376"/>
      <c r="OQ376"/>
      <c r="OR376"/>
      <c r="OS376"/>
      <c r="OT376"/>
      <c r="OU376"/>
      <c r="OV376"/>
      <c r="OW376"/>
      <c r="OX376"/>
      <c r="OY376"/>
      <c r="OZ376"/>
      <c r="PA376"/>
      <c r="PB376"/>
      <c r="PC376"/>
      <c r="PD376"/>
      <c r="PE376"/>
      <c r="PF376"/>
      <c r="PG376"/>
      <c r="PH376"/>
      <c r="PI376"/>
      <c r="PJ376"/>
      <c r="PK376"/>
      <c r="PL376"/>
      <c r="PM376"/>
      <c r="PN376"/>
      <c r="PO376"/>
      <c r="PP376"/>
      <c r="PQ376"/>
      <c r="PR376"/>
      <c r="PS376"/>
      <c r="PT376"/>
      <c r="PU376"/>
      <c r="PV376"/>
      <c r="PW376"/>
      <c r="PX376"/>
      <c r="PY376"/>
      <c r="PZ376"/>
      <c r="QA376"/>
      <c r="QB376"/>
      <c r="QC376"/>
      <c r="QD376"/>
      <c r="QE376"/>
      <c r="QF376"/>
      <c r="QG376"/>
      <c r="QH376"/>
      <c r="QI376"/>
      <c r="QJ376"/>
      <c r="QK376"/>
      <c r="QL376"/>
      <c r="QM376"/>
      <c r="QN376"/>
      <c r="QO376"/>
      <c r="QP376"/>
      <c r="QQ376"/>
      <c r="QR376"/>
      <c r="QS376"/>
      <c r="QT376"/>
      <c r="QU376"/>
      <c r="QV376"/>
      <c r="QW376"/>
      <c r="QX376"/>
      <c r="QY376"/>
      <c r="QZ376"/>
      <c r="RA376"/>
      <c r="RB376"/>
      <c r="RC376"/>
      <c r="RD376"/>
      <c r="RE376"/>
      <c r="RF376"/>
      <c r="RG376"/>
      <c r="RH376"/>
      <c r="RI376"/>
      <c r="RJ376"/>
      <c r="RK376"/>
      <c r="RL376"/>
      <c r="RM376"/>
      <c r="RN376"/>
      <c r="RO376"/>
      <c r="RP376"/>
      <c r="RQ376"/>
      <c r="RR376"/>
      <c r="RS376"/>
      <c r="RT376"/>
      <c r="RU376"/>
      <c r="RV376"/>
      <c r="RW376"/>
      <c r="RX376"/>
      <c r="RY376"/>
      <c r="RZ376"/>
      <c r="SA376"/>
      <c r="SB376"/>
      <c r="SC376"/>
      <c r="SD376"/>
      <c r="SE376"/>
      <c r="SF376"/>
      <c r="SG376"/>
      <c r="SH376"/>
      <c r="SI376"/>
      <c r="SJ376"/>
      <c r="SK376"/>
      <c r="SL376"/>
      <c r="SM376"/>
      <c r="SN376"/>
      <c r="SO376"/>
      <c r="SP376"/>
      <c r="SQ376"/>
      <c r="SR376"/>
      <c r="SS376"/>
      <c r="ST376"/>
      <c r="SU376"/>
      <c r="SV376"/>
      <c r="SW376"/>
      <c r="SX376"/>
      <c r="SY376"/>
      <c r="SZ376"/>
      <c r="TA376"/>
      <c r="TB376"/>
      <c r="TC376"/>
      <c r="TD376"/>
      <c r="TE376"/>
      <c r="TF376"/>
      <c r="TG376"/>
      <c r="TH376"/>
    </row>
    <row r="377" spans="3:528" x14ac:dyDescent="0.25">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c r="KT377"/>
      <c r="KU377"/>
      <c r="KV377"/>
      <c r="KW377"/>
      <c r="KX377"/>
      <c r="KY377"/>
      <c r="KZ377"/>
      <c r="LA377"/>
      <c r="LB377"/>
      <c r="LC377"/>
      <c r="LD377"/>
      <c r="LE377"/>
      <c r="LF377"/>
      <c r="LG377"/>
      <c r="LH377"/>
      <c r="LI377"/>
      <c r="LJ377"/>
      <c r="LK377"/>
      <c r="LL377"/>
      <c r="LM377"/>
      <c r="LN377"/>
      <c r="LO377"/>
      <c r="LP377"/>
      <c r="LQ377"/>
      <c r="LR377"/>
      <c r="LS377"/>
      <c r="LT377"/>
      <c r="LU377"/>
      <c r="LV377"/>
      <c r="LW377"/>
      <c r="LX377"/>
      <c r="LY377"/>
      <c r="LZ377"/>
      <c r="MA377"/>
      <c r="MB377"/>
      <c r="MC377"/>
      <c r="MD377"/>
      <c r="ME377"/>
      <c r="MF377"/>
      <c r="MG377"/>
      <c r="MH377"/>
      <c r="MI377"/>
      <c r="MJ377"/>
      <c r="MK377"/>
      <c r="ML377"/>
      <c r="MM377"/>
      <c r="MN377"/>
      <c r="MO377"/>
      <c r="MP377"/>
      <c r="MQ377"/>
      <c r="MR377"/>
      <c r="MS377"/>
      <c r="MT377"/>
      <c r="MU377"/>
      <c r="MV377"/>
      <c r="MW377"/>
      <c r="MX377"/>
      <c r="MY377"/>
      <c r="MZ377"/>
      <c r="NA377"/>
      <c r="NB377"/>
      <c r="NC377"/>
      <c r="ND377"/>
      <c r="NE377"/>
      <c r="NF377"/>
      <c r="NG377"/>
      <c r="NH377"/>
      <c r="NI377"/>
      <c r="NJ377"/>
      <c r="NK377"/>
      <c r="NL377"/>
      <c r="NM377"/>
      <c r="NN377"/>
      <c r="NO377"/>
      <c r="NP377"/>
      <c r="NQ377"/>
      <c r="NR377"/>
      <c r="NS377"/>
      <c r="NT377"/>
      <c r="NU377"/>
      <c r="NV377"/>
      <c r="NW377"/>
      <c r="NX377"/>
      <c r="NY377"/>
      <c r="NZ377"/>
      <c r="OA377"/>
      <c r="OB377"/>
      <c r="OC377"/>
      <c r="OD377"/>
      <c r="OE377"/>
      <c r="OF377"/>
      <c r="OG377"/>
      <c r="OH377"/>
      <c r="OI377"/>
      <c r="OJ377"/>
      <c r="OK377"/>
      <c r="OL377"/>
      <c r="OM377"/>
      <c r="ON377"/>
      <c r="OO377"/>
      <c r="OP377"/>
      <c r="OQ377"/>
      <c r="OR377"/>
      <c r="OS377"/>
      <c r="OT377"/>
      <c r="OU377"/>
      <c r="OV377"/>
      <c r="OW377"/>
      <c r="OX377"/>
      <c r="OY377"/>
      <c r="OZ377"/>
      <c r="PA377"/>
      <c r="PB377"/>
      <c r="PC377"/>
      <c r="PD377"/>
      <c r="PE377"/>
      <c r="PF377"/>
      <c r="PG377"/>
      <c r="PH377"/>
      <c r="PI377"/>
      <c r="PJ377"/>
      <c r="PK377"/>
      <c r="PL377"/>
      <c r="PM377"/>
      <c r="PN377"/>
      <c r="PO377"/>
      <c r="PP377"/>
      <c r="PQ377"/>
      <c r="PR377"/>
      <c r="PS377"/>
      <c r="PT377"/>
      <c r="PU377"/>
      <c r="PV377"/>
      <c r="PW377"/>
      <c r="PX377"/>
      <c r="PY377"/>
      <c r="PZ377"/>
      <c r="QA377"/>
      <c r="QB377"/>
      <c r="QC377"/>
      <c r="QD377"/>
      <c r="QE377"/>
      <c r="QF377"/>
      <c r="QG377"/>
      <c r="QH377"/>
      <c r="QI377"/>
      <c r="QJ377"/>
      <c r="QK377"/>
      <c r="QL377"/>
      <c r="QM377"/>
      <c r="QN377"/>
      <c r="QO377"/>
      <c r="QP377"/>
      <c r="QQ377"/>
      <c r="QR377"/>
      <c r="QS377"/>
      <c r="QT377"/>
      <c r="QU377"/>
      <c r="QV377"/>
      <c r="QW377"/>
      <c r="QX377"/>
      <c r="QY377"/>
      <c r="QZ377"/>
      <c r="RA377"/>
      <c r="RB377"/>
      <c r="RC377"/>
      <c r="RD377"/>
      <c r="RE377"/>
      <c r="RF377"/>
      <c r="RG377"/>
      <c r="RH377"/>
      <c r="RI377"/>
      <c r="RJ377"/>
      <c r="RK377"/>
      <c r="RL377"/>
      <c r="RM377"/>
      <c r="RN377"/>
      <c r="RO377"/>
      <c r="RP377"/>
      <c r="RQ377"/>
      <c r="RR377"/>
      <c r="RS377"/>
      <c r="RT377"/>
      <c r="RU377"/>
      <c r="RV377"/>
      <c r="RW377"/>
      <c r="RX377"/>
      <c r="RY377"/>
      <c r="RZ377"/>
      <c r="SA377"/>
      <c r="SB377"/>
      <c r="SC377"/>
      <c r="SD377"/>
      <c r="SE377"/>
      <c r="SF377"/>
      <c r="SG377"/>
      <c r="SH377"/>
      <c r="SI377"/>
      <c r="SJ377"/>
      <c r="SK377"/>
      <c r="SL377"/>
      <c r="SM377"/>
      <c r="SN377"/>
      <c r="SO377"/>
      <c r="SP377"/>
      <c r="SQ377"/>
      <c r="SR377"/>
      <c r="SS377"/>
      <c r="ST377"/>
      <c r="SU377"/>
      <c r="SV377"/>
      <c r="SW377"/>
      <c r="SX377"/>
      <c r="SY377"/>
      <c r="SZ377"/>
      <c r="TA377"/>
      <c r="TB377"/>
      <c r="TC377"/>
      <c r="TD377"/>
      <c r="TE377"/>
      <c r="TF377"/>
      <c r="TG377"/>
      <c r="TH377"/>
    </row>
    <row r="378" spans="3:528" x14ac:dyDescent="0.25">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c r="KT378"/>
      <c r="KU378"/>
      <c r="KV378"/>
      <c r="KW378"/>
      <c r="KX378"/>
      <c r="KY378"/>
      <c r="KZ378"/>
      <c r="LA378"/>
      <c r="LB378"/>
      <c r="LC378"/>
      <c r="LD378"/>
      <c r="LE378"/>
      <c r="LF378"/>
      <c r="LG378"/>
      <c r="LH378"/>
      <c r="LI378"/>
      <c r="LJ378"/>
      <c r="LK378"/>
      <c r="LL378"/>
      <c r="LM378"/>
      <c r="LN378"/>
      <c r="LO378"/>
      <c r="LP378"/>
      <c r="LQ378"/>
      <c r="LR378"/>
      <c r="LS378"/>
      <c r="LT378"/>
      <c r="LU378"/>
      <c r="LV378"/>
      <c r="LW378"/>
      <c r="LX378"/>
      <c r="LY378"/>
      <c r="LZ378"/>
      <c r="MA378"/>
      <c r="MB378"/>
      <c r="MC378"/>
      <c r="MD378"/>
      <c r="ME378"/>
      <c r="MF378"/>
      <c r="MG378"/>
      <c r="MH378"/>
      <c r="MI378"/>
      <c r="MJ378"/>
      <c r="MK378"/>
      <c r="ML378"/>
      <c r="MM378"/>
      <c r="MN378"/>
      <c r="MO378"/>
      <c r="MP378"/>
      <c r="MQ378"/>
      <c r="MR378"/>
      <c r="MS378"/>
      <c r="MT378"/>
      <c r="MU378"/>
      <c r="MV378"/>
      <c r="MW378"/>
      <c r="MX378"/>
      <c r="MY378"/>
      <c r="MZ378"/>
      <c r="NA378"/>
      <c r="NB378"/>
      <c r="NC378"/>
      <c r="ND378"/>
      <c r="NE378"/>
      <c r="NF378"/>
      <c r="NG378"/>
      <c r="NH378"/>
      <c r="NI378"/>
      <c r="NJ378"/>
      <c r="NK378"/>
      <c r="NL378"/>
      <c r="NM378"/>
      <c r="NN378"/>
      <c r="NO378"/>
      <c r="NP378"/>
      <c r="NQ378"/>
      <c r="NR378"/>
      <c r="NS378"/>
      <c r="NT378"/>
      <c r="NU378"/>
      <c r="NV378"/>
      <c r="NW378"/>
      <c r="NX378"/>
      <c r="NY378"/>
      <c r="NZ378"/>
      <c r="OA378"/>
      <c r="OB378"/>
      <c r="OC378"/>
      <c r="OD378"/>
      <c r="OE378"/>
      <c r="OF378"/>
      <c r="OG378"/>
      <c r="OH378"/>
      <c r="OI378"/>
      <c r="OJ378"/>
      <c r="OK378"/>
      <c r="OL378"/>
      <c r="OM378"/>
      <c r="ON378"/>
      <c r="OO378"/>
      <c r="OP378"/>
      <c r="OQ378"/>
      <c r="OR378"/>
      <c r="OS378"/>
      <c r="OT378"/>
      <c r="OU378"/>
      <c r="OV378"/>
      <c r="OW378"/>
      <c r="OX378"/>
      <c r="OY378"/>
      <c r="OZ378"/>
      <c r="PA378"/>
      <c r="PB378"/>
      <c r="PC378"/>
      <c r="PD378"/>
      <c r="PE378"/>
      <c r="PF378"/>
      <c r="PG378"/>
      <c r="PH378"/>
      <c r="PI378"/>
      <c r="PJ378"/>
      <c r="PK378"/>
      <c r="PL378"/>
      <c r="PM378"/>
      <c r="PN378"/>
      <c r="PO378"/>
      <c r="PP378"/>
      <c r="PQ378"/>
      <c r="PR378"/>
      <c r="PS378"/>
      <c r="PT378"/>
      <c r="PU378"/>
      <c r="PV378"/>
      <c r="PW378"/>
      <c r="PX378"/>
      <c r="PY378"/>
      <c r="PZ378"/>
      <c r="QA378"/>
      <c r="QB378"/>
      <c r="QC378"/>
      <c r="QD378"/>
      <c r="QE378"/>
      <c r="QF378"/>
      <c r="QG378"/>
      <c r="QH378"/>
      <c r="QI378"/>
      <c r="QJ378"/>
      <c r="QK378"/>
      <c r="QL378"/>
      <c r="QM378"/>
      <c r="QN378"/>
      <c r="QO378"/>
      <c r="QP378"/>
      <c r="QQ378"/>
      <c r="QR378"/>
      <c r="QS378"/>
      <c r="QT378"/>
      <c r="QU378"/>
      <c r="QV378"/>
      <c r="QW378"/>
      <c r="QX378"/>
      <c r="QY378"/>
      <c r="QZ378"/>
      <c r="RA378"/>
      <c r="RB378"/>
      <c r="RC378"/>
      <c r="RD378"/>
      <c r="RE378"/>
      <c r="RF378"/>
      <c r="RG378"/>
      <c r="RH378"/>
      <c r="RI378"/>
      <c r="RJ378"/>
      <c r="RK378"/>
      <c r="RL378"/>
      <c r="RM378"/>
      <c r="RN378"/>
      <c r="RO378"/>
      <c r="RP378"/>
      <c r="RQ378"/>
      <c r="RR378"/>
      <c r="RS378"/>
      <c r="RT378"/>
      <c r="RU378"/>
      <c r="RV378"/>
      <c r="RW378"/>
      <c r="RX378"/>
      <c r="RY378"/>
      <c r="RZ378"/>
      <c r="SA378"/>
      <c r="SB378"/>
      <c r="SC378"/>
      <c r="SD378"/>
      <c r="SE378"/>
      <c r="SF378"/>
      <c r="SG378"/>
      <c r="SH378"/>
      <c r="SI378"/>
      <c r="SJ378"/>
      <c r="SK378"/>
      <c r="SL378"/>
      <c r="SM378"/>
      <c r="SN378"/>
      <c r="SO378"/>
      <c r="SP378"/>
      <c r="SQ378"/>
      <c r="SR378"/>
      <c r="SS378"/>
      <c r="ST378"/>
      <c r="SU378"/>
      <c r="SV378"/>
      <c r="SW378"/>
      <c r="SX378"/>
      <c r="SY378"/>
      <c r="SZ378"/>
      <c r="TA378"/>
      <c r="TB378"/>
      <c r="TC378"/>
      <c r="TD378"/>
      <c r="TE378"/>
      <c r="TF378"/>
      <c r="TG378"/>
      <c r="TH378"/>
    </row>
    <row r="379" spans="3:528" x14ac:dyDescent="0.25">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c r="KT379"/>
      <c r="KU379"/>
      <c r="KV379"/>
      <c r="KW379"/>
      <c r="KX379"/>
      <c r="KY379"/>
      <c r="KZ379"/>
      <c r="LA379"/>
      <c r="LB379"/>
      <c r="LC379"/>
      <c r="LD379"/>
      <c r="LE379"/>
      <c r="LF379"/>
      <c r="LG379"/>
      <c r="LH379"/>
      <c r="LI379"/>
      <c r="LJ379"/>
      <c r="LK379"/>
      <c r="LL379"/>
      <c r="LM379"/>
      <c r="LN379"/>
      <c r="LO379"/>
      <c r="LP379"/>
      <c r="LQ379"/>
      <c r="LR379"/>
      <c r="LS379"/>
      <c r="LT379"/>
      <c r="LU379"/>
      <c r="LV379"/>
      <c r="LW379"/>
      <c r="LX379"/>
      <c r="LY379"/>
      <c r="LZ379"/>
      <c r="MA379"/>
      <c r="MB379"/>
      <c r="MC379"/>
      <c r="MD379"/>
      <c r="ME379"/>
      <c r="MF379"/>
      <c r="MG379"/>
      <c r="MH379"/>
      <c r="MI379"/>
      <c r="MJ379"/>
      <c r="MK379"/>
      <c r="ML379"/>
      <c r="MM379"/>
      <c r="MN379"/>
      <c r="MO379"/>
      <c r="MP379"/>
      <c r="MQ379"/>
      <c r="MR379"/>
      <c r="MS379"/>
      <c r="MT379"/>
      <c r="MU379"/>
      <c r="MV379"/>
      <c r="MW379"/>
      <c r="MX379"/>
      <c r="MY379"/>
      <c r="MZ379"/>
      <c r="NA379"/>
      <c r="NB379"/>
      <c r="NC379"/>
      <c r="ND379"/>
      <c r="NE379"/>
      <c r="NF379"/>
      <c r="NG379"/>
      <c r="NH379"/>
      <c r="NI379"/>
      <c r="NJ379"/>
      <c r="NK379"/>
      <c r="NL379"/>
      <c r="NM379"/>
      <c r="NN379"/>
      <c r="NO379"/>
      <c r="NP379"/>
      <c r="NQ379"/>
      <c r="NR379"/>
      <c r="NS379"/>
      <c r="NT379"/>
      <c r="NU379"/>
      <c r="NV379"/>
      <c r="NW379"/>
      <c r="NX379"/>
      <c r="NY379"/>
      <c r="NZ379"/>
      <c r="OA379"/>
      <c r="OB379"/>
      <c r="OC379"/>
      <c r="OD379"/>
      <c r="OE379"/>
      <c r="OF379"/>
      <c r="OG379"/>
      <c r="OH379"/>
      <c r="OI379"/>
      <c r="OJ379"/>
      <c r="OK379"/>
      <c r="OL379"/>
      <c r="OM379"/>
      <c r="ON379"/>
      <c r="OO379"/>
      <c r="OP379"/>
      <c r="OQ379"/>
      <c r="OR379"/>
      <c r="OS379"/>
      <c r="OT379"/>
      <c r="OU379"/>
      <c r="OV379"/>
      <c r="OW379"/>
      <c r="OX379"/>
      <c r="OY379"/>
      <c r="OZ379"/>
      <c r="PA379"/>
      <c r="PB379"/>
      <c r="PC379"/>
      <c r="PD379"/>
      <c r="PE379"/>
      <c r="PF379"/>
      <c r="PG379"/>
      <c r="PH379"/>
      <c r="PI379"/>
      <c r="PJ379"/>
      <c r="PK379"/>
      <c r="PL379"/>
      <c r="PM379"/>
      <c r="PN379"/>
      <c r="PO379"/>
      <c r="PP379"/>
      <c r="PQ379"/>
      <c r="PR379"/>
      <c r="PS379"/>
      <c r="PT379"/>
      <c r="PU379"/>
      <c r="PV379"/>
      <c r="PW379"/>
      <c r="PX379"/>
      <c r="PY379"/>
      <c r="PZ379"/>
      <c r="QA379"/>
      <c r="QB379"/>
      <c r="QC379"/>
      <c r="QD379"/>
      <c r="QE379"/>
      <c r="QF379"/>
      <c r="QG379"/>
      <c r="QH379"/>
      <c r="QI379"/>
      <c r="QJ379"/>
      <c r="QK379"/>
      <c r="QL379"/>
      <c r="QM379"/>
      <c r="QN379"/>
      <c r="QO379"/>
      <c r="QP379"/>
      <c r="QQ379"/>
      <c r="QR379"/>
      <c r="QS379"/>
      <c r="QT379"/>
      <c r="QU379"/>
      <c r="QV379"/>
      <c r="QW379"/>
      <c r="QX379"/>
      <c r="QY379"/>
      <c r="QZ379"/>
      <c r="RA379"/>
      <c r="RB379"/>
      <c r="RC379"/>
      <c r="RD379"/>
      <c r="RE379"/>
      <c r="RF379"/>
      <c r="RG379"/>
      <c r="RH379"/>
      <c r="RI379"/>
      <c r="RJ379"/>
      <c r="RK379"/>
      <c r="RL379"/>
      <c r="RM379"/>
      <c r="RN379"/>
      <c r="RO379"/>
      <c r="RP379"/>
      <c r="RQ379"/>
      <c r="RR379"/>
      <c r="RS379"/>
      <c r="RT379"/>
      <c r="RU379"/>
      <c r="RV379"/>
      <c r="RW379"/>
      <c r="RX379"/>
      <c r="RY379"/>
      <c r="RZ379"/>
      <c r="SA379"/>
      <c r="SB379"/>
      <c r="SC379"/>
      <c r="SD379"/>
      <c r="SE379"/>
      <c r="SF379"/>
      <c r="SG379"/>
      <c r="SH379"/>
      <c r="SI379"/>
      <c r="SJ379"/>
      <c r="SK379"/>
      <c r="SL379"/>
      <c r="SM379"/>
      <c r="SN379"/>
      <c r="SO379"/>
      <c r="SP379"/>
      <c r="SQ379"/>
      <c r="SR379"/>
      <c r="SS379"/>
      <c r="ST379"/>
      <c r="SU379"/>
      <c r="SV379"/>
      <c r="SW379"/>
      <c r="SX379"/>
      <c r="SY379"/>
      <c r="SZ379"/>
      <c r="TA379"/>
      <c r="TB379"/>
      <c r="TC379"/>
      <c r="TD379"/>
      <c r="TE379"/>
      <c r="TF379"/>
      <c r="TG379"/>
      <c r="TH379"/>
    </row>
    <row r="380" spans="3:528" x14ac:dyDescent="0.25">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c r="KT380"/>
      <c r="KU380"/>
      <c r="KV380"/>
      <c r="KW380"/>
      <c r="KX380"/>
      <c r="KY380"/>
      <c r="KZ380"/>
      <c r="LA380"/>
      <c r="LB380"/>
      <c r="LC380"/>
      <c r="LD380"/>
      <c r="LE380"/>
      <c r="LF380"/>
      <c r="LG380"/>
      <c r="LH380"/>
      <c r="LI380"/>
      <c r="LJ380"/>
      <c r="LK380"/>
      <c r="LL380"/>
      <c r="LM380"/>
      <c r="LN380"/>
      <c r="LO380"/>
      <c r="LP380"/>
      <c r="LQ380"/>
      <c r="LR380"/>
      <c r="LS380"/>
      <c r="LT380"/>
      <c r="LU380"/>
      <c r="LV380"/>
      <c r="LW380"/>
      <c r="LX380"/>
      <c r="LY380"/>
      <c r="LZ380"/>
      <c r="MA380"/>
      <c r="MB380"/>
      <c r="MC380"/>
      <c r="MD380"/>
      <c r="ME380"/>
      <c r="MF380"/>
      <c r="MG380"/>
      <c r="MH380"/>
      <c r="MI380"/>
      <c r="MJ380"/>
      <c r="MK380"/>
      <c r="ML380"/>
      <c r="MM380"/>
      <c r="MN380"/>
      <c r="MO380"/>
      <c r="MP380"/>
      <c r="MQ380"/>
      <c r="MR380"/>
      <c r="MS380"/>
      <c r="MT380"/>
      <c r="MU380"/>
      <c r="MV380"/>
      <c r="MW380"/>
      <c r="MX380"/>
      <c r="MY380"/>
      <c r="MZ380"/>
      <c r="NA380"/>
      <c r="NB380"/>
      <c r="NC380"/>
      <c r="ND380"/>
      <c r="NE380"/>
      <c r="NF380"/>
      <c r="NG380"/>
      <c r="NH380"/>
      <c r="NI380"/>
      <c r="NJ380"/>
      <c r="NK380"/>
      <c r="NL380"/>
      <c r="NM380"/>
      <c r="NN380"/>
      <c r="NO380"/>
      <c r="NP380"/>
      <c r="NQ380"/>
      <c r="NR380"/>
      <c r="NS380"/>
      <c r="NT380"/>
      <c r="NU380"/>
      <c r="NV380"/>
      <c r="NW380"/>
      <c r="NX380"/>
      <c r="NY380"/>
      <c r="NZ380"/>
      <c r="OA380"/>
      <c r="OB380"/>
      <c r="OC380"/>
      <c r="OD380"/>
      <c r="OE380"/>
      <c r="OF380"/>
      <c r="OG380"/>
      <c r="OH380"/>
      <c r="OI380"/>
      <c r="OJ380"/>
      <c r="OK380"/>
      <c r="OL380"/>
      <c r="OM380"/>
      <c r="ON380"/>
      <c r="OO380"/>
      <c r="OP380"/>
      <c r="OQ380"/>
      <c r="OR380"/>
      <c r="OS380"/>
      <c r="OT380"/>
      <c r="OU380"/>
      <c r="OV380"/>
      <c r="OW380"/>
      <c r="OX380"/>
      <c r="OY380"/>
      <c r="OZ380"/>
      <c r="PA380"/>
      <c r="PB380"/>
      <c r="PC380"/>
      <c r="PD380"/>
      <c r="PE380"/>
      <c r="PF380"/>
      <c r="PG380"/>
      <c r="PH380"/>
      <c r="PI380"/>
      <c r="PJ380"/>
      <c r="PK380"/>
      <c r="PL380"/>
      <c r="PM380"/>
      <c r="PN380"/>
      <c r="PO380"/>
      <c r="PP380"/>
      <c r="PQ380"/>
      <c r="PR380"/>
      <c r="PS380"/>
      <c r="PT380"/>
      <c r="PU380"/>
      <c r="PV380"/>
      <c r="PW380"/>
      <c r="PX380"/>
      <c r="PY380"/>
      <c r="PZ380"/>
      <c r="QA380"/>
      <c r="QB380"/>
      <c r="QC380"/>
      <c r="QD380"/>
      <c r="QE380"/>
      <c r="QF380"/>
      <c r="QG380"/>
      <c r="QH380"/>
      <c r="QI380"/>
      <c r="QJ380"/>
      <c r="QK380"/>
      <c r="QL380"/>
      <c r="QM380"/>
      <c r="QN380"/>
      <c r="QO380"/>
      <c r="QP380"/>
      <c r="QQ380"/>
      <c r="QR380"/>
      <c r="QS380"/>
      <c r="QT380"/>
      <c r="QU380"/>
      <c r="QV380"/>
      <c r="QW380"/>
      <c r="QX380"/>
      <c r="QY380"/>
      <c r="QZ380"/>
      <c r="RA380"/>
      <c r="RB380"/>
      <c r="RC380"/>
      <c r="RD380"/>
      <c r="RE380"/>
      <c r="RF380"/>
      <c r="RG380"/>
      <c r="RH380"/>
      <c r="RI380"/>
      <c r="RJ380"/>
      <c r="RK380"/>
      <c r="RL380"/>
      <c r="RM380"/>
      <c r="RN380"/>
      <c r="RO380"/>
      <c r="RP380"/>
      <c r="RQ380"/>
      <c r="RR380"/>
      <c r="RS380"/>
      <c r="RT380"/>
      <c r="RU380"/>
      <c r="RV380"/>
      <c r="RW380"/>
      <c r="RX380"/>
      <c r="RY380"/>
      <c r="RZ380"/>
      <c r="SA380"/>
      <c r="SB380"/>
      <c r="SC380"/>
      <c r="SD380"/>
      <c r="SE380"/>
      <c r="SF380"/>
      <c r="SG380"/>
      <c r="SH380"/>
      <c r="SI380"/>
      <c r="SJ380"/>
      <c r="SK380"/>
      <c r="SL380"/>
      <c r="SM380"/>
      <c r="SN380"/>
      <c r="SO380"/>
      <c r="SP380"/>
      <c r="SQ380"/>
      <c r="SR380"/>
      <c r="SS380"/>
      <c r="ST380"/>
      <c r="SU380"/>
      <c r="SV380"/>
      <c r="SW380"/>
      <c r="SX380"/>
      <c r="SY380"/>
      <c r="SZ380"/>
      <c r="TA380"/>
      <c r="TB380"/>
      <c r="TC380"/>
      <c r="TD380"/>
      <c r="TE380"/>
      <c r="TF380"/>
      <c r="TG380"/>
      <c r="TH380"/>
    </row>
    <row r="381" spans="3:528" x14ac:dyDescent="0.25">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c r="KT381"/>
      <c r="KU381"/>
      <c r="KV381"/>
      <c r="KW381"/>
      <c r="KX381"/>
      <c r="KY381"/>
      <c r="KZ381"/>
      <c r="LA381"/>
      <c r="LB381"/>
      <c r="LC381"/>
      <c r="LD381"/>
      <c r="LE381"/>
      <c r="LF381"/>
      <c r="LG381"/>
      <c r="LH381"/>
      <c r="LI381"/>
      <c r="LJ381"/>
      <c r="LK381"/>
      <c r="LL381"/>
      <c r="LM381"/>
      <c r="LN381"/>
      <c r="LO381"/>
      <c r="LP381"/>
      <c r="LQ381"/>
      <c r="LR381"/>
      <c r="LS381"/>
      <c r="LT381"/>
      <c r="LU381"/>
      <c r="LV381"/>
      <c r="LW381"/>
      <c r="LX381"/>
      <c r="LY381"/>
      <c r="LZ381"/>
      <c r="MA381"/>
      <c r="MB381"/>
      <c r="MC381"/>
      <c r="MD381"/>
      <c r="ME381"/>
      <c r="MF381"/>
      <c r="MG381"/>
      <c r="MH381"/>
      <c r="MI381"/>
      <c r="MJ381"/>
      <c r="MK381"/>
      <c r="ML381"/>
      <c r="MM381"/>
      <c r="MN381"/>
      <c r="MO381"/>
      <c r="MP381"/>
      <c r="MQ381"/>
      <c r="MR381"/>
      <c r="MS381"/>
      <c r="MT381"/>
      <c r="MU381"/>
      <c r="MV381"/>
      <c r="MW381"/>
      <c r="MX381"/>
      <c r="MY381"/>
      <c r="MZ381"/>
      <c r="NA381"/>
      <c r="NB381"/>
      <c r="NC381"/>
      <c r="ND381"/>
      <c r="NE381"/>
      <c r="NF381"/>
      <c r="NG381"/>
      <c r="NH381"/>
      <c r="NI381"/>
      <c r="NJ381"/>
      <c r="NK381"/>
      <c r="NL381"/>
      <c r="NM381"/>
      <c r="NN381"/>
      <c r="NO381"/>
      <c r="NP381"/>
      <c r="NQ381"/>
      <c r="NR381"/>
      <c r="NS381"/>
      <c r="NT381"/>
      <c r="NU381"/>
      <c r="NV381"/>
      <c r="NW381"/>
      <c r="NX381"/>
      <c r="NY381"/>
      <c r="NZ381"/>
      <c r="OA381"/>
      <c r="OB381"/>
      <c r="OC381"/>
      <c r="OD381"/>
      <c r="OE381"/>
      <c r="OF381"/>
      <c r="OG381"/>
      <c r="OH381"/>
      <c r="OI381"/>
      <c r="OJ381"/>
      <c r="OK381"/>
      <c r="OL381"/>
      <c r="OM381"/>
      <c r="ON381"/>
      <c r="OO381"/>
      <c r="OP381"/>
      <c r="OQ381"/>
      <c r="OR381"/>
      <c r="OS381"/>
      <c r="OT381"/>
      <c r="OU381"/>
      <c r="OV381"/>
      <c r="OW381"/>
      <c r="OX381"/>
      <c r="OY381"/>
      <c r="OZ381"/>
      <c r="PA381"/>
      <c r="PB381"/>
      <c r="PC381"/>
      <c r="PD381"/>
      <c r="PE381"/>
      <c r="PF381"/>
      <c r="PG381"/>
      <c r="PH381"/>
      <c r="PI381"/>
      <c r="PJ381"/>
      <c r="PK381"/>
      <c r="PL381"/>
      <c r="PM381"/>
      <c r="PN381"/>
      <c r="PO381"/>
      <c r="PP381"/>
      <c r="PQ381"/>
      <c r="PR381"/>
      <c r="PS381"/>
      <c r="PT381"/>
      <c r="PU381"/>
      <c r="PV381"/>
      <c r="PW381"/>
      <c r="PX381"/>
      <c r="PY381"/>
      <c r="PZ381"/>
      <c r="QA381"/>
      <c r="QB381"/>
      <c r="QC381"/>
      <c r="QD381"/>
      <c r="QE381"/>
      <c r="QF381"/>
      <c r="QG381"/>
      <c r="QH381"/>
      <c r="QI381"/>
      <c r="QJ381"/>
      <c r="QK381"/>
      <c r="QL381"/>
      <c r="QM381"/>
      <c r="QN381"/>
      <c r="QO381"/>
      <c r="QP381"/>
      <c r="QQ381"/>
      <c r="QR381"/>
      <c r="QS381"/>
      <c r="QT381"/>
      <c r="QU381"/>
      <c r="QV381"/>
      <c r="QW381"/>
      <c r="QX381"/>
      <c r="QY381"/>
      <c r="QZ381"/>
      <c r="RA381"/>
      <c r="RB381"/>
      <c r="RC381"/>
      <c r="RD381"/>
      <c r="RE381"/>
      <c r="RF381"/>
      <c r="RG381"/>
      <c r="RH381"/>
      <c r="RI381"/>
      <c r="RJ381"/>
      <c r="RK381"/>
      <c r="RL381"/>
      <c r="RM381"/>
      <c r="RN381"/>
      <c r="RO381"/>
      <c r="RP381"/>
      <c r="RQ381"/>
      <c r="RR381"/>
      <c r="RS381"/>
      <c r="RT381"/>
      <c r="RU381"/>
      <c r="RV381"/>
      <c r="RW381"/>
      <c r="RX381"/>
      <c r="RY381"/>
      <c r="RZ381"/>
      <c r="SA381"/>
      <c r="SB381"/>
      <c r="SC381"/>
      <c r="SD381"/>
      <c r="SE381"/>
      <c r="SF381"/>
      <c r="SG381"/>
      <c r="SH381"/>
      <c r="SI381"/>
      <c r="SJ381"/>
      <c r="SK381"/>
      <c r="SL381"/>
      <c r="SM381"/>
      <c r="SN381"/>
      <c r="SO381"/>
      <c r="SP381"/>
      <c r="SQ381"/>
      <c r="SR381"/>
      <c r="SS381"/>
      <c r="ST381"/>
      <c r="SU381"/>
      <c r="SV381"/>
      <c r="SW381"/>
      <c r="SX381"/>
      <c r="SY381"/>
      <c r="SZ381"/>
      <c r="TA381"/>
      <c r="TB381"/>
      <c r="TC381"/>
      <c r="TD381"/>
      <c r="TE381"/>
      <c r="TF381"/>
      <c r="TG381"/>
      <c r="TH381"/>
    </row>
    <row r="382" spans="3:528" x14ac:dyDescent="0.25">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c r="KT382"/>
      <c r="KU382"/>
      <c r="KV382"/>
      <c r="KW382"/>
      <c r="KX382"/>
      <c r="KY382"/>
      <c r="KZ382"/>
      <c r="LA382"/>
      <c r="LB382"/>
      <c r="LC382"/>
      <c r="LD382"/>
      <c r="LE382"/>
      <c r="LF382"/>
      <c r="LG382"/>
      <c r="LH382"/>
      <c r="LI382"/>
      <c r="LJ382"/>
      <c r="LK382"/>
      <c r="LL382"/>
      <c r="LM382"/>
      <c r="LN382"/>
      <c r="LO382"/>
      <c r="LP382"/>
      <c r="LQ382"/>
      <c r="LR382"/>
      <c r="LS382"/>
      <c r="LT382"/>
      <c r="LU382"/>
      <c r="LV382"/>
      <c r="LW382"/>
      <c r="LX382"/>
      <c r="LY382"/>
      <c r="LZ382"/>
      <c r="MA382"/>
      <c r="MB382"/>
      <c r="MC382"/>
      <c r="MD382"/>
      <c r="ME382"/>
      <c r="MF382"/>
      <c r="MG382"/>
      <c r="MH382"/>
      <c r="MI382"/>
      <c r="MJ382"/>
      <c r="MK382"/>
      <c r="ML382"/>
      <c r="MM382"/>
      <c r="MN382"/>
      <c r="MO382"/>
      <c r="MP382"/>
      <c r="MQ382"/>
      <c r="MR382"/>
      <c r="MS382"/>
      <c r="MT382"/>
      <c r="MU382"/>
      <c r="MV382"/>
      <c r="MW382"/>
      <c r="MX382"/>
      <c r="MY382"/>
      <c r="MZ382"/>
      <c r="NA382"/>
      <c r="NB382"/>
      <c r="NC382"/>
      <c r="ND382"/>
      <c r="NE382"/>
      <c r="NF382"/>
      <c r="NG382"/>
      <c r="NH382"/>
      <c r="NI382"/>
      <c r="NJ382"/>
      <c r="NK382"/>
      <c r="NL382"/>
      <c r="NM382"/>
      <c r="NN382"/>
      <c r="NO382"/>
      <c r="NP382"/>
      <c r="NQ382"/>
      <c r="NR382"/>
      <c r="NS382"/>
      <c r="NT382"/>
      <c r="NU382"/>
      <c r="NV382"/>
      <c r="NW382"/>
      <c r="NX382"/>
      <c r="NY382"/>
      <c r="NZ382"/>
      <c r="OA382"/>
      <c r="OB382"/>
      <c r="OC382"/>
      <c r="OD382"/>
      <c r="OE382"/>
      <c r="OF382"/>
      <c r="OG382"/>
      <c r="OH382"/>
      <c r="OI382"/>
      <c r="OJ382"/>
      <c r="OK382"/>
      <c r="OL382"/>
      <c r="OM382"/>
      <c r="ON382"/>
      <c r="OO382"/>
      <c r="OP382"/>
      <c r="OQ382"/>
      <c r="OR382"/>
      <c r="OS382"/>
      <c r="OT382"/>
      <c r="OU382"/>
      <c r="OV382"/>
      <c r="OW382"/>
      <c r="OX382"/>
      <c r="OY382"/>
      <c r="OZ382"/>
      <c r="PA382"/>
      <c r="PB382"/>
      <c r="PC382"/>
      <c r="PD382"/>
      <c r="PE382"/>
      <c r="PF382"/>
      <c r="PG382"/>
      <c r="PH382"/>
      <c r="PI382"/>
      <c r="PJ382"/>
      <c r="PK382"/>
      <c r="PL382"/>
      <c r="PM382"/>
      <c r="PN382"/>
      <c r="PO382"/>
      <c r="PP382"/>
      <c r="PQ382"/>
      <c r="PR382"/>
      <c r="PS382"/>
      <c r="PT382"/>
      <c r="PU382"/>
      <c r="PV382"/>
      <c r="PW382"/>
      <c r="PX382"/>
      <c r="PY382"/>
      <c r="PZ382"/>
      <c r="QA382"/>
      <c r="QB382"/>
      <c r="QC382"/>
      <c r="QD382"/>
      <c r="QE382"/>
      <c r="QF382"/>
      <c r="QG382"/>
      <c r="QH382"/>
      <c r="QI382"/>
      <c r="QJ382"/>
      <c r="QK382"/>
      <c r="QL382"/>
      <c r="QM382"/>
      <c r="QN382"/>
      <c r="QO382"/>
      <c r="QP382"/>
      <c r="QQ382"/>
      <c r="QR382"/>
      <c r="QS382"/>
      <c r="QT382"/>
      <c r="QU382"/>
      <c r="QV382"/>
      <c r="QW382"/>
      <c r="QX382"/>
      <c r="QY382"/>
      <c r="QZ382"/>
      <c r="RA382"/>
      <c r="RB382"/>
      <c r="RC382"/>
      <c r="RD382"/>
      <c r="RE382"/>
      <c r="RF382"/>
      <c r="RG382"/>
      <c r="RH382"/>
      <c r="RI382"/>
      <c r="RJ382"/>
      <c r="RK382"/>
      <c r="RL382"/>
      <c r="RM382"/>
      <c r="RN382"/>
      <c r="RO382"/>
      <c r="RP382"/>
      <c r="RQ382"/>
      <c r="RR382"/>
      <c r="RS382"/>
      <c r="RT382"/>
      <c r="RU382"/>
      <c r="RV382"/>
      <c r="RW382"/>
      <c r="RX382"/>
      <c r="RY382"/>
      <c r="RZ382"/>
      <c r="SA382"/>
      <c r="SB382"/>
      <c r="SC382"/>
      <c r="SD382"/>
      <c r="SE382"/>
      <c r="SF382"/>
      <c r="SG382"/>
      <c r="SH382"/>
      <c r="SI382"/>
      <c r="SJ382"/>
      <c r="SK382"/>
      <c r="SL382"/>
      <c r="SM382"/>
      <c r="SN382"/>
      <c r="SO382"/>
      <c r="SP382"/>
      <c r="SQ382"/>
      <c r="SR382"/>
      <c r="SS382"/>
      <c r="ST382"/>
      <c r="SU382"/>
      <c r="SV382"/>
      <c r="SW382"/>
      <c r="SX382"/>
      <c r="SY382"/>
      <c r="SZ382"/>
      <c r="TA382"/>
      <c r="TB382"/>
      <c r="TC382"/>
      <c r="TD382"/>
      <c r="TE382"/>
      <c r="TF382"/>
      <c r="TG382"/>
      <c r="TH382"/>
    </row>
    <row r="383" spans="3:528" x14ac:dyDescent="0.25">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c r="KT383"/>
      <c r="KU383"/>
      <c r="KV383"/>
      <c r="KW383"/>
      <c r="KX383"/>
      <c r="KY383"/>
      <c r="KZ383"/>
      <c r="LA383"/>
      <c r="LB383"/>
      <c r="LC383"/>
      <c r="LD383"/>
      <c r="LE383"/>
      <c r="LF383"/>
      <c r="LG383"/>
      <c r="LH383"/>
      <c r="LI383"/>
      <c r="LJ383"/>
      <c r="LK383"/>
      <c r="LL383"/>
      <c r="LM383"/>
      <c r="LN383"/>
      <c r="LO383"/>
      <c r="LP383"/>
      <c r="LQ383"/>
      <c r="LR383"/>
      <c r="LS383"/>
      <c r="LT383"/>
      <c r="LU383"/>
      <c r="LV383"/>
      <c r="LW383"/>
      <c r="LX383"/>
      <c r="LY383"/>
      <c r="LZ383"/>
      <c r="MA383"/>
      <c r="MB383"/>
      <c r="MC383"/>
      <c r="MD383"/>
      <c r="ME383"/>
      <c r="MF383"/>
      <c r="MG383"/>
      <c r="MH383"/>
      <c r="MI383"/>
      <c r="MJ383"/>
      <c r="MK383"/>
      <c r="ML383"/>
      <c r="MM383"/>
      <c r="MN383"/>
      <c r="MO383"/>
      <c r="MP383"/>
      <c r="MQ383"/>
      <c r="MR383"/>
      <c r="MS383"/>
      <c r="MT383"/>
      <c r="MU383"/>
      <c r="MV383"/>
      <c r="MW383"/>
      <c r="MX383"/>
      <c r="MY383"/>
      <c r="MZ383"/>
      <c r="NA383"/>
      <c r="NB383"/>
      <c r="NC383"/>
      <c r="ND383"/>
      <c r="NE383"/>
      <c r="NF383"/>
      <c r="NG383"/>
      <c r="NH383"/>
      <c r="NI383"/>
      <c r="NJ383"/>
      <c r="NK383"/>
      <c r="NL383"/>
      <c r="NM383"/>
      <c r="NN383"/>
      <c r="NO383"/>
      <c r="NP383"/>
      <c r="NQ383"/>
      <c r="NR383"/>
      <c r="NS383"/>
      <c r="NT383"/>
      <c r="NU383"/>
      <c r="NV383"/>
      <c r="NW383"/>
      <c r="NX383"/>
      <c r="NY383"/>
      <c r="NZ383"/>
      <c r="OA383"/>
      <c r="OB383"/>
      <c r="OC383"/>
      <c r="OD383"/>
      <c r="OE383"/>
      <c r="OF383"/>
      <c r="OG383"/>
      <c r="OH383"/>
      <c r="OI383"/>
      <c r="OJ383"/>
      <c r="OK383"/>
      <c r="OL383"/>
      <c r="OM383"/>
      <c r="ON383"/>
      <c r="OO383"/>
      <c r="OP383"/>
      <c r="OQ383"/>
      <c r="OR383"/>
      <c r="OS383"/>
      <c r="OT383"/>
      <c r="OU383"/>
      <c r="OV383"/>
      <c r="OW383"/>
      <c r="OX383"/>
      <c r="OY383"/>
      <c r="OZ383"/>
      <c r="PA383"/>
      <c r="PB383"/>
      <c r="PC383"/>
      <c r="PD383"/>
      <c r="PE383"/>
      <c r="PF383"/>
      <c r="PG383"/>
      <c r="PH383"/>
      <c r="PI383"/>
      <c r="PJ383"/>
      <c r="PK383"/>
      <c r="PL383"/>
      <c r="PM383"/>
      <c r="PN383"/>
      <c r="PO383"/>
      <c r="PP383"/>
      <c r="PQ383"/>
      <c r="PR383"/>
      <c r="PS383"/>
      <c r="PT383"/>
      <c r="PU383"/>
      <c r="PV383"/>
      <c r="PW383"/>
      <c r="PX383"/>
      <c r="PY383"/>
      <c r="PZ383"/>
      <c r="QA383"/>
      <c r="QB383"/>
      <c r="QC383"/>
      <c r="QD383"/>
      <c r="QE383"/>
      <c r="QF383"/>
      <c r="QG383"/>
      <c r="QH383"/>
      <c r="QI383"/>
      <c r="QJ383"/>
      <c r="QK383"/>
      <c r="QL383"/>
      <c r="QM383"/>
      <c r="QN383"/>
      <c r="QO383"/>
      <c r="QP383"/>
      <c r="QQ383"/>
      <c r="QR383"/>
      <c r="QS383"/>
      <c r="QT383"/>
      <c r="QU383"/>
      <c r="QV383"/>
      <c r="QW383"/>
      <c r="QX383"/>
      <c r="QY383"/>
      <c r="QZ383"/>
      <c r="RA383"/>
      <c r="RB383"/>
      <c r="RC383"/>
      <c r="RD383"/>
      <c r="RE383"/>
      <c r="RF383"/>
      <c r="RG383"/>
      <c r="RH383"/>
      <c r="RI383"/>
      <c r="RJ383"/>
      <c r="RK383"/>
      <c r="RL383"/>
      <c r="RM383"/>
      <c r="RN383"/>
      <c r="RO383"/>
      <c r="RP383"/>
      <c r="RQ383"/>
      <c r="RR383"/>
      <c r="RS383"/>
      <c r="RT383"/>
      <c r="RU383"/>
      <c r="RV383"/>
      <c r="RW383"/>
      <c r="RX383"/>
      <c r="RY383"/>
      <c r="RZ383"/>
      <c r="SA383"/>
      <c r="SB383"/>
      <c r="SC383"/>
      <c r="SD383"/>
      <c r="SE383"/>
      <c r="SF383"/>
      <c r="SG383"/>
      <c r="SH383"/>
      <c r="SI383"/>
      <c r="SJ383"/>
      <c r="SK383"/>
      <c r="SL383"/>
      <c r="SM383"/>
      <c r="SN383"/>
      <c r="SO383"/>
      <c r="SP383"/>
      <c r="SQ383"/>
      <c r="SR383"/>
      <c r="SS383"/>
      <c r="ST383"/>
      <c r="SU383"/>
      <c r="SV383"/>
      <c r="SW383"/>
      <c r="SX383"/>
      <c r="SY383"/>
      <c r="SZ383"/>
      <c r="TA383"/>
      <c r="TB383"/>
      <c r="TC383"/>
      <c r="TD383"/>
      <c r="TE383"/>
      <c r="TF383"/>
      <c r="TG383"/>
      <c r="TH383"/>
    </row>
    <row r="384" spans="3:528" x14ac:dyDescent="0.25">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c r="KT384"/>
      <c r="KU384"/>
      <c r="KV384"/>
      <c r="KW384"/>
      <c r="KX384"/>
      <c r="KY384"/>
      <c r="KZ384"/>
      <c r="LA384"/>
      <c r="LB384"/>
      <c r="LC384"/>
      <c r="LD384"/>
      <c r="LE384"/>
      <c r="LF384"/>
      <c r="LG384"/>
      <c r="LH384"/>
      <c r="LI384"/>
      <c r="LJ384"/>
      <c r="LK384"/>
      <c r="LL384"/>
      <c r="LM384"/>
      <c r="LN384"/>
      <c r="LO384"/>
      <c r="LP384"/>
      <c r="LQ384"/>
      <c r="LR384"/>
      <c r="LS384"/>
      <c r="LT384"/>
      <c r="LU384"/>
      <c r="LV384"/>
      <c r="LW384"/>
      <c r="LX384"/>
      <c r="LY384"/>
      <c r="LZ384"/>
      <c r="MA384"/>
      <c r="MB384"/>
      <c r="MC384"/>
      <c r="MD384"/>
      <c r="ME384"/>
      <c r="MF384"/>
      <c r="MG384"/>
      <c r="MH384"/>
      <c r="MI384"/>
      <c r="MJ384"/>
      <c r="MK384"/>
      <c r="ML384"/>
      <c r="MM384"/>
      <c r="MN384"/>
      <c r="MO384"/>
      <c r="MP384"/>
      <c r="MQ384"/>
      <c r="MR384"/>
      <c r="MS384"/>
      <c r="MT384"/>
      <c r="MU384"/>
      <c r="MV384"/>
      <c r="MW384"/>
      <c r="MX384"/>
      <c r="MY384"/>
      <c r="MZ384"/>
      <c r="NA384"/>
      <c r="NB384"/>
      <c r="NC384"/>
      <c r="ND384"/>
      <c r="NE384"/>
      <c r="NF384"/>
      <c r="NG384"/>
      <c r="NH384"/>
      <c r="NI384"/>
      <c r="NJ384"/>
      <c r="NK384"/>
      <c r="NL384"/>
      <c r="NM384"/>
      <c r="NN384"/>
      <c r="NO384"/>
      <c r="NP384"/>
      <c r="NQ384"/>
      <c r="NR384"/>
      <c r="NS384"/>
      <c r="NT384"/>
      <c r="NU384"/>
      <c r="NV384"/>
      <c r="NW384"/>
      <c r="NX384"/>
      <c r="NY384"/>
      <c r="NZ384"/>
      <c r="OA384"/>
      <c r="OB384"/>
      <c r="OC384"/>
      <c r="OD384"/>
      <c r="OE384"/>
      <c r="OF384"/>
      <c r="OG384"/>
      <c r="OH384"/>
      <c r="OI384"/>
      <c r="OJ384"/>
      <c r="OK384"/>
      <c r="OL384"/>
      <c r="OM384"/>
      <c r="ON384"/>
      <c r="OO384"/>
      <c r="OP384"/>
      <c r="OQ384"/>
      <c r="OR384"/>
      <c r="OS384"/>
      <c r="OT384"/>
      <c r="OU384"/>
      <c r="OV384"/>
      <c r="OW384"/>
      <c r="OX384"/>
      <c r="OY384"/>
      <c r="OZ384"/>
      <c r="PA384"/>
      <c r="PB384"/>
      <c r="PC384"/>
      <c r="PD384"/>
      <c r="PE384"/>
      <c r="PF384"/>
      <c r="PG384"/>
      <c r="PH384"/>
      <c r="PI384"/>
      <c r="PJ384"/>
      <c r="PK384"/>
      <c r="PL384"/>
      <c r="PM384"/>
      <c r="PN384"/>
      <c r="PO384"/>
      <c r="PP384"/>
      <c r="PQ384"/>
      <c r="PR384"/>
      <c r="PS384"/>
      <c r="PT384"/>
      <c r="PU384"/>
      <c r="PV384"/>
      <c r="PW384"/>
      <c r="PX384"/>
      <c r="PY384"/>
      <c r="PZ384"/>
      <c r="QA384"/>
      <c r="QB384"/>
      <c r="QC384"/>
      <c r="QD384"/>
      <c r="QE384"/>
      <c r="QF384"/>
      <c r="QG384"/>
      <c r="QH384"/>
      <c r="QI384"/>
      <c r="QJ384"/>
      <c r="QK384"/>
      <c r="QL384"/>
      <c r="QM384"/>
      <c r="QN384"/>
      <c r="QO384"/>
      <c r="QP384"/>
      <c r="QQ384"/>
      <c r="QR384"/>
      <c r="QS384"/>
      <c r="QT384"/>
      <c r="QU384"/>
      <c r="QV384"/>
      <c r="QW384"/>
      <c r="QX384"/>
      <c r="QY384"/>
      <c r="QZ384"/>
      <c r="RA384"/>
      <c r="RB384"/>
      <c r="RC384"/>
      <c r="RD384"/>
      <c r="RE384"/>
      <c r="RF384"/>
      <c r="RG384"/>
      <c r="RH384"/>
      <c r="RI384"/>
      <c r="RJ384"/>
      <c r="RK384"/>
      <c r="RL384"/>
      <c r="RM384"/>
      <c r="RN384"/>
      <c r="RO384"/>
      <c r="RP384"/>
      <c r="RQ384"/>
      <c r="RR384"/>
      <c r="RS384"/>
      <c r="RT384"/>
      <c r="RU384"/>
      <c r="RV384"/>
      <c r="RW384"/>
      <c r="RX384"/>
      <c r="RY384"/>
      <c r="RZ384"/>
      <c r="SA384"/>
      <c r="SB384"/>
      <c r="SC384"/>
      <c r="SD384"/>
      <c r="SE384"/>
      <c r="SF384"/>
      <c r="SG384"/>
      <c r="SH384"/>
      <c r="SI384"/>
      <c r="SJ384"/>
      <c r="SK384"/>
      <c r="SL384"/>
      <c r="SM384"/>
      <c r="SN384"/>
      <c r="SO384"/>
      <c r="SP384"/>
      <c r="SQ384"/>
      <c r="SR384"/>
      <c r="SS384"/>
      <c r="ST384"/>
      <c r="SU384"/>
      <c r="SV384"/>
      <c r="SW384"/>
      <c r="SX384"/>
      <c r="SY384"/>
      <c r="SZ384"/>
      <c r="TA384"/>
      <c r="TB384"/>
      <c r="TC384"/>
      <c r="TD384"/>
      <c r="TE384"/>
      <c r="TF384"/>
      <c r="TG384"/>
      <c r="TH384"/>
    </row>
    <row r="385" spans="3:528" x14ac:dyDescent="0.2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c r="KT385"/>
      <c r="KU385"/>
      <c r="KV385"/>
      <c r="KW385"/>
      <c r="KX385"/>
      <c r="KY385"/>
      <c r="KZ385"/>
      <c r="LA385"/>
      <c r="LB385"/>
      <c r="LC385"/>
      <c r="LD385"/>
      <c r="LE385"/>
      <c r="LF385"/>
      <c r="LG385"/>
      <c r="LH385"/>
      <c r="LI385"/>
      <c r="LJ385"/>
      <c r="LK385"/>
      <c r="LL385"/>
      <c r="LM385"/>
      <c r="LN385"/>
      <c r="LO385"/>
      <c r="LP385"/>
      <c r="LQ385"/>
      <c r="LR385"/>
      <c r="LS385"/>
      <c r="LT385"/>
      <c r="LU385"/>
      <c r="LV385"/>
      <c r="LW385"/>
      <c r="LX385"/>
      <c r="LY385"/>
      <c r="LZ385"/>
      <c r="MA385"/>
      <c r="MB385"/>
      <c r="MC385"/>
      <c r="MD385"/>
      <c r="ME385"/>
      <c r="MF385"/>
      <c r="MG385"/>
      <c r="MH385"/>
      <c r="MI385"/>
      <c r="MJ385"/>
      <c r="MK385"/>
      <c r="ML385"/>
      <c r="MM385"/>
      <c r="MN385"/>
      <c r="MO385"/>
      <c r="MP385"/>
      <c r="MQ385"/>
      <c r="MR385"/>
      <c r="MS385"/>
      <c r="MT385"/>
      <c r="MU385"/>
      <c r="MV385"/>
      <c r="MW385"/>
      <c r="MX385"/>
      <c r="MY385"/>
      <c r="MZ385"/>
      <c r="NA385"/>
      <c r="NB385"/>
      <c r="NC385"/>
      <c r="ND385"/>
      <c r="NE385"/>
      <c r="NF385"/>
      <c r="NG385"/>
      <c r="NH385"/>
      <c r="NI385"/>
      <c r="NJ385"/>
      <c r="NK385"/>
      <c r="NL385"/>
      <c r="NM385"/>
      <c r="NN385"/>
      <c r="NO385"/>
      <c r="NP385"/>
      <c r="NQ385"/>
      <c r="NR385"/>
      <c r="NS385"/>
      <c r="NT385"/>
      <c r="NU385"/>
      <c r="NV385"/>
      <c r="NW385"/>
      <c r="NX385"/>
      <c r="NY385"/>
      <c r="NZ385"/>
      <c r="OA385"/>
      <c r="OB385"/>
      <c r="OC385"/>
      <c r="OD385"/>
      <c r="OE385"/>
      <c r="OF385"/>
      <c r="OG385"/>
      <c r="OH385"/>
      <c r="OI385"/>
      <c r="OJ385"/>
      <c r="OK385"/>
      <c r="OL385"/>
      <c r="OM385"/>
      <c r="ON385"/>
      <c r="OO385"/>
      <c r="OP385"/>
      <c r="OQ385"/>
      <c r="OR385"/>
      <c r="OS385"/>
      <c r="OT385"/>
      <c r="OU385"/>
      <c r="OV385"/>
      <c r="OW385"/>
      <c r="OX385"/>
      <c r="OY385"/>
      <c r="OZ385"/>
      <c r="PA385"/>
      <c r="PB385"/>
      <c r="PC385"/>
      <c r="PD385"/>
      <c r="PE385"/>
      <c r="PF385"/>
      <c r="PG385"/>
      <c r="PH385"/>
      <c r="PI385"/>
      <c r="PJ385"/>
      <c r="PK385"/>
      <c r="PL385"/>
      <c r="PM385"/>
      <c r="PN385"/>
      <c r="PO385"/>
      <c r="PP385"/>
      <c r="PQ385"/>
      <c r="PR385"/>
      <c r="PS385"/>
      <c r="PT385"/>
      <c r="PU385"/>
      <c r="PV385"/>
      <c r="PW385"/>
      <c r="PX385"/>
      <c r="PY385"/>
      <c r="PZ385"/>
      <c r="QA385"/>
      <c r="QB385"/>
      <c r="QC385"/>
      <c r="QD385"/>
      <c r="QE385"/>
      <c r="QF385"/>
      <c r="QG385"/>
      <c r="QH385"/>
      <c r="QI385"/>
      <c r="QJ385"/>
      <c r="QK385"/>
      <c r="QL385"/>
      <c r="QM385"/>
      <c r="QN385"/>
      <c r="QO385"/>
      <c r="QP385"/>
      <c r="QQ385"/>
      <c r="QR385"/>
      <c r="QS385"/>
      <c r="QT385"/>
      <c r="QU385"/>
      <c r="QV385"/>
      <c r="QW385"/>
      <c r="QX385"/>
      <c r="QY385"/>
      <c r="QZ385"/>
      <c r="RA385"/>
      <c r="RB385"/>
      <c r="RC385"/>
      <c r="RD385"/>
      <c r="RE385"/>
      <c r="RF385"/>
      <c r="RG385"/>
      <c r="RH385"/>
      <c r="RI385"/>
      <c r="RJ385"/>
      <c r="RK385"/>
      <c r="RL385"/>
      <c r="RM385"/>
      <c r="RN385"/>
      <c r="RO385"/>
      <c r="RP385"/>
      <c r="RQ385"/>
      <c r="RR385"/>
      <c r="RS385"/>
      <c r="RT385"/>
      <c r="RU385"/>
      <c r="RV385"/>
      <c r="RW385"/>
      <c r="RX385"/>
      <c r="RY385"/>
      <c r="RZ385"/>
      <c r="SA385"/>
      <c r="SB385"/>
      <c r="SC385"/>
      <c r="SD385"/>
      <c r="SE385"/>
      <c r="SF385"/>
      <c r="SG385"/>
      <c r="SH385"/>
      <c r="SI385"/>
      <c r="SJ385"/>
      <c r="SK385"/>
      <c r="SL385"/>
      <c r="SM385"/>
      <c r="SN385"/>
      <c r="SO385"/>
      <c r="SP385"/>
      <c r="SQ385"/>
      <c r="SR385"/>
      <c r="SS385"/>
      <c r="ST385"/>
      <c r="SU385"/>
      <c r="SV385"/>
      <c r="SW385"/>
      <c r="SX385"/>
      <c r="SY385"/>
      <c r="SZ385"/>
      <c r="TA385"/>
      <c r="TB385"/>
      <c r="TC385"/>
      <c r="TD385"/>
      <c r="TE385"/>
      <c r="TF385"/>
      <c r="TG385"/>
      <c r="TH385"/>
    </row>
    <row r="386" spans="3:528" x14ac:dyDescent="0.25">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c r="KT386"/>
      <c r="KU386"/>
      <c r="KV386"/>
      <c r="KW386"/>
      <c r="KX386"/>
      <c r="KY386"/>
      <c r="KZ386"/>
      <c r="LA386"/>
      <c r="LB386"/>
      <c r="LC386"/>
      <c r="LD386"/>
      <c r="LE386"/>
      <c r="LF386"/>
      <c r="LG386"/>
      <c r="LH386"/>
      <c r="LI386"/>
      <c r="LJ386"/>
      <c r="LK386"/>
      <c r="LL386"/>
      <c r="LM386"/>
      <c r="LN386"/>
      <c r="LO386"/>
      <c r="LP386"/>
      <c r="LQ386"/>
      <c r="LR386"/>
      <c r="LS386"/>
      <c r="LT386"/>
      <c r="LU386"/>
      <c r="LV386"/>
      <c r="LW386"/>
      <c r="LX386"/>
      <c r="LY386"/>
      <c r="LZ386"/>
      <c r="MA386"/>
      <c r="MB386"/>
      <c r="MC386"/>
      <c r="MD386"/>
      <c r="ME386"/>
      <c r="MF386"/>
      <c r="MG386"/>
      <c r="MH386"/>
      <c r="MI386"/>
      <c r="MJ386"/>
      <c r="MK386"/>
      <c r="ML386"/>
      <c r="MM386"/>
      <c r="MN386"/>
      <c r="MO386"/>
      <c r="MP386"/>
      <c r="MQ386"/>
      <c r="MR386"/>
      <c r="MS386"/>
      <c r="MT386"/>
      <c r="MU386"/>
      <c r="MV386"/>
      <c r="MW386"/>
      <c r="MX386"/>
      <c r="MY386"/>
      <c r="MZ386"/>
      <c r="NA386"/>
      <c r="NB386"/>
      <c r="NC386"/>
      <c r="ND386"/>
      <c r="NE386"/>
      <c r="NF386"/>
      <c r="NG386"/>
      <c r="NH386"/>
      <c r="NI386"/>
      <c r="NJ386"/>
      <c r="NK386"/>
      <c r="NL386"/>
      <c r="NM386"/>
      <c r="NN386"/>
      <c r="NO386"/>
      <c r="NP386"/>
      <c r="NQ386"/>
      <c r="NR386"/>
      <c r="NS386"/>
      <c r="NT386"/>
      <c r="NU386"/>
      <c r="NV386"/>
      <c r="NW386"/>
      <c r="NX386"/>
      <c r="NY386"/>
      <c r="NZ386"/>
      <c r="OA386"/>
      <c r="OB386"/>
      <c r="OC386"/>
      <c r="OD386"/>
      <c r="OE386"/>
      <c r="OF386"/>
      <c r="OG386"/>
      <c r="OH386"/>
      <c r="OI386"/>
      <c r="OJ386"/>
      <c r="OK386"/>
      <c r="OL386"/>
      <c r="OM386"/>
      <c r="ON386"/>
      <c r="OO386"/>
      <c r="OP386"/>
      <c r="OQ386"/>
      <c r="OR386"/>
      <c r="OS386"/>
      <c r="OT386"/>
      <c r="OU386"/>
      <c r="OV386"/>
      <c r="OW386"/>
      <c r="OX386"/>
      <c r="OY386"/>
      <c r="OZ386"/>
      <c r="PA386"/>
      <c r="PB386"/>
      <c r="PC386"/>
      <c r="PD386"/>
      <c r="PE386"/>
      <c r="PF386"/>
      <c r="PG386"/>
      <c r="PH386"/>
      <c r="PI386"/>
      <c r="PJ386"/>
      <c r="PK386"/>
      <c r="PL386"/>
      <c r="PM386"/>
      <c r="PN386"/>
      <c r="PO386"/>
      <c r="PP386"/>
      <c r="PQ386"/>
      <c r="PR386"/>
      <c r="PS386"/>
      <c r="PT386"/>
      <c r="PU386"/>
      <c r="PV386"/>
      <c r="PW386"/>
      <c r="PX386"/>
      <c r="PY386"/>
      <c r="PZ386"/>
      <c r="QA386"/>
      <c r="QB386"/>
      <c r="QC386"/>
      <c r="QD386"/>
      <c r="QE386"/>
      <c r="QF386"/>
      <c r="QG386"/>
      <c r="QH386"/>
      <c r="QI386"/>
      <c r="QJ386"/>
      <c r="QK386"/>
      <c r="QL386"/>
      <c r="QM386"/>
      <c r="QN386"/>
      <c r="QO386"/>
      <c r="QP386"/>
      <c r="QQ386"/>
      <c r="QR386"/>
      <c r="QS386"/>
      <c r="QT386"/>
      <c r="QU386"/>
      <c r="QV386"/>
      <c r="QW386"/>
      <c r="QX386"/>
      <c r="QY386"/>
      <c r="QZ386"/>
      <c r="RA386"/>
      <c r="RB386"/>
      <c r="RC386"/>
      <c r="RD386"/>
      <c r="RE386"/>
      <c r="RF386"/>
      <c r="RG386"/>
      <c r="RH386"/>
      <c r="RI386"/>
      <c r="RJ386"/>
      <c r="RK386"/>
      <c r="RL386"/>
      <c r="RM386"/>
      <c r="RN386"/>
      <c r="RO386"/>
      <c r="RP386"/>
      <c r="RQ386"/>
      <c r="RR386"/>
      <c r="RS386"/>
      <c r="RT386"/>
      <c r="RU386"/>
      <c r="RV386"/>
      <c r="RW386"/>
      <c r="RX386"/>
      <c r="RY386"/>
      <c r="RZ386"/>
      <c r="SA386"/>
      <c r="SB386"/>
      <c r="SC386"/>
      <c r="SD386"/>
      <c r="SE386"/>
      <c r="SF386"/>
      <c r="SG386"/>
      <c r="SH386"/>
      <c r="SI386"/>
      <c r="SJ386"/>
      <c r="SK386"/>
      <c r="SL386"/>
      <c r="SM386"/>
      <c r="SN386"/>
      <c r="SO386"/>
      <c r="SP386"/>
      <c r="SQ386"/>
      <c r="SR386"/>
      <c r="SS386"/>
      <c r="ST386"/>
      <c r="SU386"/>
      <c r="SV386"/>
      <c r="SW386"/>
      <c r="SX386"/>
      <c r="SY386"/>
      <c r="SZ386"/>
      <c r="TA386"/>
      <c r="TB386"/>
      <c r="TC386"/>
      <c r="TD386"/>
      <c r="TE386"/>
      <c r="TF386"/>
      <c r="TG386"/>
      <c r="TH386"/>
    </row>
    <row r="387" spans="3:528" x14ac:dyDescent="0.25">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c r="KT387"/>
      <c r="KU387"/>
      <c r="KV387"/>
      <c r="KW387"/>
      <c r="KX387"/>
      <c r="KY387"/>
      <c r="KZ387"/>
      <c r="LA387"/>
      <c r="LB387"/>
      <c r="LC387"/>
      <c r="LD387"/>
      <c r="LE387"/>
      <c r="LF387"/>
      <c r="LG387"/>
      <c r="LH387"/>
      <c r="LI387"/>
      <c r="LJ387"/>
      <c r="LK387"/>
      <c r="LL387"/>
      <c r="LM387"/>
      <c r="LN387"/>
      <c r="LO387"/>
      <c r="LP387"/>
      <c r="LQ387"/>
      <c r="LR387"/>
      <c r="LS387"/>
      <c r="LT387"/>
      <c r="LU387"/>
      <c r="LV387"/>
      <c r="LW387"/>
      <c r="LX387"/>
      <c r="LY387"/>
      <c r="LZ387"/>
      <c r="MA387"/>
      <c r="MB387"/>
      <c r="MC387"/>
      <c r="MD387"/>
      <c r="ME387"/>
      <c r="MF387"/>
      <c r="MG387"/>
      <c r="MH387"/>
      <c r="MI387"/>
      <c r="MJ387"/>
      <c r="MK387"/>
      <c r="ML387"/>
      <c r="MM387"/>
      <c r="MN387"/>
      <c r="MO387"/>
      <c r="MP387"/>
      <c r="MQ387"/>
      <c r="MR387"/>
      <c r="MS387"/>
      <c r="MT387"/>
      <c r="MU387"/>
      <c r="MV387"/>
      <c r="MW387"/>
      <c r="MX387"/>
      <c r="MY387"/>
      <c r="MZ387"/>
      <c r="NA387"/>
      <c r="NB387"/>
      <c r="NC387"/>
      <c r="ND387"/>
      <c r="NE387"/>
      <c r="NF387"/>
      <c r="NG387"/>
      <c r="NH387"/>
      <c r="NI387"/>
      <c r="NJ387"/>
      <c r="NK387"/>
      <c r="NL387"/>
      <c r="NM387"/>
      <c r="NN387"/>
      <c r="NO387"/>
      <c r="NP387"/>
      <c r="NQ387"/>
      <c r="NR387"/>
      <c r="NS387"/>
      <c r="NT387"/>
      <c r="NU387"/>
      <c r="NV387"/>
      <c r="NW387"/>
      <c r="NX387"/>
      <c r="NY387"/>
      <c r="NZ387"/>
      <c r="OA387"/>
      <c r="OB387"/>
      <c r="OC387"/>
      <c r="OD387"/>
      <c r="OE387"/>
      <c r="OF387"/>
      <c r="OG387"/>
      <c r="OH387"/>
      <c r="OI387"/>
      <c r="OJ387"/>
      <c r="OK387"/>
      <c r="OL387"/>
      <c r="OM387"/>
      <c r="ON387"/>
      <c r="OO387"/>
      <c r="OP387"/>
      <c r="OQ387"/>
      <c r="OR387"/>
      <c r="OS387"/>
      <c r="OT387"/>
      <c r="OU387"/>
      <c r="OV387"/>
      <c r="OW387"/>
      <c r="OX387"/>
      <c r="OY387"/>
      <c r="OZ387"/>
      <c r="PA387"/>
      <c r="PB387"/>
      <c r="PC387"/>
      <c r="PD387"/>
      <c r="PE387"/>
      <c r="PF387"/>
      <c r="PG387"/>
      <c r="PH387"/>
      <c r="PI387"/>
      <c r="PJ387"/>
      <c r="PK387"/>
      <c r="PL387"/>
      <c r="PM387"/>
      <c r="PN387"/>
      <c r="PO387"/>
      <c r="PP387"/>
      <c r="PQ387"/>
      <c r="PR387"/>
      <c r="PS387"/>
      <c r="PT387"/>
      <c r="PU387"/>
      <c r="PV387"/>
      <c r="PW387"/>
      <c r="PX387"/>
      <c r="PY387"/>
      <c r="PZ387"/>
      <c r="QA387"/>
      <c r="QB387"/>
      <c r="QC387"/>
      <c r="QD387"/>
      <c r="QE387"/>
      <c r="QF387"/>
      <c r="QG387"/>
      <c r="QH387"/>
      <c r="QI387"/>
      <c r="QJ387"/>
      <c r="QK387"/>
      <c r="QL387"/>
      <c r="QM387"/>
      <c r="QN387"/>
      <c r="QO387"/>
      <c r="QP387"/>
      <c r="QQ387"/>
      <c r="QR387"/>
      <c r="QS387"/>
      <c r="QT387"/>
      <c r="QU387"/>
      <c r="QV387"/>
      <c r="QW387"/>
      <c r="QX387"/>
      <c r="QY387"/>
      <c r="QZ387"/>
      <c r="RA387"/>
      <c r="RB387"/>
      <c r="RC387"/>
      <c r="RD387"/>
      <c r="RE387"/>
      <c r="RF387"/>
      <c r="RG387"/>
      <c r="RH387"/>
      <c r="RI387"/>
      <c r="RJ387"/>
      <c r="RK387"/>
      <c r="RL387"/>
      <c r="RM387"/>
      <c r="RN387"/>
      <c r="RO387"/>
      <c r="RP387"/>
      <c r="RQ387"/>
      <c r="RR387"/>
      <c r="RS387"/>
      <c r="RT387"/>
      <c r="RU387"/>
      <c r="RV387"/>
      <c r="RW387"/>
      <c r="RX387"/>
      <c r="RY387"/>
      <c r="RZ387"/>
      <c r="SA387"/>
      <c r="SB387"/>
      <c r="SC387"/>
      <c r="SD387"/>
      <c r="SE387"/>
      <c r="SF387"/>
      <c r="SG387"/>
      <c r="SH387"/>
      <c r="SI387"/>
      <c r="SJ387"/>
      <c r="SK387"/>
      <c r="SL387"/>
      <c r="SM387"/>
      <c r="SN387"/>
      <c r="SO387"/>
      <c r="SP387"/>
      <c r="SQ387"/>
      <c r="SR387"/>
      <c r="SS387"/>
      <c r="ST387"/>
      <c r="SU387"/>
      <c r="SV387"/>
      <c r="SW387"/>
      <c r="SX387"/>
      <c r="SY387"/>
      <c r="SZ387"/>
      <c r="TA387"/>
      <c r="TB387"/>
      <c r="TC387"/>
      <c r="TD387"/>
      <c r="TE387"/>
      <c r="TF387"/>
      <c r="TG387"/>
      <c r="TH387"/>
    </row>
    <row r="388" spans="3:528" x14ac:dyDescent="0.25">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c r="KT388"/>
      <c r="KU388"/>
      <c r="KV388"/>
      <c r="KW388"/>
      <c r="KX388"/>
      <c r="KY388"/>
      <c r="KZ388"/>
      <c r="LA388"/>
      <c r="LB388"/>
      <c r="LC388"/>
      <c r="LD388"/>
      <c r="LE388"/>
      <c r="LF388"/>
      <c r="LG388"/>
      <c r="LH388"/>
      <c r="LI388"/>
      <c r="LJ388"/>
      <c r="LK388"/>
      <c r="LL388"/>
      <c r="LM388"/>
      <c r="LN388"/>
      <c r="LO388"/>
      <c r="LP388"/>
      <c r="LQ388"/>
      <c r="LR388"/>
      <c r="LS388"/>
      <c r="LT388"/>
      <c r="LU388"/>
      <c r="LV388"/>
      <c r="LW388"/>
      <c r="LX388"/>
      <c r="LY388"/>
      <c r="LZ388"/>
      <c r="MA388"/>
      <c r="MB388"/>
      <c r="MC388"/>
      <c r="MD388"/>
      <c r="ME388"/>
      <c r="MF388"/>
      <c r="MG388"/>
      <c r="MH388"/>
      <c r="MI388"/>
      <c r="MJ388"/>
      <c r="MK388"/>
      <c r="ML388"/>
      <c r="MM388"/>
      <c r="MN388"/>
      <c r="MO388"/>
      <c r="MP388"/>
      <c r="MQ388"/>
      <c r="MR388"/>
      <c r="MS388"/>
      <c r="MT388"/>
      <c r="MU388"/>
      <c r="MV388"/>
      <c r="MW388"/>
      <c r="MX388"/>
      <c r="MY388"/>
      <c r="MZ388"/>
      <c r="NA388"/>
      <c r="NB388"/>
      <c r="NC388"/>
      <c r="ND388"/>
      <c r="NE388"/>
      <c r="NF388"/>
      <c r="NG388"/>
      <c r="NH388"/>
      <c r="NI388"/>
      <c r="NJ388"/>
      <c r="NK388"/>
      <c r="NL388"/>
      <c r="NM388"/>
      <c r="NN388"/>
      <c r="NO388"/>
      <c r="NP388"/>
      <c r="NQ388"/>
      <c r="NR388"/>
      <c r="NS388"/>
      <c r="NT388"/>
      <c r="NU388"/>
      <c r="NV388"/>
      <c r="NW388"/>
      <c r="NX388"/>
      <c r="NY388"/>
      <c r="NZ388"/>
      <c r="OA388"/>
      <c r="OB388"/>
      <c r="OC388"/>
      <c r="OD388"/>
      <c r="OE388"/>
      <c r="OF388"/>
      <c r="OG388"/>
      <c r="OH388"/>
      <c r="OI388"/>
      <c r="OJ388"/>
      <c r="OK388"/>
      <c r="OL388"/>
      <c r="OM388"/>
      <c r="ON388"/>
      <c r="OO388"/>
      <c r="OP388"/>
      <c r="OQ388"/>
      <c r="OR388"/>
      <c r="OS388"/>
      <c r="OT388"/>
      <c r="OU388"/>
      <c r="OV388"/>
      <c r="OW388"/>
      <c r="OX388"/>
      <c r="OY388"/>
      <c r="OZ388"/>
      <c r="PA388"/>
      <c r="PB388"/>
      <c r="PC388"/>
      <c r="PD388"/>
      <c r="PE388"/>
      <c r="PF388"/>
      <c r="PG388"/>
      <c r="PH388"/>
      <c r="PI388"/>
      <c r="PJ388"/>
      <c r="PK388"/>
      <c r="PL388"/>
      <c r="PM388"/>
      <c r="PN388"/>
      <c r="PO388"/>
      <c r="PP388"/>
      <c r="PQ388"/>
      <c r="PR388"/>
      <c r="PS388"/>
      <c r="PT388"/>
      <c r="PU388"/>
      <c r="PV388"/>
      <c r="PW388"/>
      <c r="PX388"/>
      <c r="PY388"/>
      <c r="PZ388"/>
      <c r="QA388"/>
      <c r="QB388"/>
      <c r="QC388"/>
      <c r="QD388"/>
      <c r="QE388"/>
      <c r="QF388"/>
      <c r="QG388"/>
      <c r="QH388"/>
      <c r="QI388"/>
      <c r="QJ388"/>
      <c r="QK388"/>
      <c r="QL388"/>
      <c r="QM388"/>
      <c r="QN388"/>
      <c r="QO388"/>
      <c r="QP388"/>
      <c r="QQ388"/>
      <c r="QR388"/>
      <c r="QS388"/>
      <c r="QT388"/>
      <c r="QU388"/>
      <c r="QV388"/>
      <c r="QW388"/>
      <c r="QX388"/>
      <c r="QY388"/>
      <c r="QZ388"/>
      <c r="RA388"/>
      <c r="RB388"/>
      <c r="RC388"/>
      <c r="RD388"/>
      <c r="RE388"/>
      <c r="RF388"/>
      <c r="RG388"/>
      <c r="RH388"/>
      <c r="RI388"/>
      <c r="RJ388"/>
      <c r="RK388"/>
      <c r="RL388"/>
      <c r="RM388"/>
      <c r="RN388"/>
      <c r="RO388"/>
      <c r="RP388"/>
      <c r="RQ388"/>
      <c r="RR388"/>
      <c r="RS388"/>
      <c r="RT388"/>
      <c r="RU388"/>
      <c r="RV388"/>
      <c r="RW388"/>
      <c r="RX388"/>
      <c r="RY388"/>
      <c r="RZ388"/>
      <c r="SA388"/>
      <c r="SB388"/>
      <c r="SC388"/>
      <c r="SD388"/>
      <c r="SE388"/>
      <c r="SF388"/>
      <c r="SG388"/>
      <c r="SH388"/>
      <c r="SI388"/>
      <c r="SJ388"/>
      <c r="SK388"/>
      <c r="SL388"/>
      <c r="SM388"/>
      <c r="SN388"/>
      <c r="SO388"/>
      <c r="SP388"/>
      <c r="SQ388"/>
      <c r="SR388"/>
      <c r="SS388"/>
      <c r="ST388"/>
      <c r="SU388"/>
      <c r="SV388"/>
      <c r="SW388"/>
      <c r="SX388"/>
      <c r="SY388"/>
      <c r="SZ388"/>
      <c r="TA388"/>
      <c r="TB388"/>
      <c r="TC388"/>
      <c r="TD388"/>
      <c r="TE388"/>
      <c r="TF388"/>
      <c r="TG388"/>
      <c r="TH388"/>
    </row>
    <row r="389" spans="3:528" x14ac:dyDescent="0.25">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c r="KT389"/>
      <c r="KU389"/>
      <c r="KV389"/>
      <c r="KW389"/>
      <c r="KX389"/>
      <c r="KY389"/>
      <c r="KZ389"/>
      <c r="LA389"/>
      <c r="LB389"/>
      <c r="LC389"/>
      <c r="LD389"/>
      <c r="LE389"/>
      <c r="LF389"/>
      <c r="LG389"/>
      <c r="LH389"/>
      <c r="LI389"/>
      <c r="LJ389"/>
      <c r="LK389"/>
      <c r="LL389"/>
      <c r="LM389"/>
      <c r="LN389"/>
      <c r="LO389"/>
      <c r="LP389"/>
      <c r="LQ389"/>
      <c r="LR389"/>
      <c r="LS389"/>
      <c r="LT389"/>
      <c r="LU389"/>
      <c r="LV389"/>
      <c r="LW389"/>
      <c r="LX389"/>
      <c r="LY389"/>
      <c r="LZ389"/>
      <c r="MA389"/>
      <c r="MB389"/>
      <c r="MC389"/>
      <c r="MD389"/>
      <c r="ME389"/>
      <c r="MF389"/>
      <c r="MG389"/>
      <c r="MH389"/>
      <c r="MI389"/>
      <c r="MJ389"/>
      <c r="MK389"/>
      <c r="ML389"/>
      <c r="MM389"/>
      <c r="MN389"/>
      <c r="MO389"/>
      <c r="MP389"/>
      <c r="MQ389"/>
      <c r="MR389"/>
      <c r="MS389"/>
      <c r="MT389"/>
      <c r="MU389"/>
      <c r="MV389"/>
      <c r="MW389"/>
      <c r="MX389"/>
      <c r="MY389"/>
      <c r="MZ389"/>
      <c r="NA389"/>
      <c r="NB389"/>
      <c r="NC389"/>
      <c r="ND389"/>
      <c r="NE389"/>
      <c r="NF389"/>
      <c r="NG389"/>
      <c r="NH389"/>
      <c r="NI389"/>
      <c r="NJ389"/>
      <c r="NK389"/>
      <c r="NL389"/>
      <c r="NM389"/>
      <c r="NN389"/>
      <c r="NO389"/>
      <c r="NP389"/>
      <c r="NQ389"/>
      <c r="NR389"/>
      <c r="NS389"/>
      <c r="NT389"/>
      <c r="NU389"/>
      <c r="NV389"/>
      <c r="NW389"/>
      <c r="NX389"/>
      <c r="NY389"/>
      <c r="NZ389"/>
      <c r="OA389"/>
      <c r="OB389"/>
      <c r="OC389"/>
      <c r="OD389"/>
      <c r="OE389"/>
      <c r="OF389"/>
      <c r="OG389"/>
      <c r="OH389"/>
      <c r="OI389"/>
      <c r="OJ389"/>
      <c r="OK389"/>
      <c r="OL389"/>
      <c r="OM389"/>
      <c r="ON389"/>
      <c r="OO389"/>
      <c r="OP389"/>
      <c r="OQ389"/>
      <c r="OR389"/>
      <c r="OS389"/>
      <c r="OT389"/>
      <c r="OU389"/>
      <c r="OV389"/>
      <c r="OW389"/>
      <c r="OX389"/>
      <c r="OY389"/>
      <c r="OZ389"/>
      <c r="PA389"/>
      <c r="PB389"/>
      <c r="PC389"/>
      <c r="PD389"/>
      <c r="PE389"/>
      <c r="PF389"/>
      <c r="PG389"/>
      <c r="PH389"/>
      <c r="PI389"/>
      <c r="PJ389"/>
      <c r="PK389"/>
      <c r="PL389"/>
      <c r="PM389"/>
      <c r="PN389"/>
      <c r="PO389"/>
      <c r="PP389"/>
      <c r="PQ389"/>
      <c r="PR389"/>
      <c r="PS389"/>
      <c r="PT389"/>
      <c r="PU389"/>
      <c r="PV389"/>
      <c r="PW389"/>
      <c r="PX389"/>
      <c r="PY389"/>
      <c r="PZ389"/>
      <c r="QA389"/>
      <c r="QB389"/>
      <c r="QC389"/>
      <c r="QD389"/>
      <c r="QE389"/>
      <c r="QF389"/>
      <c r="QG389"/>
      <c r="QH389"/>
      <c r="QI389"/>
      <c r="QJ389"/>
      <c r="QK389"/>
      <c r="QL389"/>
      <c r="QM389"/>
      <c r="QN389"/>
      <c r="QO389"/>
      <c r="QP389"/>
      <c r="QQ389"/>
      <c r="QR389"/>
      <c r="QS389"/>
      <c r="QT389"/>
      <c r="QU389"/>
      <c r="QV389"/>
      <c r="QW389"/>
      <c r="QX389"/>
      <c r="QY389"/>
      <c r="QZ389"/>
      <c r="RA389"/>
      <c r="RB389"/>
      <c r="RC389"/>
      <c r="RD389"/>
      <c r="RE389"/>
      <c r="RF389"/>
      <c r="RG389"/>
      <c r="RH389"/>
      <c r="RI389"/>
      <c r="RJ389"/>
      <c r="RK389"/>
      <c r="RL389"/>
      <c r="RM389"/>
      <c r="RN389"/>
      <c r="RO389"/>
      <c r="RP389"/>
      <c r="RQ389"/>
      <c r="RR389"/>
      <c r="RS389"/>
      <c r="RT389"/>
      <c r="RU389"/>
      <c r="RV389"/>
      <c r="RW389"/>
      <c r="RX389"/>
      <c r="RY389"/>
      <c r="RZ389"/>
      <c r="SA389"/>
      <c r="SB389"/>
      <c r="SC389"/>
      <c r="SD389"/>
      <c r="SE389"/>
      <c r="SF389"/>
      <c r="SG389"/>
      <c r="SH389"/>
      <c r="SI389"/>
      <c r="SJ389"/>
      <c r="SK389"/>
      <c r="SL389"/>
      <c r="SM389"/>
      <c r="SN389"/>
      <c r="SO389"/>
      <c r="SP389"/>
      <c r="SQ389"/>
      <c r="SR389"/>
      <c r="SS389"/>
      <c r="ST389"/>
      <c r="SU389"/>
      <c r="SV389"/>
      <c r="SW389"/>
      <c r="SX389"/>
      <c r="SY389"/>
      <c r="SZ389"/>
      <c r="TA389"/>
      <c r="TB389"/>
      <c r="TC389"/>
      <c r="TD389"/>
      <c r="TE389"/>
      <c r="TF389"/>
      <c r="TG389"/>
      <c r="TH389"/>
    </row>
    <row r="390" spans="3:528" x14ac:dyDescent="0.25">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c r="KT390"/>
      <c r="KU390"/>
      <c r="KV390"/>
      <c r="KW390"/>
      <c r="KX390"/>
      <c r="KY390"/>
      <c r="KZ390"/>
      <c r="LA390"/>
      <c r="LB390"/>
      <c r="LC390"/>
      <c r="LD390"/>
      <c r="LE390"/>
      <c r="LF390"/>
      <c r="LG390"/>
      <c r="LH390"/>
      <c r="LI390"/>
      <c r="LJ390"/>
      <c r="LK390"/>
      <c r="LL390"/>
      <c r="LM390"/>
      <c r="LN390"/>
      <c r="LO390"/>
      <c r="LP390"/>
      <c r="LQ390"/>
      <c r="LR390"/>
      <c r="LS390"/>
      <c r="LT390"/>
      <c r="LU390"/>
      <c r="LV390"/>
      <c r="LW390"/>
      <c r="LX390"/>
      <c r="LY390"/>
      <c r="LZ390"/>
      <c r="MA390"/>
      <c r="MB390"/>
      <c r="MC390"/>
      <c r="MD390"/>
      <c r="ME390"/>
      <c r="MF390"/>
      <c r="MG390"/>
      <c r="MH390"/>
      <c r="MI390"/>
      <c r="MJ390"/>
      <c r="MK390"/>
      <c r="ML390"/>
      <c r="MM390"/>
      <c r="MN390"/>
      <c r="MO390"/>
      <c r="MP390"/>
      <c r="MQ390"/>
      <c r="MR390"/>
      <c r="MS390"/>
      <c r="MT390"/>
      <c r="MU390"/>
      <c r="MV390"/>
      <c r="MW390"/>
      <c r="MX390"/>
      <c r="MY390"/>
      <c r="MZ390"/>
      <c r="NA390"/>
      <c r="NB390"/>
      <c r="NC390"/>
      <c r="ND390"/>
      <c r="NE390"/>
      <c r="NF390"/>
      <c r="NG390"/>
      <c r="NH390"/>
      <c r="NI390"/>
      <c r="NJ390"/>
      <c r="NK390"/>
      <c r="NL390"/>
      <c r="NM390"/>
      <c r="NN390"/>
      <c r="NO390"/>
      <c r="NP390"/>
      <c r="NQ390"/>
      <c r="NR390"/>
      <c r="NS390"/>
      <c r="NT390"/>
      <c r="NU390"/>
      <c r="NV390"/>
      <c r="NW390"/>
      <c r="NX390"/>
      <c r="NY390"/>
      <c r="NZ390"/>
      <c r="OA390"/>
      <c r="OB390"/>
      <c r="OC390"/>
      <c r="OD390"/>
      <c r="OE390"/>
      <c r="OF390"/>
      <c r="OG390"/>
      <c r="OH390"/>
      <c r="OI390"/>
      <c r="OJ390"/>
      <c r="OK390"/>
      <c r="OL390"/>
      <c r="OM390"/>
      <c r="ON390"/>
      <c r="OO390"/>
      <c r="OP390"/>
      <c r="OQ390"/>
      <c r="OR390"/>
      <c r="OS390"/>
      <c r="OT390"/>
      <c r="OU390"/>
      <c r="OV390"/>
      <c r="OW390"/>
      <c r="OX390"/>
      <c r="OY390"/>
      <c r="OZ390"/>
      <c r="PA390"/>
      <c r="PB390"/>
      <c r="PC390"/>
      <c r="PD390"/>
      <c r="PE390"/>
      <c r="PF390"/>
      <c r="PG390"/>
      <c r="PH390"/>
      <c r="PI390"/>
      <c r="PJ390"/>
      <c r="PK390"/>
      <c r="PL390"/>
      <c r="PM390"/>
      <c r="PN390"/>
      <c r="PO390"/>
      <c r="PP390"/>
      <c r="PQ390"/>
      <c r="PR390"/>
      <c r="PS390"/>
      <c r="PT390"/>
      <c r="PU390"/>
      <c r="PV390"/>
      <c r="PW390"/>
      <c r="PX390"/>
      <c r="PY390"/>
      <c r="PZ390"/>
      <c r="QA390"/>
      <c r="QB390"/>
      <c r="QC390"/>
      <c r="QD390"/>
      <c r="QE390"/>
      <c r="QF390"/>
      <c r="QG390"/>
      <c r="QH390"/>
      <c r="QI390"/>
      <c r="QJ390"/>
      <c r="QK390"/>
      <c r="QL390"/>
      <c r="QM390"/>
      <c r="QN390"/>
      <c r="QO390"/>
      <c r="QP390"/>
      <c r="QQ390"/>
      <c r="QR390"/>
      <c r="QS390"/>
      <c r="QT390"/>
      <c r="QU390"/>
      <c r="QV390"/>
      <c r="QW390"/>
      <c r="QX390"/>
      <c r="QY390"/>
      <c r="QZ390"/>
      <c r="RA390"/>
      <c r="RB390"/>
      <c r="RC390"/>
      <c r="RD390"/>
      <c r="RE390"/>
      <c r="RF390"/>
      <c r="RG390"/>
      <c r="RH390"/>
      <c r="RI390"/>
      <c r="RJ390"/>
      <c r="RK390"/>
      <c r="RL390"/>
      <c r="RM390"/>
      <c r="RN390"/>
      <c r="RO390"/>
      <c r="RP390"/>
      <c r="RQ390"/>
      <c r="RR390"/>
      <c r="RS390"/>
      <c r="RT390"/>
      <c r="RU390"/>
      <c r="RV390"/>
      <c r="RW390"/>
      <c r="RX390"/>
      <c r="RY390"/>
      <c r="RZ390"/>
      <c r="SA390"/>
      <c r="SB390"/>
      <c r="SC390"/>
      <c r="SD390"/>
      <c r="SE390"/>
      <c r="SF390"/>
      <c r="SG390"/>
      <c r="SH390"/>
      <c r="SI390"/>
      <c r="SJ390"/>
      <c r="SK390"/>
      <c r="SL390"/>
      <c r="SM390"/>
      <c r="SN390"/>
      <c r="SO390"/>
      <c r="SP390"/>
      <c r="SQ390"/>
      <c r="SR390"/>
      <c r="SS390"/>
      <c r="ST390"/>
      <c r="SU390"/>
      <c r="SV390"/>
      <c r="SW390"/>
      <c r="SX390"/>
      <c r="SY390"/>
      <c r="SZ390"/>
      <c r="TA390"/>
      <c r="TB390"/>
      <c r="TC390"/>
      <c r="TD390"/>
      <c r="TE390"/>
      <c r="TF390"/>
      <c r="TG390"/>
      <c r="TH390"/>
    </row>
    <row r="391" spans="3:528" x14ac:dyDescent="0.25">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c r="KT391"/>
      <c r="KU391"/>
      <c r="KV391"/>
      <c r="KW391"/>
      <c r="KX391"/>
      <c r="KY391"/>
      <c r="KZ391"/>
      <c r="LA391"/>
      <c r="LB391"/>
      <c r="LC391"/>
      <c r="LD391"/>
      <c r="LE391"/>
      <c r="LF391"/>
      <c r="LG391"/>
      <c r="LH391"/>
      <c r="LI391"/>
      <c r="LJ391"/>
      <c r="LK391"/>
      <c r="LL391"/>
      <c r="LM391"/>
      <c r="LN391"/>
      <c r="LO391"/>
      <c r="LP391"/>
      <c r="LQ391"/>
      <c r="LR391"/>
      <c r="LS391"/>
      <c r="LT391"/>
      <c r="LU391"/>
      <c r="LV391"/>
      <c r="LW391"/>
      <c r="LX391"/>
      <c r="LY391"/>
      <c r="LZ391"/>
      <c r="MA391"/>
      <c r="MB391"/>
      <c r="MC391"/>
      <c r="MD391"/>
      <c r="ME391"/>
      <c r="MF391"/>
      <c r="MG391"/>
      <c r="MH391"/>
      <c r="MI391"/>
      <c r="MJ391"/>
      <c r="MK391"/>
      <c r="ML391"/>
      <c r="MM391"/>
      <c r="MN391"/>
      <c r="MO391"/>
      <c r="MP391"/>
      <c r="MQ391"/>
      <c r="MR391"/>
      <c r="MS391"/>
      <c r="MT391"/>
      <c r="MU391"/>
      <c r="MV391"/>
      <c r="MW391"/>
      <c r="MX391"/>
      <c r="MY391"/>
      <c r="MZ391"/>
      <c r="NA391"/>
      <c r="NB391"/>
      <c r="NC391"/>
      <c r="ND391"/>
      <c r="NE391"/>
      <c r="NF391"/>
      <c r="NG391"/>
      <c r="NH391"/>
      <c r="NI391"/>
      <c r="NJ391"/>
      <c r="NK391"/>
      <c r="NL391"/>
      <c r="NM391"/>
      <c r="NN391"/>
      <c r="NO391"/>
      <c r="NP391"/>
      <c r="NQ391"/>
      <c r="NR391"/>
      <c r="NS391"/>
      <c r="NT391"/>
      <c r="NU391"/>
      <c r="NV391"/>
      <c r="NW391"/>
      <c r="NX391"/>
      <c r="NY391"/>
      <c r="NZ391"/>
      <c r="OA391"/>
      <c r="OB391"/>
      <c r="OC391"/>
      <c r="OD391"/>
      <c r="OE391"/>
      <c r="OF391"/>
      <c r="OG391"/>
      <c r="OH391"/>
      <c r="OI391"/>
      <c r="OJ391"/>
      <c r="OK391"/>
      <c r="OL391"/>
      <c r="OM391"/>
      <c r="ON391"/>
      <c r="OO391"/>
      <c r="OP391"/>
      <c r="OQ391"/>
      <c r="OR391"/>
      <c r="OS391"/>
      <c r="OT391"/>
      <c r="OU391"/>
      <c r="OV391"/>
      <c r="OW391"/>
      <c r="OX391"/>
      <c r="OY391"/>
      <c r="OZ391"/>
      <c r="PA391"/>
      <c r="PB391"/>
      <c r="PC391"/>
      <c r="PD391"/>
      <c r="PE391"/>
      <c r="PF391"/>
      <c r="PG391"/>
      <c r="PH391"/>
      <c r="PI391"/>
      <c r="PJ391"/>
      <c r="PK391"/>
      <c r="PL391"/>
      <c r="PM391"/>
      <c r="PN391"/>
      <c r="PO391"/>
      <c r="PP391"/>
      <c r="PQ391"/>
      <c r="PR391"/>
      <c r="PS391"/>
      <c r="PT391"/>
      <c r="PU391"/>
      <c r="PV391"/>
      <c r="PW391"/>
      <c r="PX391"/>
      <c r="PY391"/>
      <c r="PZ391"/>
      <c r="QA391"/>
      <c r="QB391"/>
      <c r="QC391"/>
      <c r="QD391"/>
      <c r="QE391"/>
      <c r="QF391"/>
      <c r="QG391"/>
      <c r="QH391"/>
      <c r="QI391"/>
      <c r="QJ391"/>
      <c r="QK391"/>
      <c r="QL391"/>
      <c r="QM391"/>
      <c r="QN391"/>
      <c r="QO391"/>
      <c r="QP391"/>
      <c r="QQ391"/>
      <c r="QR391"/>
      <c r="QS391"/>
      <c r="QT391"/>
      <c r="QU391"/>
      <c r="QV391"/>
      <c r="QW391"/>
      <c r="QX391"/>
      <c r="QY391"/>
      <c r="QZ391"/>
      <c r="RA391"/>
      <c r="RB391"/>
      <c r="RC391"/>
      <c r="RD391"/>
      <c r="RE391"/>
      <c r="RF391"/>
      <c r="RG391"/>
      <c r="RH391"/>
      <c r="RI391"/>
      <c r="RJ391"/>
      <c r="RK391"/>
      <c r="RL391"/>
      <c r="RM391"/>
      <c r="RN391"/>
      <c r="RO391"/>
      <c r="RP391"/>
      <c r="RQ391"/>
      <c r="RR391"/>
      <c r="RS391"/>
      <c r="RT391"/>
      <c r="RU391"/>
      <c r="RV391"/>
      <c r="RW391"/>
      <c r="RX391"/>
      <c r="RY391"/>
      <c r="RZ391"/>
      <c r="SA391"/>
      <c r="SB391"/>
      <c r="SC391"/>
      <c r="SD391"/>
      <c r="SE391"/>
      <c r="SF391"/>
      <c r="SG391"/>
      <c r="SH391"/>
      <c r="SI391"/>
      <c r="SJ391"/>
      <c r="SK391"/>
      <c r="SL391"/>
      <c r="SM391"/>
      <c r="SN391"/>
      <c r="SO391"/>
      <c r="SP391"/>
      <c r="SQ391"/>
      <c r="SR391"/>
      <c r="SS391"/>
      <c r="ST391"/>
      <c r="SU391"/>
      <c r="SV391"/>
      <c r="SW391"/>
      <c r="SX391"/>
      <c r="SY391"/>
      <c r="SZ391"/>
      <c r="TA391"/>
      <c r="TB391"/>
      <c r="TC391"/>
      <c r="TD391"/>
      <c r="TE391"/>
      <c r="TF391"/>
      <c r="TG391"/>
      <c r="TH391"/>
    </row>
    <row r="392" spans="3:528" x14ac:dyDescent="0.25">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c r="KT392"/>
      <c r="KU392"/>
      <c r="KV392"/>
      <c r="KW392"/>
      <c r="KX392"/>
      <c r="KY392"/>
      <c r="KZ392"/>
      <c r="LA392"/>
      <c r="LB392"/>
      <c r="LC392"/>
      <c r="LD392"/>
      <c r="LE392"/>
      <c r="LF392"/>
      <c r="LG392"/>
      <c r="LH392"/>
      <c r="LI392"/>
      <c r="LJ392"/>
      <c r="LK392"/>
      <c r="LL392"/>
      <c r="LM392"/>
      <c r="LN392"/>
      <c r="LO392"/>
      <c r="LP392"/>
      <c r="LQ392"/>
      <c r="LR392"/>
      <c r="LS392"/>
      <c r="LT392"/>
      <c r="LU392"/>
      <c r="LV392"/>
      <c r="LW392"/>
      <c r="LX392"/>
      <c r="LY392"/>
      <c r="LZ392"/>
      <c r="MA392"/>
      <c r="MB392"/>
      <c r="MC392"/>
      <c r="MD392"/>
      <c r="ME392"/>
      <c r="MF392"/>
      <c r="MG392"/>
      <c r="MH392"/>
      <c r="MI392"/>
      <c r="MJ392"/>
      <c r="MK392"/>
      <c r="ML392"/>
      <c r="MM392"/>
      <c r="MN392"/>
      <c r="MO392"/>
      <c r="MP392"/>
      <c r="MQ392"/>
      <c r="MR392"/>
      <c r="MS392"/>
      <c r="MT392"/>
      <c r="MU392"/>
      <c r="MV392"/>
      <c r="MW392"/>
      <c r="MX392"/>
      <c r="MY392"/>
      <c r="MZ392"/>
      <c r="NA392"/>
      <c r="NB392"/>
      <c r="NC392"/>
      <c r="ND392"/>
      <c r="NE392"/>
      <c r="NF392"/>
      <c r="NG392"/>
      <c r="NH392"/>
      <c r="NI392"/>
      <c r="NJ392"/>
      <c r="NK392"/>
      <c r="NL392"/>
      <c r="NM392"/>
      <c r="NN392"/>
      <c r="NO392"/>
      <c r="NP392"/>
      <c r="NQ392"/>
      <c r="NR392"/>
      <c r="NS392"/>
      <c r="NT392"/>
      <c r="NU392"/>
      <c r="NV392"/>
      <c r="NW392"/>
      <c r="NX392"/>
      <c r="NY392"/>
      <c r="NZ392"/>
      <c r="OA392"/>
      <c r="OB392"/>
      <c r="OC392"/>
      <c r="OD392"/>
      <c r="OE392"/>
      <c r="OF392"/>
      <c r="OG392"/>
      <c r="OH392"/>
      <c r="OI392"/>
      <c r="OJ392"/>
      <c r="OK392"/>
      <c r="OL392"/>
      <c r="OM392"/>
      <c r="ON392"/>
      <c r="OO392"/>
      <c r="OP392"/>
      <c r="OQ392"/>
      <c r="OR392"/>
      <c r="OS392"/>
      <c r="OT392"/>
      <c r="OU392"/>
      <c r="OV392"/>
      <c r="OW392"/>
      <c r="OX392"/>
      <c r="OY392"/>
      <c r="OZ392"/>
      <c r="PA392"/>
      <c r="PB392"/>
      <c r="PC392"/>
      <c r="PD392"/>
      <c r="PE392"/>
      <c r="PF392"/>
      <c r="PG392"/>
      <c r="PH392"/>
      <c r="PI392"/>
      <c r="PJ392"/>
      <c r="PK392"/>
      <c r="PL392"/>
      <c r="PM392"/>
      <c r="PN392"/>
      <c r="PO392"/>
      <c r="PP392"/>
      <c r="PQ392"/>
      <c r="PR392"/>
      <c r="PS392"/>
      <c r="PT392"/>
      <c r="PU392"/>
      <c r="PV392"/>
      <c r="PW392"/>
      <c r="PX392"/>
      <c r="PY392"/>
      <c r="PZ392"/>
      <c r="QA392"/>
      <c r="QB392"/>
      <c r="QC392"/>
      <c r="QD392"/>
      <c r="QE392"/>
      <c r="QF392"/>
      <c r="QG392"/>
      <c r="QH392"/>
      <c r="QI392"/>
      <c r="QJ392"/>
      <c r="QK392"/>
      <c r="QL392"/>
      <c r="QM392"/>
      <c r="QN392"/>
      <c r="QO392"/>
      <c r="QP392"/>
      <c r="QQ392"/>
      <c r="QR392"/>
      <c r="QS392"/>
      <c r="QT392"/>
      <c r="QU392"/>
      <c r="QV392"/>
      <c r="QW392"/>
      <c r="QX392"/>
      <c r="QY392"/>
      <c r="QZ392"/>
      <c r="RA392"/>
      <c r="RB392"/>
      <c r="RC392"/>
      <c r="RD392"/>
      <c r="RE392"/>
      <c r="RF392"/>
      <c r="RG392"/>
      <c r="RH392"/>
      <c r="RI392"/>
      <c r="RJ392"/>
      <c r="RK392"/>
      <c r="RL392"/>
      <c r="RM392"/>
      <c r="RN392"/>
      <c r="RO392"/>
      <c r="RP392"/>
      <c r="RQ392"/>
      <c r="RR392"/>
      <c r="RS392"/>
      <c r="RT392"/>
      <c r="RU392"/>
      <c r="RV392"/>
      <c r="RW392"/>
      <c r="RX392"/>
      <c r="RY392"/>
      <c r="RZ392"/>
      <c r="SA392"/>
      <c r="SB392"/>
      <c r="SC392"/>
      <c r="SD392"/>
      <c r="SE392"/>
      <c r="SF392"/>
      <c r="SG392"/>
      <c r="SH392"/>
      <c r="SI392"/>
      <c r="SJ392"/>
      <c r="SK392"/>
      <c r="SL392"/>
      <c r="SM392"/>
      <c r="SN392"/>
      <c r="SO392"/>
      <c r="SP392"/>
      <c r="SQ392"/>
      <c r="SR392"/>
      <c r="SS392"/>
      <c r="ST392"/>
      <c r="SU392"/>
      <c r="SV392"/>
      <c r="SW392"/>
      <c r="SX392"/>
      <c r="SY392"/>
      <c r="SZ392"/>
      <c r="TA392"/>
      <c r="TB392"/>
      <c r="TC392"/>
      <c r="TD392"/>
      <c r="TE392"/>
      <c r="TF392"/>
      <c r="TG392"/>
      <c r="TH392"/>
    </row>
    <row r="393" spans="3:528" x14ac:dyDescent="0.25">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c r="KT393"/>
      <c r="KU393"/>
      <c r="KV393"/>
      <c r="KW393"/>
      <c r="KX393"/>
      <c r="KY393"/>
      <c r="KZ393"/>
      <c r="LA393"/>
      <c r="LB393"/>
      <c r="LC393"/>
      <c r="LD393"/>
      <c r="LE393"/>
      <c r="LF393"/>
      <c r="LG393"/>
      <c r="LH393"/>
      <c r="LI393"/>
      <c r="LJ393"/>
      <c r="LK393"/>
      <c r="LL393"/>
      <c r="LM393"/>
      <c r="LN393"/>
      <c r="LO393"/>
      <c r="LP393"/>
      <c r="LQ393"/>
      <c r="LR393"/>
      <c r="LS393"/>
      <c r="LT393"/>
      <c r="LU393"/>
      <c r="LV393"/>
      <c r="LW393"/>
      <c r="LX393"/>
      <c r="LY393"/>
      <c r="LZ393"/>
      <c r="MA393"/>
      <c r="MB393"/>
      <c r="MC393"/>
      <c r="MD393"/>
      <c r="ME393"/>
      <c r="MF393"/>
      <c r="MG393"/>
      <c r="MH393"/>
      <c r="MI393"/>
      <c r="MJ393"/>
      <c r="MK393"/>
      <c r="ML393"/>
      <c r="MM393"/>
      <c r="MN393"/>
      <c r="MO393"/>
      <c r="MP393"/>
      <c r="MQ393"/>
      <c r="MR393"/>
      <c r="MS393"/>
      <c r="MT393"/>
      <c r="MU393"/>
      <c r="MV393"/>
      <c r="MW393"/>
      <c r="MX393"/>
      <c r="MY393"/>
      <c r="MZ393"/>
      <c r="NA393"/>
      <c r="NB393"/>
      <c r="NC393"/>
      <c r="ND393"/>
      <c r="NE393"/>
      <c r="NF393"/>
      <c r="NG393"/>
      <c r="NH393"/>
      <c r="NI393"/>
      <c r="NJ393"/>
      <c r="NK393"/>
      <c r="NL393"/>
      <c r="NM393"/>
      <c r="NN393"/>
      <c r="NO393"/>
      <c r="NP393"/>
      <c r="NQ393"/>
      <c r="NR393"/>
      <c r="NS393"/>
      <c r="NT393"/>
      <c r="NU393"/>
      <c r="NV393"/>
      <c r="NW393"/>
      <c r="NX393"/>
      <c r="NY393"/>
      <c r="NZ393"/>
      <c r="OA393"/>
      <c r="OB393"/>
      <c r="OC393"/>
      <c r="OD393"/>
      <c r="OE393"/>
      <c r="OF393"/>
      <c r="OG393"/>
      <c r="OH393"/>
      <c r="OI393"/>
      <c r="OJ393"/>
      <c r="OK393"/>
      <c r="OL393"/>
      <c r="OM393"/>
      <c r="ON393"/>
      <c r="OO393"/>
      <c r="OP393"/>
      <c r="OQ393"/>
      <c r="OR393"/>
      <c r="OS393"/>
      <c r="OT393"/>
      <c r="OU393"/>
      <c r="OV393"/>
      <c r="OW393"/>
      <c r="OX393"/>
      <c r="OY393"/>
      <c r="OZ393"/>
      <c r="PA393"/>
      <c r="PB393"/>
      <c r="PC393"/>
      <c r="PD393"/>
      <c r="PE393"/>
      <c r="PF393"/>
      <c r="PG393"/>
      <c r="PH393"/>
      <c r="PI393"/>
      <c r="PJ393"/>
      <c r="PK393"/>
      <c r="PL393"/>
      <c r="PM393"/>
      <c r="PN393"/>
      <c r="PO393"/>
      <c r="PP393"/>
      <c r="PQ393"/>
      <c r="PR393"/>
      <c r="PS393"/>
      <c r="PT393"/>
      <c r="PU393"/>
      <c r="PV393"/>
      <c r="PW393"/>
      <c r="PX393"/>
      <c r="PY393"/>
      <c r="PZ393"/>
      <c r="QA393"/>
      <c r="QB393"/>
      <c r="QC393"/>
      <c r="QD393"/>
      <c r="QE393"/>
      <c r="QF393"/>
      <c r="QG393"/>
      <c r="QH393"/>
      <c r="QI393"/>
      <c r="QJ393"/>
      <c r="QK393"/>
      <c r="QL393"/>
      <c r="QM393"/>
      <c r="QN393"/>
      <c r="QO393"/>
      <c r="QP393"/>
      <c r="QQ393"/>
      <c r="QR393"/>
      <c r="QS393"/>
      <c r="QT393"/>
      <c r="QU393"/>
      <c r="QV393"/>
      <c r="QW393"/>
      <c r="QX393"/>
      <c r="QY393"/>
      <c r="QZ393"/>
      <c r="RA393"/>
      <c r="RB393"/>
      <c r="RC393"/>
      <c r="RD393"/>
      <c r="RE393"/>
      <c r="RF393"/>
      <c r="RG393"/>
      <c r="RH393"/>
      <c r="RI393"/>
      <c r="RJ393"/>
      <c r="RK393"/>
      <c r="RL393"/>
      <c r="RM393"/>
      <c r="RN393"/>
      <c r="RO393"/>
      <c r="RP393"/>
      <c r="RQ393"/>
      <c r="RR393"/>
      <c r="RS393"/>
      <c r="RT393"/>
      <c r="RU393"/>
      <c r="RV393"/>
      <c r="RW393"/>
      <c r="RX393"/>
      <c r="RY393"/>
      <c r="RZ393"/>
      <c r="SA393"/>
      <c r="SB393"/>
      <c r="SC393"/>
      <c r="SD393"/>
      <c r="SE393"/>
      <c r="SF393"/>
      <c r="SG393"/>
      <c r="SH393"/>
      <c r="SI393"/>
      <c r="SJ393"/>
      <c r="SK393"/>
      <c r="SL393"/>
      <c r="SM393"/>
      <c r="SN393"/>
      <c r="SO393"/>
      <c r="SP393"/>
      <c r="SQ393"/>
      <c r="SR393"/>
      <c r="SS393"/>
      <c r="ST393"/>
      <c r="SU393"/>
      <c r="SV393"/>
      <c r="SW393"/>
      <c r="SX393"/>
      <c r="SY393"/>
      <c r="SZ393"/>
      <c r="TA393"/>
      <c r="TB393"/>
      <c r="TC393"/>
      <c r="TD393"/>
      <c r="TE393"/>
      <c r="TF393"/>
      <c r="TG393"/>
      <c r="TH393"/>
    </row>
    <row r="394" spans="3:528" x14ac:dyDescent="0.25">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c r="KT394"/>
      <c r="KU394"/>
      <c r="KV394"/>
      <c r="KW394"/>
      <c r="KX394"/>
      <c r="KY394"/>
      <c r="KZ394"/>
      <c r="LA394"/>
      <c r="LB394"/>
      <c r="LC394"/>
      <c r="LD394"/>
      <c r="LE394"/>
      <c r="LF394"/>
      <c r="LG394"/>
      <c r="LH394"/>
      <c r="LI394"/>
      <c r="LJ394"/>
      <c r="LK394"/>
      <c r="LL394"/>
      <c r="LM394"/>
      <c r="LN394"/>
      <c r="LO394"/>
      <c r="LP394"/>
      <c r="LQ394"/>
      <c r="LR394"/>
      <c r="LS394"/>
      <c r="LT394"/>
      <c r="LU394"/>
      <c r="LV394"/>
      <c r="LW394"/>
      <c r="LX394"/>
      <c r="LY394"/>
      <c r="LZ394"/>
      <c r="MA394"/>
      <c r="MB394"/>
      <c r="MC394"/>
      <c r="MD394"/>
      <c r="ME394"/>
      <c r="MF394"/>
      <c r="MG394"/>
      <c r="MH394"/>
      <c r="MI394"/>
      <c r="MJ394"/>
      <c r="MK394"/>
      <c r="ML394"/>
      <c r="MM394"/>
      <c r="MN394"/>
      <c r="MO394"/>
      <c r="MP394"/>
      <c r="MQ394"/>
      <c r="MR394"/>
      <c r="MS394"/>
      <c r="MT394"/>
      <c r="MU394"/>
      <c r="MV394"/>
      <c r="MW394"/>
      <c r="MX394"/>
      <c r="MY394"/>
      <c r="MZ394"/>
      <c r="NA394"/>
      <c r="NB394"/>
      <c r="NC394"/>
      <c r="ND394"/>
      <c r="NE394"/>
      <c r="NF394"/>
      <c r="NG394"/>
      <c r="NH394"/>
      <c r="NI394"/>
      <c r="NJ394"/>
      <c r="NK394"/>
      <c r="NL394"/>
      <c r="NM394"/>
      <c r="NN394"/>
      <c r="NO394"/>
      <c r="NP394"/>
      <c r="NQ394"/>
      <c r="NR394"/>
      <c r="NS394"/>
      <c r="NT394"/>
      <c r="NU394"/>
      <c r="NV394"/>
      <c r="NW394"/>
      <c r="NX394"/>
      <c r="NY394"/>
      <c r="NZ394"/>
      <c r="OA394"/>
      <c r="OB394"/>
      <c r="OC394"/>
      <c r="OD394"/>
      <c r="OE394"/>
      <c r="OF394"/>
      <c r="OG394"/>
      <c r="OH394"/>
      <c r="OI394"/>
      <c r="OJ394"/>
      <c r="OK394"/>
      <c r="OL394"/>
      <c r="OM394"/>
      <c r="ON394"/>
      <c r="OO394"/>
      <c r="OP394"/>
      <c r="OQ394"/>
      <c r="OR394"/>
      <c r="OS394"/>
      <c r="OT394"/>
      <c r="OU394"/>
      <c r="OV394"/>
      <c r="OW394"/>
      <c r="OX394"/>
      <c r="OY394"/>
      <c r="OZ394"/>
      <c r="PA394"/>
      <c r="PB394"/>
      <c r="PC394"/>
      <c r="PD394"/>
      <c r="PE394"/>
      <c r="PF394"/>
      <c r="PG394"/>
      <c r="PH394"/>
      <c r="PI394"/>
      <c r="PJ394"/>
      <c r="PK394"/>
      <c r="PL394"/>
      <c r="PM394"/>
      <c r="PN394"/>
      <c r="PO394"/>
      <c r="PP394"/>
      <c r="PQ394"/>
      <c r="PR394"/>
      <c r="PS394"/>
      <c r="PT394"/>
      <c r="PU394"/>
      <c r="PV394"/>
      <c r="PW394"/>
      <c r="PX394"/>
      <c r="PY394"/>
      <c r="PZ394"/>
      <c r="QA394"/>
      <c r="QB394"/>
      <c r="QC394"/>
      <c r="QD394"/>
      <c r="QE394"/>
      <c r="QF394"/>
      <c r="QG394"/>
      <c r="QH394"/>
      <c r="QI394"/>
      <c r="QJ394"/>
      <c r="QK394"/>
      <c r="QL394"/>
      <c r="QM394"/>
      <c r="QN394"/>
      <c r="QO394"/>
      <c r="QP394"/>
      <c r="QQ394"/>
      <c r="QR394"/>
      <c r="QS394"/>
      <c r="QT394"/>
      <c r="QU394"/>
      <c r="QV394"/>
      <c r="QW394"/>
      <c r="QX394"/>
      <c r="QY394"/>
      <c r="QZ394"/>
      <c r="RA394"/>
      <c r="RB394"/>
      <c r="RC394"/>
      <c r="RD394"/>
      <c r="RE394"/>
      <c r="RF394"/>
      <c r="RG394"/>
      <c r="RH394"/>
      <c r="RI394"/>
      <c r="RJ394"/>
      <c r="RK394"/>
      <c r="RL394"/>
      <c r="RM394"/>
      <c r="RN394"/>
      <c r="RO394"/>
      <c r="RP394"/>
      <c r="RQ394"/>
      <c r="RR394"/>
      <c r="RS394"/>
      <c r="RT394"/>
      <c r="RU394"/>
      <c r="RV394"/>
      <c r="RW394"/>
      <c r="RX394"/>
      <c r="RY394"/>
      <c r="RZ394"/>
      <c r="SA394"/>
      <c r="SB394"/>
      <c r="SC394"/>
      <c r="SD394"/>
      <c r="SE394"/>
      <c r="SF394"/>
      <c r="SG394"/>
      <c r="SH394"/>
      <c r="SI394"/>
      <c r="SJ394"/>
      <c r="SK394"/>
      <c r="SL394"/>
      <c r="SM394"/>
      <c r="SN394"/>
      <c r="SO394"/>
      <c r="SP394"/>
      <c r="SQ394"/>
      <c r="SR394"/>
      <c r="SS394"/>
      <c r="ST394"/>
      <c r="SU394"/>
      <c r="SV394"/>
      <c r="SW394"/>
      <c r="SX394"/>
      <c r="SY394"/>
      <c r="SZ394"/>
      <c r="TA394"/>
      <c r="TB394"/>
      <c r="TC394"/>
      <c r="TD394"/>
      <c r="TE394"/>
      <c r="TF394"/>
      <c r="TG394"/>
      <c r="TH394"/>
    </row>
    <row r="395" spans="3:528" x14ac:dyDescent="0.2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c r="KT395"/>
      <c r="KU395"/>
      <c r="KV395"/>
      <c r="KW395"/>
      <c r="KX395"/>
      <c r="KY395"/>
      <c r="KZ395"/>
      <c r="LA395"/>
      <c r="LB395"/>
      <c r="LC395"/>
      <c r="LD395"/>
      <c r="LE395"/>
      <c r="LF395"/>
      <c r="LG395"/>
      <c r="LH395"/>
      <c r="LI395"/>
      <c r="LJ395"/>
      <c r="LK395"/>
      <c r="LL395"/>
      <c r="LM395"/>
      <c r="LN395"/>
      <c r="LO395"/>
      <c r="LP395"/>
      <c r="LQ395"/>
      <c r="LR395"/>
      <c r="LS395"/>
      <c r="LT395"/>
      <c r="LU395"/>
      <c r="LV395"/>
      <c r="LW395"/>
      <c r="LX395"/>
      <c r="LY395"/>
      <c r="LZ395"/>
      <c r="MA395"/>
      <c r="MB395"/>
      <c r="MC395"/>
      <c r="MD395"/>
      <c r="ME395"/>
      <c r="MF395"/>
      <c r="MG395"/>
      <c r="MH395"/>
      <c r="MI395"/>
      <c r="MJ395"/>
      <c r="MK395"/>
      <c r="ML395"/>
      <c r="MM395"/>
      <c r="MN395"/>
      <c r="MO395"/>
      <c r="MP395"/>
      <c r="MQ395"/>
      <c r="MR395"/>
      <c r="MS395"/>
      <c r="MT395"/>
      <c r="MU395"/>
      <c r="MV395"/>
      <c r="MW395"/>
      <c r="MX395"/>
      <c r="MY395"/>
      <c r="MZ395"/>
      <c r="NA395"/>
      <c r="NB395"/>
      <c r="NC395"/>
      <c r="ND395"/>
      <c r="NE395"/>
      <c r="NF395"/>
      <c r="NG395"/>
      <c r="NH395"/>
      <c r="NI395"/>
      <c r="NJ395"/>
      <c r="NK395"/>
      <c r="NL395"/>
      <c r="NM395"/>
      <c r="NN395"/>
      <c r="NO395"/>
      <c r="NP395"/>
      <c r="NQ395"/>
      <c r="NR395"/>
      <c r="NS395"/>
      <c r="NT395"/>
      <c r="NU395"/>
      <c r="NV395"/>
      <c r="NW395"/>
      <c r="NX395"/>
      <c r="NY395"/>
      <c r="NZ395"/>
      <c r="OA395"/>
      <c r="OB395"/>
      <c r="OC395"/>
      <c r="OD395"/>
      <c r="OE395"/>
      <c r="OF395"/>
      <c r="OG395"/>
      <c r="OH395"/>
      <c r="OI395"/>
      <c r="OJ395"/>
      <c r="OK395"/>
      <c r="OL395"/>
      <c r="OM395"/>
      <c r="ON395"/>
      <c r="OO395"/>
      <c r="OP395"/>
      <c r="OQ395"/>
      <c r="OR395"/>
      <c r="OS395"/>
      <c r="OT395"/>
      <c r="OU395"/>
      <c r="OV395"/>
      <c r="OW395"/>
      <c r="OX395"/>
      <c r="OY395"/>
      <c r="OZ395"/>
      <c r="PA395"/>
      <c r="PB395"/>
      <c r="PC395"/>
      <c r="PD395"/>
      <c r="PE395"/>
      <c r="PF395"/>
      <c r="PG395"/>
      <c r="PH395"/>
      <c r="PI395"/>
      <c r="PJ395"/>
      <c r="PK395"/>
      <c r="PL395"/>
      <c r="PM395"/>
      <c r="PN395"/>
      <c r="PO395"/>
      <c r="PP395"/>
      <c r="PQ395"/>
      <c r="PR395"/>
      <c r="PS395"/>
      <c r="PT395"/>
      <c r="PU395"/>
      <c r="PV395"/>
      <c r="PW395"/>
      <c r="PX395"/>
      <c r="PY395"/>
      <c r="PZ395"/>
      <c r="QA395"/>
      <c r="QB395"/>
      <c r="QC395"/>
      <c r="QD395"/>
      <c r="QE395"/>
      <c r="QF395"/>
      <c r="QG395"/>
      <c r="QH395"/>
      <c r="QI395"/>
      <c r="QJ395"/>
      <c r="QK395"/>
      <c r="QL395"/>
      <c r="QM395"/>
      <c r="QN395"/>
      <c r="QO395"/>
      <c r="QP395"/>
      <c r="QQ395"/>
      <c r="QR395"/>
      <c r="QS395"/>
      <c r="QT395"/>
      <c r="QU395"/>
      <c r="QV395"/>
      <c r="QW395"/>
      <c r="QX395"/>
      <c r="QY395"/>
      <c r="QZ395"/>
      <c r="RA395"/>
      <c r="RB395"/>
      <c r="RC395"/>
      <c r="RD395"/>
      <c r="RE395"/>
      <c r="RF395"/>
      <c r="RG395"/>
      <c r="RH395"/>
      <c r="RI395"/>
      <c r="RJ395"/>
      <c r="RK395"/>
      <c r="RL395"/>
      <c r="RM395"/>
      <c r="RN395"/>
      <c r="RO395"/>
      <c r="RP395"/>
      <c r="RQ395"/>
      <c r="RR395"/>
      <c r="RS395"/>
      <c r="RT395"/>
      <c r="RU395"/>
      <c r="RV395"/>
      <c r="RW395"/>
      <c r="RX395"/>
      <c r="RY395"/>
      <c r="RZ395"/>
      <c r="SA395"/>
      <c r="SB395"/>
      <c r="SC395"/>
      <c r="SD395"/>
      <c r="SE395"/>
      <c r="SF395"/>
      <c r="SG395"/>
      <c r="SH395"/>
      <c r="SI395"/>
      <c r="SJ395"/>
      <c r="SK395"/>
      <c r="SL395"/>
      <c r="SM395"/>
      <c r="SN395"/>
      <c r="SO395"/>
      <c r="SP395"/>
      <c r="SQ395"/>
      <c r="SR395"/>
      <c r="SS395"/>
      <c r="ST395"/>
      <c r="SU395"/>
      <c r="SV395"/>
      <c r="SW395"/>
      <c r="SX395"/>
      <c r="SY395"/>
      <c r="SZ395"/>
      <c r="TA395"/>
      <c r="TB395"/>
      <c r="TC395"/>
      <c r="TD395"/>
      <c r="TE395"/>
      <c r="TF395"/>
      <c r="TG395"/>
      <c r="TH395"/>
    </row>
    <row r="396" spans="3:528" x14ac:dyDescent="0.25">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c r="KT396"/>
      <c r="KU396"/>
      <c r="KV396"/>
      <c r="KW396"/>
      <c r="KX396"/>
      <c r="KY396"/>
      <c r="KZ396"/>
      <c r="LA396"/>
      <c r="LB396"/>
      <c r="LC396"/>
      <c r="LD396"/>
      <c r="LE396"/>
      <c r="LF396"/>
      <c r="LG396"/>
      <c r="LH396"/>
      <c r="LI396"/>
      <c r="LJ396"/>
      <c r="LK396"/>
      <c r="LL396"/>
      <c r="LM396"/>
      <c r="LN396"/>
      <c r="LO396"/>
      <c r="LP396"/>
      <c r="LQ396"/>
      <c r="LR396"/>
      <c r="LS396"/>
      <c r="LT396"/>
      <c r="LU396"/>
      <c r="LV396"/>
      <c r="LW396"/>
      <c r="LX396"/>
      <c r="LY396"/>
      <c r="LZ396"/>
      <c r="MA396"/>
      <c r="MB396"/>
      <c r="MC396"/>
      <c r="MD396"/>
      <c r="ME396"/>
      <c r="MF396"/>
      <c r="MG396"/>
      <c r="MH396"/>
      <c r="MI396"/>
      <c r="MJ396"/>
      <c r="MK396"/>
      <c r="ML396"/>
      <c r="MM396"/>
      <c r="MN396"/>
      <c r="MO396"/>
      <c r="MP396"/>
      <c r="MQ396"/>
      <c r="MR396"/>
      <c r="MS396"/>
      <c r="MT396"/>
      <c r="MU396"/>
      <c r="MV396"/>
      <c r="MW396"/>
      <c r="MX396"/>
      <c r="MY396"/>
      <c r="MZ396"/>
      <c r="NA396"/>
      <c r="NB396"/>
      <c r="NC396"/>
      <c r="ND396"/>
      <c r="NE396"/>
      <c r="NF396"/>
      <c r="NG396"/>
      <c r="NH396"/>
      <c r="NI396"/>
      <c r="NJ396"/>
      <c r="NK396"/>
      <c r="NL396"/>
      <c r="NM396"/>
      <c r="NN396"/>
      <c r="NO396"/>
      <c r="NP396"/>
      <c r="NQ396"/>
      <c r="NR396"/>
      <c r="NS396"/>
      <c r="NT396"/>
      <c r="NU396"/>
      <c r="NV396"/>
      <c r="NW396"/>
      <c r="NX396"/>
      <c r="NY396"/>
      <c r="NZ396"/>
      <c r="OA396"/>
      <c r="OB396"/>
      <c r="OC396"/>
      <c r="OD396"/>
      <c r="OE396"/>
      <c r="OF396"/>
      <c r="OG396"/>
      <c r="OH396"/>
      <c r="OI396"/>
      <c r="OJ396"/>
      <c r="OK396"/>
      <c r="OL396"/>
      <c r="OM396"/>
      <c r="ON396"/>
      <c r="OO396"/>
      <c r="OP396"/>
      <c r="OQ396"/>
      <c r="OR396"/>
      <c r="OS396"/>
      <c r="OT396"/>
      <c r="OU396"/>
      <c r="OV396"/>
      <c r="OW396"/>
      <c r="OX396"/>
      <c r="OY396"/>
      <c r="OZ396"/>
      <c r="PA396"/>
      <c r="PB396"/>
      <c r="PC396"/>
      <c r="PD396"/>
      <c r="PE396"/>
      <c r="PF396"/>
      <c r="PG396"/>
      <c r="PH396"/>
      <c r="PI396"/>
      <c r="PJ396"/>
      <c r="PK396"/>
      <c r="PL396"/>
      <c r="PM396"/>
      <c r="PN396"/>
      <c r="PO396"/>
      <c r="PP396"/>
      <c r="PQ396"/>
      <c r="PR396"/>
      <c r="PS396"/>
      <c r="PT396"/>
      <c r="PU396"/>
      <c r="PV396"/>
      <c r="PW396"/>
      <c r="PX396"/>
      <c r="PY396"/>
      <c r="PZ396"/>
      <c r="QA396"/>
      <c r="QB396"/>
      <c r="QC396"/>
      <c r="QD396"/>
      <c r="QE396"/>
      <c r="QF396"/>
      <c r="QG396"/>
      <c r="QH396"/>
      <c r="QI396"/>
      <c r="QJ396"/>
      <c r="QK396"/>
      <c r="QL396"/>
      <c r="QM396"/>
      <c r="QN396"/>
      <c r="QO396"/>
      <c r="QP396"/>
      <c r="QQ396"/>
      <c r="QR396"/>
      <c r="QS396"/>
      <c r="QT396"/>
      <c r="QU396"/>
      <c r="QV396"/>
      <c r="QW396"/>
      <c r="QX396"/>
      <c r="QY396"/>
      <c r="QZ396"/>
      <c r="RA396"/>
      <c r="RB396"/>
      <c r="RC396"/>
      <c r="RD396"/>
      <c r="RE396"/>
      <c r="RF396"/>
      <c r="RG396"/>
      <c r="RH396"/>
      <c r="RI396"/>
      <c r="RJ396"/>
      <c r="RK396"/>
      <c r="RL396"/>
      <c r="RM396"/>
      <c r="RN396"/>
      <c r="RO396"/>
      <c r="RP396"/>
      <c r="RQ396"/>
      <c r="RR396"/>
      <c r="RS396"/>
      <c r="RT396"/>
      <c r="RU396"/>
      <c r="RV396"/>
      <c r="RW396"/>
      <c r="RX396"/>
      <c r="RY396"/>
      <c r="RZ396"/>
      <c r="SA396"/>
      <c r="SB396"/>
      <c r="SC396"/>
      <c r="SD396"/>
      <c r="SE396"/>
      <c r="SF396"/>
      <c r="SG396"/>
      <c r="SH396"/>
      <c r="SI396"/>
      <c r="SJ396"/>
      <c r="SK396"/>
      <c r="SL396"/>
      <c r="SM396"/>
      <c r="SN396"/>
      <c r="SO396"/>
      <c r="SP396"/>
      <c r="SQ396"/>
      <c r="SR396"/>
      <c r="SS396"/>
      <c r="ST396"/>
      <c r="SU396"/>
      <c r="SV396"/>
      <c r="SW396"/>
      <c r="SX396"/>
      <c r="SY396"/>
      <c r="SZ396"/>
      <c r="TA396"/>
      <c r="TB396"/>
      <c r="TC396"/>
      <c r="TD396"/>
      <c r="TE396"/>
      <c r="TF396"/>
      <c r="TG396"/>
      <c r="TH396"/>
    </row>
    <row r="397" spans="3:528" x14ac:dyDescent="0.25">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c r="KT397"/>
      <c r="KU397"/>
      <c r="KV397"/>
      <c r="KW397"/>
      <c r="KX397"/>
      <c r="KY397"/>
      <c r="KZ397"/>
      <c r="LA397"/>
      <c r="LB397"/>
      <c r="LC397"/>
      <c r="LD397"/>
      <c r="LE397"/>
      <c r="LF397"/>
      <c r="LG397"/>
      <c r="LH397"/>
      <c r="LI397"/>
      <c r="LJ397"/>
      <c r="LK397"/>
      <c r="LL397"/>
      <c r="LM397"/>
      <c r="LN397"/>
      <c r="LO397"/>
      <c r="LP397"/>
      <c r="LQ397"/>
      <c r="LR397"/>
      <c r="LS397"/>
      <c r="LT397"/>
      <c r="LU397"/>
      <c r="LV397"/>
      <c r="LW397"/>
      <c r="LX397"/>
      <c r="LY397"/>
      <c r="LZ397"/>
      <c r="MA397"/>
      <c r="MB397"/>
      <c r="MC397"/>
      <c r="MD397"/>
      <c r="ME397"/>
      <c r="MF397"/>
      <c r="MG397"/>
      <c r="MH397"/>
      <c r="MI397"/>
      <c r="MJ397"/>
      <c r="MK397"/>
      <c r="ML397"/>
      <c r="MM397"/>
      <c r="MN397"/>
      <c r="MO397"/>
      <c r="MP397"/>
      <c r="MQ397"/>
      <c r="MR397"/>
      <c r="MS397"/>
      <c r="MT397"/>
      <c r="MU397"/>
      <c r="MV397"/>
      <c r="MW397"/>
      <c r="MX397"/>
      <c r="MY397"/>
      <c r="MZ397"/>
      <c r="NA397"/>
      <c r="NB397"/>
      <c r="NC397"/>
      <c r="ND397"/>
      <c r="NE397"/>
      <c r="NF397"/>
      <c r="NG397"/>
      <c r="NH397"/>
      <c r="NI397"/>
      <c r="NJ397"/>
      <c r="NK397"/>
      <c r="NL397"/>
      <c r="NM397"/>
      <c r="NN397"/>
      <c r="NO397"/>
      <c r="NP397"/>
      <c r="NQ397"/>
      <c r="NR397"/>
      <c r="NS397"/>
      <c r="NT397"/>
      <c r="NU397"/>
      <c r="NV397"/>
      <c r="NW397"/>
      <c r="NX397"/>
      <c r="NY397"/>
      <c r="NZ397"/>
      <c r="OA397"/>
      <c r="OB397"/>
      <c r="OC397"/>
      <c r="OD397"/>
      <c r="OE397"/>
      <c r="OF397"/>
      <c r="OG397"/>
      <c r="OH397"/>
      <c r="OI397"/>
      <c r="OJ397"/>
      <c r="OK397"/>
      <c r="OL397"/>
      <c r="OM397"/>
      <c r="ON397"/>
      <c r="OO397"/>
      <c r="OP397"/>
      <c r="OQ397"/>
      <c r="OR397"/>
      <c r="OS397"/>
      <c r="OT397"/>
      <c r="OU397"/>
      <c r="OV397"/>
      <c r="OW397"/>
      <c r="OX397"/>
      <c r="OY397"/>
      <c r="OZ397"/>
      <c r="PA397"/>
      <c r="PB397"/>
      <c r="PC397"/>
      <c r="PD397"/>
      <c r="PE397"/>
      <c r="PF397"/>
      <c r="PG397"/>
      <c r="PH397"/>
      <c r="PI397"/>
      <c r="PJ397"/>
      <c r="PK397"/>
      <c r="PL397"/>
      <c r="PM397"/>
      <c r="PN397"/>
      <c r="PO397"/>
      <c r="PP397"/>
      <c r="PQ397"/>
      <c r="PR397"/>
      <c r="PS397"/>
      <c r="PT397"/>
      <c r="PU397"/>
      <c r="PV397"/>
      <c r="PW397"/>
      <c r="PX397"/>
      <c r="PY397"/>
      <c r="PZ397"/>
      <c r="QA397"/>
      <c r="QB397"/>
      <c r="QC397"/>
      <c r="QD397"/>
      <c r="QE397"/>
      <c r="QF397"/>
      <c r="QG397"/>
      <c r="QH397"/>
      <c r="QI397"/>
      <c r="QJ397"/>
      <c r="QK397"/>
      <c r="QL397"/>
      <c r="QM397"/>
      <c r="QN397"/>
      <c r="QO397"/>
      <c r="QP397"/>
      <c r="QQ397"/>
      <c r="QR397"/>
      <c r="QS397"/>
      <c r="QT397"/>
      <c r="QU397"/>
      <c r="QV397"/>
      <c r="QW397"/>
      <c r="QX397"/>
      <c r="QY397"/>
      <c r="QZ397"/>
      <c r="RA397"/>
      <c r="RB397"/>
      <c r="RC397"/>
      <c r="RD397"/>
      <c r="RE397"/>
      <c r="RF397"/>
      <c r="RG397"/>
      <c r="RH397"/>
      <c r="RI397"/>
      <c r="RJ397"/>
      <c r="RK397"/>
      <c r="RL397"/>
      <c r="RM397"/>
      <c r="RN397"/>
      <c r="RO397"/>
      <c r="RP397"/>
      <c r="RQ397"/>
      <c r="RR397"/>
      <c r="RS397"/>
      <c r="RT397"/>
      <c r="RU397"/>
      <c r="RV397"/>
      <c r="RW397"/>
      <c r="RX397"/>
      <c r="RY397"/>
      <c r="RZ397"/>
      <c r="SA397"/>
      <c r="SB397"/>
      <c r="SC397"/>
      <c r="SD397"/>
      <c r="SE397"/>
      <c r="SF397"/>
      <c r="SG397"/>
      <c r="SH397"/>
      <c r="SI397"/>
      <c r="SJ397"/>
      <c r="SK397"/>
      <c r="SL397"/>
      <c r="SM397"/>
      <c r="SN397"/>
      <c r="SO397"/>
      <c r="SP397"/>
      <c r="SQ397"/>
      <c r="SR397"/>
      <c r="SS397"/>
      <c r="ST397"/>
      <c r="SU397"/>
      <c r="SV397"/>
      <c r="SW397"/>
      <c r="SX397"/>
      <c r="SY397"/>
      <c r="SZ397"/>
      <c r="TA397"/>
      <c r="TB397"/>
      <c r="TC397"/>
      <c r="TD397"/>
      <c r="TE397"/>
      <c r="TF397"/>
      <c r="TG397"/>
      <c r="TH397"/>
    </row>
    <row r="398" spans="3:528" x14ac:dyDescent="0.25">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c r="KT398"/>
      <c r="KU398"/>
      <c r="KV398"/>
      <c r="KW398"/>
      <c r="KX398"/>
      <c r="KY398"/>
      <c r="KZ398"/>
      <c r="LA398"/>
      <c r="LB398"/>
      <c r="LC398"/>
      <c r="LD398"/>
      <c r="LE398"/>
      <c r="LF398"/>
      <c r="LG398"/>
      <c r="LH398"/>
      <c r="LI398"/>
      <c r="LJ398"/>
      <c r="LK398"/>
      <c r="LL398"/>
      <c r="LM398"/>
      <c r="LN398"/>
      <c r="LO398"/>
      <c r="LP398"/>
      <c r="LQ398"/>
      <c r="LR398"/>
      <c r="LS398"/>
      <c r="LT398"/>
      <c r="LU398"/>
      <c r="LV398"/>
      <c r="LW398"/>
      <c r="LX398"/>
      <c r="LY398"/>
      <c r="LZ398"/>
      <c r="MA398"/>
      <c r="MB398"/>
      <c r="MC398"/>
      <c r="MD398"/>
      <c r="ME398"/>
      <c r="MF398"/>
      <c r="MG398"/>
      <c r="MH398"/>
      <c r="MI398"/>
      <c r="MJ398"/>
      <c r="MK398"/>
      <c r="ML398"/>
      <c r="MM398"/>
      <c r="MN398"/>
      <c r="MO398"/>
      <c r="MP398"/>
      <c r="MQ398"/>
      <c r="MR398"/>
      <c r="MS398"/>
      <c r="MT398"/>
      <c r="MU398"/>
      <c r="MV398"/>
      <c r="MW398"/>
      <c r="MX398"/>
      <c r="MY398"/>
      <c r="MZ398"/>
      <c r="NA398"/>
      <c r="NB398"/>
      <c r="NC398"/>
      <c r="ND398"/>
      <c r="NE398"/>
      <c r="NF398"/>
      <c r="NG398"/>
      <c r="NH398"/>
      <c r="NI398"/>
      <c r="NJ398"/>
      <c r="NK398"/>
      <c r="NL398"/>
      <c r="NM398"/>
      <c r="NN398"/>
      <c r="NO398"/>
      <c r="NP398"/>
      <c r="NQ398"/>
      <c r="NR398"/>
      <c r="NS398"/>
      <c r="NT398"/>
      <c r="NU398"/>
      <c r="NV398"/>
      <c r="NW398"/>
      <c r="NX398"/>
      <c r="NY398"/>
      <c r="NZ398"/>
      <c r="OA398"/>
      <c r="OB398"/>
      <c r="OC398"/>
      <c r="OD398"/>
      <c r="OE398"/>
      <c r="OF398"/>
      <c r="OG398"/>
      <c r="OH398"/>
      <c r="OI398"/>
      <c r="OJ398"/>
      <c r="OK398"/>
      <c r="OL398"/>
      <c r="OM398"/>
      <c r="ON398"/>
      <c r="OO398"/>
      <c r="OP398"/>
      <c r="OQ398"/>
      <c r="OR398"/>
      <c r="OS398"/>
      <c r="OT398"/>
      <c r="OU398"/>
      <c r="OV398"/>
      <c r="OW398"/>
      <c r="OX398"/>
      <c r="OY398"/>
      <c r="OZ398"/>
      <c r="PA398"/>
      <c r="PB398"/>
      <c r="PC398"/>
      <c r="PD398"/>
      <c r="PE398"/>
      <c r="PF398"/>
      <c r="PG398"/>
      <c r="PH398"/>
      <c r="PI398"/>
      <c r="PJ398"/>
      <c r="PK398"/>
      <c r="PL398"/>
      <c r="PM398"/>
      <c r="PN398"/>
      <c r="PO398"/>
      <c r="PP398"/>
      <c r="PQ398"/>
      <c r="PR398"/>
      <c r="PS398"/>
      <c r="PT398"/>
      <c r="PU398"/>
      <c r="PV398"/>
      <c r="PW398"/>
      <c r="PX398"/>
      <c r="PY398"/>
      <c r="PZ398"/>
      <c r="QA398"/>
      <c r="QB398"/>
      <c r="QC398"/>
      <c r="QD398"/>
      <c r="QE398"/>
      <c r="QF398"/>
      <c r="QG398"/>
      <c r="QH398"/>
      <c r="QI398"/>
      <c r="QJ398"/>
      <c r="QK398"/>
      <c r="QL398"/>
      <c r="QM398"/>
      <c r="QN398"/>
      <c r="QO398"/>
      <c r="QP398"/>
      <c r="QQ398"/>
      <c r="QR398"/>
      <c r="QS398"/>
      <c r="QT398"/>
      <c r="QU398"/>
      <c r="QV398"/>
      <c r="QW398"/>
      <c r="QX398"/>
      <c r="QY398"/>
      <c r="QZ398"/>
      <c r="RA398"/>
      <c r="RB398"/>
      <c r="RC398"/>
      <c r="RD398"/>
      <c r="RE398"/>
      <c r="RF398"/>
      <c r="RG398"/>
      <c r="RH398"/>
      <c r="RI398"/>
      <c r="RJ398"/>
      <c r="RK398"/>
      <c r="RL398"/>
      <c r="RM398"/>
      <c r="RN398"/>
      <c r="RO398"/>
      <c r="RP398"/>
      <c r="RQ398"/>
      <c r="RR398"/>
      <c r="RS398"/>
      <c r="RT398"/>
      <c r="RU398"/>
      <c r="RV398"/>
      <c r="RW398"/>
      <c r="RX398"/>
      <c r="RY398"/>
      <c r="RZ398"/>
      <c r="SA398"/>
      <c r="SB398"/>
      <c r="SC398"/>
      <c r="SD398"/>
      <c r="SE398"/>
      <c r="SF398"/>
      <c r="SG398"/>
      <c r="SH398"/>
      <c r="SI398"/>
      <c r="SJ398"/>
      <c r="SK398"/>
      <c r="SL398"/>
      <c r="SM398"/>
      <c r="SN398"/>
      <c r="SO398"/>
      <c r="SP398"/>
      <c r="SQ398"/>
      <c r="SR398"/>
      <c r="SS398"/>
      <c r="ST398"/>
      <c r="SU398"/>
      <c r="SV398"/>
      <c r="SW398"/>
      <c r="SX398"/>
      <c r="SY398"/>
      <c r="SZ398"/>
      <c r="TA398"/>
      <c r="TB398"/>
      <c r="TC398"/>
      <c r="TD398"/>
      <c r="TE398"/>
      <c r="TF398"/>
      <c r="TG398"/>
      <c r="TH398"/>
    </row>
    <row r="399" spans="3:528" x14ac:dyDescent="0.25">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c r="KT399"/>
      <c r="KU399"/>
      <c r="KV399"/>
      <c r="KW399"/>
      <c r="KX399"/>
      <c r="KY399"/>
      <c r="KZ399"/>
      <c r="LA399"/>
      <c r="LB399"/>
      <c r="LC399"/>
      <c r="LD399"/>
      <c r="LE399"/>
      <c r="LF399"/>
      <c r="LG399"/>
      <c r="LH399"/>
      <c r="LI399"/>
      <c r="LJ399"/>
      <c r="LK399"/>
      <c r="LL399"/>
      <c r="LM399"/>
      <c r="LN399"/>
      <c r="LO399"/>
      <c r="LP399"/>
      <c r="LQ399"/>
      <c r="LR399"/>
      <c r="LS399"/>
      <c r="LT399"/>
      <c r="LU399"/>
      <c r="LV399"/>
      <c r="LW399"/>
      <c r="LX399"/>
      <c r="LY399"/>
      <c r="LZ399"/>
      <c r="MA399"/>
      <c r="MB399"/>
      <c r="MC399"/>
      <c r="MD399"/>
      <c r="ME399"/>
      <c r="MF399"/>
      <c r="MG399"/>
      <c r="MH399"/>
      <c r="MI399"/>
      <c r="MJ399"/>
      <c r="MK399"/>
      <c r="ML399"/>
      <c r="MM399"/>
      <c r="MN399"/>
      <c r="MO399"/>
      <c r="MP399"/>
      <c r="MQ399"/>
      <c r="MR399"/>
      <c r="MS399"/>
      <c r="MT399"/>
      <c r="MU399"/>
      <c r="MV399"/>
      <c r="MW399"/>
      <c r="MX399"/>
      <c r="MY399"/>
      <c r="MZ399"/>
      <c r="NA399"/>
      <c r="NB399"/>
      <c r="NC399"/>
      <c r="ND399"/>
      <c r="NE399"/>
      <c r="NF399"/>
      <c r="NG399"/>
      <c r="NH399"/>
      <c r="NI399"/>
      <c r="NJ399"/>
      <c r="NK399"/>
      <c r="NL399"/>
      <c r="NM399"/>
      <c r="NN399"/>
      <c r="NO399"/>
      <c r="NP399"/>
      <c r="NQ399"/>
      <c r="NR399"/>
      <c r="NS399"/>
      <c r="NT399"/>
      <c r="NU399"/>
      <c r="NV399"/>
      <c r="NW399"/>
      <c r="NX399"/>
      <c r="NY399"/>
      <c r="NZ399"/>
      <c r="OA399"/>
      <c r="OB399"/>
      <c r="OC399"/>
      <c r="OD399"/>
      <c r="OE399"/>
      <c r="OF399"/>
      <c r="OG399"/>
      <c r="OH399"/>
      <c r="OI399"/>
      <c r="OJ399"/>
      <c r="OK399"/>
      <c r="OL399"/>
      <c r="OM399"/>
      <c r="ON399"/>
      <c r="OO399"/>
      <c r="OP399"/>
      <c r="OQ399"/>
      <c r="OR399"/>
      <c r="OS399"/>
      <c r="OT399"/>
      <c r="OU399"/>
      <c r="OV399"/>
      <c r="OW399"/>
      <c r="OX399"/>
      <c r="OY399"/>
      <c r="OZ399"/>
      <c r="PA399"/>
      <c r="PB399"/>
      <c r="PC399"/>
      <c r="PD399"/>
      <c r="PE399"/>
      <c r="PF399"/>
      <c r="PG399"/>
      <c r="PH399"/>
      <c r="PI399"/>
      <c r="PJ399"/>
      <c r="PK399"/>
      <c r="PL399"/>
      <c r="PM399"/>
      <c r="PN399"/>
      <c r="PO399"/>
      <c r="PP399"/>
      <c r="PQ399"/>
      <c r="PR399"/>
      <c r="PS399"/>
      <c r="PT399"/>
      <c r="PU399"/>
      <c r="PV399"/>
      <c r="PW399"/>
      <c r="PX399"/>
      <c r="PY399"/>
      <c r="PZ399"/>
      <c r="QA399"/>
      <c r="QB399"/>
      <c r="QC399"/>
      <c r="QD399"/>
      <c r="QE399"/>
      <c r="QF399"/>
      <c r="QG399"/>
      <c r="QH399"/>
      <c r="QI399"/>
      <c r="QJ399"/>
      <c r="QK399"/>
      <c r="QL399"/>
      <c r="QM399"/>
      <c r="QN399"/>
      <c r="QO399"/>
      <c r="QP399"/>
      <c r="QQ399"/>
      <c r="QR399"/>
      <c r="QS399"/>
      <c r="QT399"/>
      <c r="QU399"/>
      <c r="QV399"/>
      <c r="QW399"/>
      <c r="QX399"/>
      <c r="QY399"/>
      <c r="QZ399"/>
      <c r="RA399"/>
      <c r="RB399"/>
      <c r="RC399"/>
      <c r="RD399"/>
      <c r="RE399"/>
      <c r="RF399"/>
      <c r="RG399"/>
      <c r="RH399"/>
      <c r="RI399"/>
      <c r="RJ399"/>
      <c r="RK399"/>
      <c r="RL399"/>
      <c r="RM399"/>
      <c r="RN399"/>
      <c r="RO399"/>
      <c r="RP399"/>
      <c r="RQ399"/>
      <c r="RR399"/>
      <c r="RS399"/>
      <c r="RT399"/>
      <c r="RU399"/>
      <c r="RV399"/>
      <c r="RW399"/>
      <c r="RX399"/>
      <c r="RY399"/>
      <c r="RZ399"/>
      <c r="SA399"/>
      <c r="SB399"/>
      <c r="SC399"/>
      <c r="SD399"/>
      <c r="SE399"/>
      <c r="SF399"/>
      <c r="SG399"/>
      <c r="SH399"/>
      <c r="SI399"/>
      <c r="SJ399"/>
      <c r="SK399"/>
      <c r="SL399"/>
      <c r="SM399"/>
      <c r="SN399"/>
      <c r="SO399"/>
      <c r="SP399"/>
      <c r="SQ399"/>
      <c r="SR399"/>
      <c r="SS399"/>
      <c r="ST399"/>
      <c r="SU399"/>
      <c r="SV399"/>
      <c r="SW399"/>
      <c r="SX399"/>
      <c r="SY399"/>
      <c r="SZ399"/>
      <c r="TA399"/>
      <c r="TB399"/>
      <c r="TC399"/>
      <c r="TD399"/>
      <c r="TE399"/>
      <c r="TF399"/>
      <c r="TG399"/>
      <c r="TH399"/>
    </row>
    <row r="400" spans="3:528" x14ac:dyDescent="0.25">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c r="KT400"/>
      <c r="KU400"/>
      <c r="KV400"/>
      <c r="KW400"/>
      <c r="KX400"/>
      <c r="KY400"/>
      <c r="KZ400"/>
      <c r="LA400"/>
      <c r="LB400"/>
      <c r="LC400"/>
      <c r="LD400"/>
      <c r="LE400"/>
      <c r="LF400"/>
      <c r="LG400"/>
      <c r="LH400"/>
      <c r="LI400"/>
      <c r="LJ400"/>
      <c r="LK400"/>
      <c r="LL400"/>
      <c r="LM400"/>
      <c r="LN400"/>
      <c r="LO400"/>
      <c r="LP400"/>
      <c r="LQ400"/>
      <c r="LR400"/>
      <c r="LS400"/>
      <c r="LT400"/>
      <c r="LU400"/>
      <c r="LV400"/>
      <c r="LW400"/>
      <c r="LX400"/>
      <c r="LY400"/>
      <c r="LZ400"/>
      <c r="MA400"/>
      <c r="MB400"/>
      <c r="MC400"/>
      <c r="MD400"/>
      <c r="ME400"/>
      <c r="MF400"/>
      <c r="MG400"/>
      <c r="MH400"/>
      <c r="MI400"/>
      <c r="MJ400"/>
      <c r="MK400"/>
      <c r="ML400"/>
      <c r="MM400"/>
      <c r="MN400"/>
      <c r="MO400"/>
      <c r="MP400"/>
      <c r="MQ400"/>
      <c r="MR400"/>
      <c r="MS400"/>
      <c r="MT400"/>
      <c r="MU400"/>
      <c r="MV400"/>
      <c r="MW400"/>
      <c r="MX400"/>
      <c r="MY400"/>
      <c r="MZ400"/>
      <c r="NA400"/>
      <c r="NB400"/>
      <c r="NC400"/>
      <c r="ND400"/>
      <c r="NE400"/>
      <c r="NF400"/>
      <c r="NG400"/>
      <c r="NH400"/>
      <c r="NI400"/>
      <c r="NJ400"/>
      <c r="NK400"/>
      <c r="NL400"/>
      <c r="NM400"/>
      <c r="NN400"/>
      <c r="NO400"/>
      <c r="NP400"/>
      <c r="NQ400"/>
      <c r="NR400"/>
      <c r="NS400"/>
      <c r="NT400"/>
      <c r="NU400"/>
      <c r="NV400"/>
      <c r="NW400"/>
      <c r="NX400"/>
      <c r="NY400"/>
      <c r="NZ400"/>
      <c r="OA400"/>
      <c r="OB400"/>
      <c r="OC400"/>
      <c r="OD400"/>
      <c r="OE400"/>
      <c r="OF400"/>
      <c r="OG400"/>
      <c r="OH400"/>
      <c r="OI400"/>
      <c r="OJ400"/>
      <c r="OK400"/>
      <c r="OL400"/>
      <c r="OM400"/>
      <c r="ON400"/>
      <c r="OO400"/>
      <c r="OP400"/>
      <c r="OQ400"/>
      <c r="OR400"/>
      <c r="OS400"/>
      <c r="OT400"/>
      <c r="OU400"/>
      <c r="OV400"/>
      <c r="OW400"/>
      <c r="OX400"/>
      <c r="OY400"/>
      <c r="OZ400"/>
      <c r="PA400"/>
      <c r="PB400"/>
      <c r="PC400"/>
      <c r="PD400"/>
      <c r="PE400"/>
      <c r="PF400"/>
      <c r="PG400"/>
      <c r="PH400"/>
      <c r="PI400"/>
      <c r="PJ400"/>
      <c r="PK400"/>
      <c r="PL400"/>
      <c r="PM400"/>
      <c r="PN400"/>
      <c r="PO400"/>
      <c r="PP400"/>
      <c r="PQ400"/>
      <c r="PR400"/>
      <c r="PS400"/>
      <c r="PT400"/>
      <c r="PU400"/>
      <c r="PV400"/>
      <c r="PW400"/>
      <c r="PX400"/>
      <c r="PY400"/>
      <c r="PZ400"/>
      <c r="QA400"/>
      <c r="QB400"/>
      <c r="QC400"/>
      <c r="QD400"/>
      <c r="QE400"/>
      <c r="QF400"/>
      <c r="QG400"/>
      <c r="QH400"/>
      <c r="QI400"/>
      <c r="QJ400"/>
      <c r="QK400"/>
      <c r="QL400"/>
      <c r="QM400"/>
      <c r="QN400"/>
      <c r="QO400"/>
      <c r="QP400"/>
      <c r="QQ400"/>
      <c r="QR400"/>
      <c r="QS400"/>
      <c r="QT400"/>
      <c r="QU400"/>
      <c r="QV400"/>
      <c r="QW400"/>
      <c r="QX400"/>
      <c r="QY400"/>
      <c r="QZ400"/>
      <c r="RA400"/>
      <c r="RB400"/>
      <c r="RC400"/>
      <c r="RD400"/>
      <c r="RE400"/>
      <c r="RF400"/>
      <c r="RG400"/>
      <c r="RH400"/>
      <c r="RI400"/>
      <c r="RJ400"/>
      <c r="RK400"/>
      <c r="RL400"/>
      <c r="RM400"/>
      <c r="RN400"/>
      <c r="RO400"/>
      <c r="RP400"/>
      <c r="RQ400"/>
      <c r="RR400"/>
      <c r="RS400"/>
      <c r="RT400"/>
      <c r="RU400"/>
      <c r="RV400"/>
      <c r="RW400"/>
      <c r="RX400"/>
      <c r="RY400"/>
      <c r="RZ400"/>
      <c r="SA400"/>
      <c r="SB400"/>
      <c r="SC400"/>
      <c r="SD400"/>
      <c r="SE400"/>
      <c r="SF400"/>
      <c r="SG400"/>
      <c r="SH400"/>
      <c r="SI400"/>
      <c r="SJ400"/>
      <c r="SK400"/>
      <c r="SL400"/>
      <c r="SM400"/>
      <c r="SN400"/>
      <c r="SO400"/>
      <c r="SP400"/>
      <c r="SQ400"/>
      <c r="SR400"/>
      <c r="SS400"/>
      <c r="ST400"/>
      <c r="SU400"/>
      <c r="SV400"/>
      <c r="SW400"/>
      <c r="SX400"/>
      <c r="SY400"/>
      <c r="SZ400"/>
      <c r="TA400"/>
      <c r="TB400"/>
      <c r="TC400"/>
      <c r="TD400"/>
      <c r="TE400"/>
      <c r="TF400"/>
      <c r="TG400"/>
      <c r="TH400"/>
    </row>
    <row r="401" spans="3:528" x14ac:dyDescent="0.25">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c r="KT401"/>
      <c r="KU401"/>
      <c r="KV401"/>
      <c r="KW401"/>
      <c r="KX401"/>
      <c r="KY401"/>
      <c r="KZ401"/>
      <c r="LA401"/>
      <c r="LB401"/>
      <c r="LC401"/>
      <c r="LD401"/>
      <c r="LE401"/>
      <c r="LF401"/>
      <c r="LG401"/>
      <c r="LH401"/>
      <c r="LI401"/>
      <c r="LJ401"/>
      <c r="LK401"/>
      <c r="LL401"/>
      <c r="LM401"/>
      <c r="LN401"/>
      <c r="LO401"/>
      <c r="LP401"/>
      <c r="LQ401"/>
      <c r="LR401"/>
      <c r="LS401"/>
      <c r="LT401"/>
      <c r="LU401"/>
      <c r="LV401"/>
      <c r="LW401"/>
      <c r="LX401"/>
      <c r="LY401"/>
      <c r="LZ401"/>
      <c r="MA401"/>
      <c r="MB401"/>
      <c r="MC401"/>
      <c r="MD401"/>
      <c r="ME401"/>
      <c r="MF401"/>
      <c r="MG401"/>
      <c r="MH401"/>
      <c r="MI401"/>
      <c r="MJ401"/>
      <c r="MK401"/>
      <c r="ML401"/>
      <c r="MM401"/>
      <c r="MN401"/>
      <c r="MO401"/>
      <c r="MP401"/>
      <c r="MQ401"/>
      <c r="MR401"/>
      <c r="MS401"/>
      <c r="MT401"/>
      <c r="MU401"/>
      <c r="MV401"/>
      <c r="MW401"/>
      <c r="MX401"/>
      <c r="MY401"/>
      <c r="MZ401"/>
      <c r="NA401"/>
      <c r="NB401"/>
      <c r="NC401"/>
      <c r="ND401"/>
      <c r="NE401"/>
      <c r="NF401"/>
      <c r="NG401"/>
      <c r="NH401"/>
      <c r="NI401"/>
      <c r="NJ401"/>
      <c r="NK401"/>
      <c r="NL401"/>
      <c r="NM401"/>
      <c r="NN401"/>
      <c r="NO401"/>
      <c r="NP401"/>
      <c r="NQ401"/>
      <c r="NR401"/>
      <c r="NS401"/>
      <c r="NT401"/>
      <c r="NU401"/>
      <c r="NV401"/>
      <c r="NW401"/>
      <c r="NX401"/>
      <c r="NY401"/>
      <c r="NZ401"/>
      <c r="OA401"/>
      <c r="OB401"/>
      <c r="OC401"/>
      <c r="OD401"/>
      <c r="OE401"/>
      <c r="OF401"/>
      <c r="OG401"/>
      <c r="OH401"/>
      <c r="OI401"/>
      <c r="OJ401"/>
      <c r="OK401"/>
      <c r="OL401"/>
      <c r="OM401"/>
      <c r="ON401"/>
      <c r="OO401"/>
      <c r="OP401"/>
      <c r="OQ401"/>
      <c r="OR401"/>
      <c r="OS401"/>
      <c r="OT401"/>
      <c r="OU401"/>
      <c r="OV401"/>
      <c r="OW401"/>
      <c r="OX401"/>
      <c r="OY401"/>
      <c r="OZ401"/>
      <c r="PA401"/>
      <c r="PB401"/>
      <c r="PC401"/>
      <c r="PD401"/>
      <c r="PE401"/>
      <c r="PF401"/>
      <c r="PG401"/>
      <c r="PH401"/>
      <c r="PI401"/>
      <c r="PJ401"/>
      <c r="PK401"/>
      <c r="PL401"/>
      <c r="PM401"/>
      <c r="PN401"/>
      <c r="PO401"/>
      <c r="PP401"/>
      <c r="PQ401"/>
      <c r="PR401"/>
      <c r="PS401"/>
      <c r="PT401"/>
      <c r="PU401"/>
      <c r="PV401"/>
      <c r="PW401"/>
      <c r="PX401"/>
      <c r="PY401"/>
      <c r="PZ401"/>
      <c r="QA401"/>
      <c r="QB401"/>
      <c r="QC401"/>
      <c r="QD401"/>
      <c r="QE401"/>
      <c r="QF401"/>
      <c r="QG401"/>
      <c r="QH401"/>
      <c r="QI401"/>
      <c r="QJ401"/>
      <c r="QK401"/>
      <c r="QL401"/>
      <c r="QM401"/>
      <c r="QN401"/>
      <c r="QO401"/>
      <c r="QP401"/>
      <c r="QQ401"/>
      <c r="QR401"/>
      <c r="QS401"/>
      <c r="QT401"/>
      <c r="QU401"/>
      <c r="QV401"/>
      <c r="QW401"/>
      <c r="QX401"/>
      <c r="QY401"/>
      <c r="QZ401"/>
      <c r="RA401"/>
      <c r="RB401"/>
      <c r="RC401"/>
      <c r="RD401"/>
      <c r="RE401"/>
      <c r="RF401"/>
      <c r="RG401"/>
      <c r="RH401"/>
      <c r="RI401"/>
      <c r="RJ401"/>
      <c r="RK401"/>
      <c r="RL401"/>
      <c r="RM401"/>
      <c r="RN401"/>
      <c r="RO401"/>
      <c r="RP401"/>
      <c r="RQ401"/>
      <c r="RR401"/>
      <c r="RS401"/>
      <c r="RT401"/>
      <c r="RU401"/>
      <c r="RV401"/>
      <c r="RW401"/>
      <c r="RX401"/>
      <c r="RY401"/>
      <c r="RZ401"/>
      <c r="SA401"/>
      <c r="SB401"/>
      <c r="SC401"/>
      <c r="SD401"/>
      <c r="SE401"/>
      <c r="SF401"/>
      <c r="SG401"/>
      <c r="SH401"/>
      <c r="SI401"/>
      <c r="SJ401"/>
      <c r="SK401"/>
      <c r="SL401"/>
      <c r="SM401"/>
      <c r="SN401"/>
      <c r="SO401"/>
      <c r="SP401"/>
      <c r="SQ401"/>
      <c r="SR401"/>
      <c r="SS401"/>
      <c r="ST401"/>
      <c r="SU401"/>
      <c r="SV401"/>
      <c r="SW401"/>
      <c r="SX401"/>
      <c r="SY401"/>
      <c r="SZ401"/>
      <c r="TA401"/>
      <c r="TB401"/>
      <c r="TC401"/>
      <c r="TD401"/>
      <c r="TE401"/>
      <c r="TF401"/>
      <c r="TG401"/>
      <c r="TH401"/>
    </row>
    <row r="402" spans="3:528" x14ac:dyDescent="0.25">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c r="KT402"/>
      <c r="KU402"/>
      <c r="KV402"/>
      <c r="KW402"/>
      <c r="KX402"/>
      <c r="KY402"/>
      <c r="KZ402"/>
      <c r="LA402"/>
      <c r="LB402"/>
      <c r="LC402"/>
      <c r="LD402"/>
      <c r="LE402"/>
      <c r="LF402"/>
      <c r="LG402"/>
      <c r="LH402"/>
      <c r="LI402"/>
      <c r="LJ402"/>
      <c r="LK402"/>
      <c r="LL402"/>
      <c r="LM402"/>
      <c r="LN402"/>
      <c r="LO402"/>
      <c r="LP402"/>
      <c r="LQ402"/>
      <c r="LR402"/>
      <c r="LS402"/>
      <c r="LT402"/>
      <c r="LU402"/>
      <c r="LV402"/>
      <c r="LW402"/>
      <c r="LX402"/>
      <c r="LY402"/>
      <c r="LZ402"/>
      <c r="MA402"/>
      <c r="MB402"/>
      <c r="MC402"/>
      <c r="MD402"/>
      <c r="ME402"/>
      <c r="MF402"/>
      <c r="MG402"/>
      <c r="MH402"/>
      <c r="MI402"/>
      <c r="MJ402"/>
      <c r="MK402"/>
      <c r="ML402"/>
      <c r="MM402"/>
      <c r="MN402"/>
      <c r="MO402"/>
      <c r="MP402"/>
      <c r="MQ402"/>
      <c r="MR402"/>
      <c r="MS402"/>
      <c r="MT402"/>
      <c r="MU402"/>
      <c r="MV402"/>
      <c r="MW402"/>
      <c r="MX402"/>
      <c r="MY402"/>
      <c r="MZ402"/>
      <c r="NA402"/>
      <c r="NB402"/>
      <c r="NC402"/>
      <c r="ND402"/>
      <c r="NE402"/>
      <c r="NF402"/>
      <c r="NG402"/>
      <c r="NH402"/>
      <c r="NI402"/>
      <c r="NJ402"/>
      <c r="NK402"/>
      <c r="NL402"/>
      <c r="NM402"/>
      <c r="NN402"/>
      <c r="NO402"/>
      <c r="NP402"/>
      <c r="NQ402"/>
      <c r="NR402"/>
      <c r="NS402"/>
      <c r="NT402"/>
      <c r="NU402"/>
      <c r="NV402"/>
      <c r="NW402"/>
      <c r="NX402"/>
      <c r="NY402"/>
      <c r="NZ402"/>
      <c r="OA402"/>
      <c r="OB402"/>
      <c r="OC402"/>
      <c r="OD402"/>
      <c r="OE402"/>
      <c r="OF402"/>
      <c r="OG402"/>
      <c r="OH402"/>
      <c r="OI402"/>
      <c r="OJ402"/>
      <c r="OK402"/>
      <c r="OL402"/>
      <c r="OM402"/>
      <c r="ON402"/>
      <c r="OO402"/>
      <c r="OP402"/>
      <c r="OQ402"/>
      <c r="OR402"/>
      <c r="OS402"/>
      <c r="OT402"/>
      <c r="OU402"/>
      <c r="OV402"/>
      <c r="OW402"/>
      <c r="OX402"/>
      <c r="OY402"/>
      <c r="OZ402"/>
      <c r="PA402"/>
      <c r="PB402"/>
      <c r="PC402"/>
      <c r="PD402"/>
      <c r="PE402"/>
      <c r="PF402"/>
      <c r="PG402"/>
      <c r="PH402"/>
      <c r="PI402"/>
      <c r="PJ402"/>
      <c r="PK402"/>
      <c r="PL402"/>
      <c r="PM402"/>
      <c r="PN402"/>
      <c r="PO402"/>
      <c r="PP402"/>
      <c r="PQ402"/>
      <c r="PR402"/>
      <c r="PS402"/>
      <c r="PT402"/>
      <c r="PU402"/>
      <c r="PV402"/>
      <c r="PW402"/>
      <c r="PX402"/>
      <c r="PY402"/>
      <c r="PZ402"/>
      <c r="QA402"/>
      <c r="QB402"/>
      <c r="QC402"/>
      <c r="QD402"/>
      <c r="QE402"/>
      <c r="QF402"/>
      <c r="QG402"/>
      <c r="QH402"/>
      <c r="QI402"/>
      <c r="QJ402"/>
      <c r="QK402"/>
      <c r="QL402"/>
      <c r="QM402"/>
      <c r="QN402"/>
      <c r="QO402"/>
      <c r="QP402"/>
      <c r="QQ402"/>
      <c r="QR402"/>
      <c r="QS402"/>
      <c r="QT402"/>
      <c r="QU402"/>
      <c r="QV402"/>
      <c r="QW402"/>
      <c r="QX402"/>
      <c r="QY402"/>
      <c r="QZ402"/>
      <c r="RA402"/>
      <c r="RB402"/>
      <c r="RC402"/>
      <c r="RD402"/>
      <c r="RE402"/>
      <c r="RF402"/>
      <c r="RG402"/>
      <c r="RH402"/>
      <c r="RI402"/>
      <c r="RJ402"/>
      <c r="RK402"/>
      <c r="RL402"/>
      <c r="RM402"/>
      <c r="RN402"/>
      <c r="RO402"/>
      <c r="RP402"/>
      <c r="RQ402"/>
      <c r="RR402"/>
      <c r="RS402"/>
      <c r="RT402"/>
      <c r="RU402"/>
      <c r="RV402"/>
      <c r="RW402"/>
      <c r="RX402"/>
      <c r="RY402"/>
      <c r="RZ402"/>
      <c r="SA402"/>
      <c r="SB402"/>
      <c r="SC402"/>
      <c r="SD402"/>
      <c r="SE402"/>
      <c r="SF402"/>
      <c r="SG402"/>
      <c r="SH402"/>
      <c r="SI402"/>
      <c r="SJ402"/>
      <c r="SK402"/>
      <c r="SL402"/>
      <c r="SM402"/>
      <c r="SN402"/>
      <c r="SO402"/>
      <c r="SP402"/>
      <c r="SQ402"/>
      <c r="SR402"/>
      <c r="SS402"/>
      <c r="ST402"/>
      <c r="SU402"/>
      <c r="SV402"/>
      <c r="SW402"/>
      <c r="SX402"/>
      <c r="SY402"/>
      <c r="SZ402"/>
      <c r="TA402"/>
      <c r="TB402"/>
      <c r="TC402"/>
      <c r="TD402"/>
      <c r="TE402"/>
      <c r="TF402"/>
      <c r="TG402"/>
      <c r="TH402"/>
    </row>
    <row r="403" spans="3:528" x14ac:dyDescent="0.25">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c r="KT403"/>
      <c r="KU403"/>
      <c r="KV403"/>
      <c r="KW403"/>
      <c r="KX403"/>
      <c r="KY403"/>
      <c r="KZ403"/>
      <c r="LA403"/>
      <c r="LB403"/>
      <c r="LC403"/>
      <c r="LD403"/>
      <c r="LE403"/>
      <c r="LF403"/>
      <c r="LG403"/>
      <c r="LH403"/>
      <c r="LI403"/>
      <c r="LJ403"/>
      <c r="LK403"/>
      <c r="LL403"/>
      <c r="LM403"/>
      <c r="LN403"/>
      <c r="LO403"/>
      <c r="LP403"/>
      <c r="LQ403"/>
      <c r="LR403"/>
      <c r="LS403"/>
      <c r="LT403"/>
      <c r="LU403"/>
      <c r="LV403"/>
      <c r="LW403"/>
      <c r="LX403"/>
      <c r="LY403"/>
      <c r="LZ403"/>
      <c r="MA403"/>
      <c r="MB403"/>
      <c r="MC403"/>
      <c r="MD403"/>
      <c r="ME403"/>
      <c r="MF403"/>
      <c r="MG403"/>
      <c r="MH403"/>
      <c r="MI403"/>
      <c r="MJ403"/>
      <c r="MK403"/>
      <c r="ML403"/>
      <c r="MM403"/>
      <c r="MN403"/>
      <c r="MO403"/>
      <c r="MP403"/>
      <c r="MQ403"/>
      <c r="MR403"/>
      <c r="MS403"/>
      <c r="MT403"/>
      <c r="MU403"/>
      <c r="MV403"/>
      <c r="MW403"/>
      <c r="MX403"/>
      <c r="MY403"/>
      <c r="MZ403"/>
      <c r="NA403"/>
      <c r="NB403"/>
      <c r="NC403"/>
      <c r="ND403"/>
      <c r="NE403"/>
      <c r="NF403"/>
      <c r="NG403"/>
      <c r="NH403"/>
      <c r="NI403"/>
      <c r="NJ403"/>
      <c r="NK403"/>
      <c r="NL403"/>
      <c r="NM403"/>
      <c r="NN403"/>
      <c r="NO403"/>
      <c r="NP403"/>
      <c r="NQ403"/>
      <c r="NR403"/>
      <c r="NS403"/>
      <c r="NT403"/>
      <c r="NU403"/>
      <c r="NV403"/>
      <c r="NW403"/>
      <c r="NX403"/>
      <c r="NY403"/>
      <c r="NZ403"/>
      <c r="OA403"/>
      <c r="OB403"/>
      <c r="OC403"/>
      <c r="OD403"/>
      <c r="OE403"/>
      <c r="OF403"/>
      <c r="OG403"/>
      <c r="OH403"/>
      <c r="OI403"/>
      <c r="OJ403"/>
      <c r="OK403"/>
      <c r="OL403"/>
      <c r="OM403"/>
      <c r="ON403"/>
      <c r="OO403"/>
      <c r="OP403"/>
      <c r="OQ403"/>
      <c r="OR403"/>
      <c r="OS403"/>
      <c r="OT403"/>
      <c r="OU403"/>
      <c r="OV403"/>
      <c r="OW403"/>
      <c r="OX403"/>
      <c r="OY403"/>
      <c r="OZ403"/>
      <c r="PA403"/>
      <c r="PB403"/>
      <c r="PC403"/>
      <c r="PD403"/>
      <c r="PE403"/>
      <c r="PF403"/>
      <c r="PG403"/>
      <c r="PH403"/>
      <c r="PI403"/>
      <c r="PJ403"/>
      <c r="PK403"/>
      <c r="PL403"/>
      <c r="PM403"/>
      <c r="PN403"/>
      <c r="PO403"/>
      <c r="PP403"/>
      <c r="PQ403"/>
      <c r="PR403"/>
      <c r="PS403"/>
      <c r="PT403"/>
      <c r="PU403"/>
      <c r="PV403"/>
      <c r="PW403"/>
      <c r="PX403"/>
      <c r="PY403"/>
      <c r="PZ403"/>
      <c r="QA403"/>
      <c r="QB403"/>
      <c r="QC403"/>
      <c r="QD403"/>
      <c r="QE403"/>
      <c r="QF403"/>
      <c r="QG403"/>
      <c r="QH403"/>
      <c r="QI403"/>
      <c r="QJ403"/>
      <c r="QK403"/>
      <c r="QL403"/>
      <c r="QM403"/>
      <c r="QN403"/>
      <c r="QO403"/>
      <c r="QP403"/>
      <c r="QQ403"/>
      <c r="QR403"/>
      <c r="QS403"/>
      <c r="QT403"/>
      <c r="QU403"/>
      <c r="QV403"/>
      <c r="QW403"/>
      <c r="QX403"/>
      <c r="QY403"/>
      <c r="QZ403"/>
      <c r="RA403"/>
      <c r="RB403"/>
      <c r="RC403"/>
      <c r="RD403"/>
      <c r="RE403"/>
      <c r="RF403"/>
      <c r="RG403"/>
      <c r="RH403"/>
      <c r="RI403"/>
      <c r="RJ403"/>
      <c r="RK403"/>
      <c r="RL403"/>
      <c r="RM403"/>
      <c r="RN403"/>
      <c r="RO403"/>
      <c r="RP403"/>
      <c r="RQ403"/>
      <c r="RR403"/>
      <c r="RS403"/>
      <c r="RT403"/>
      <c r="RU403"/>
      <c r="RV403"/>
      <c r="RW403"/>
      <c r="RX403"/>
      <c r="RY403"/>
      <c r="RZ403"/>
      <c r="SA403"/>
      <c r="SB403"/>
      <c r="SC403"/>
      <c r="SD403"/>
      <c r="SE403"/>
      <c r="SF403"/>
      <c r="SG403"/>
      <c r="SH403"/>
      <c r="SI403"/>
      <c r="SJ403"/>
      <c r="SK403"/>
      <c r="SL403"/>
      <c r="SM403"/>
      <c r="SN403"/>
      <c r="SO403"/>
      <c r="SP403"/>
      <c r="SQ403"/>
      <c r="SR403"/>
      <c r="SS403"/>
      <c r="ST403"/>
      <c r="SU403"/>
      <c r="SV403"/>
      <c r="SW403"/>
      <c r="SX403"/>
      <c r="SY403"/>
      <c r="SZ403"/>
      <c r="TA403"/>
      <c r="TB403"/>
      <c r="TC403"/>
      <c r="TD403"/>
      <c r="TE403"/>
      <c r="TF403"/>
      <c r="TG403"/>
      <c r="TH403"/>
    </row>
    <row r="404" spans="3:528" x14ac:dyDescent="0.25">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c r="KT404"/>
      <c r="KU404"/>
      <c r="KV404"/>
      <c r="KW404"/>
      <c r="KX404"/>
      <c r="KY404"/>
      <c r="KZ404"/>
      <c r="LA404"/>
      <c r="LB404"/>
      <c r="LC404"/>
      <c r="LD404"/>
      <c r="LE404"/>
      <c r="LF404"/>
      <c r="LG404"/>
      <c r="LH404"/>
      <c r="LI404"/>
      <c r="LJ404"/>
      <c r="LK404"/>
      <c r="LL404"/>
      <c r="LM404"/>
      <c r="LN404"/>
      <c r="LO404"/>
      <c r="LP404"/>
      <c r="LQ404"/>
      <c r="LR404"/>
      <c r="LS404"/>
      <c r="LT404"/>
      <c r="LU404"/>
      <c r="LV404"/>
      <c r="LW404"/>
      <c r="LX404"/>
      <c r="LY404"/>
      <c r="LZ404"/>
      <c r="MA404"/>
      <c r="MB404"/>
      <c r="MC404"/>
      <c r="MD404"/>
      <c r="ME404"/>
      <c r="MF404"/>
      <c r="MG404"/>
      <c r="MH404"/>
      <c r="MI404"/>
      <c r="MJ404"/>
      <c r="MK404"/>
      <c r="ML404"/>
      <c r="MM404"/>
      <c r="MN404"/>
      <c r="MO404"/>
      <c r="MP404"/>
      <c r="MQ404"/>
      <c r="MR404"/>
      <c r="MS404"/>
      <c r="MT404"/>
      <c r="MU404"/>
      <c r="MV404"/>
      <c r="MW404"/>
      <c r="MX404"/>
      <c r="MY404"/>
      <c r="MZ404"/>
      <c r="NA404"/>
      <c r="NB404"/>
      <c r="NC404"/>
      <c r="ND404"/>
      <c r="NE404"/>
      <c r="NF404"/>
      <c r="NG404"/>
      <c r="NH404"/>
      <c r="NI404"/>
      <c r="NJ404"/>
      <c r="NK404"/>
      <c r="NL404"/>
      <c r="NM404"/>
      <c r="NN404"/>
      <c r="NO404"/>
      <c r="NP404"/>
      <c r="NQ404"/>
      <c r="NR404"/>
      <c r="NS404"/>
      <c r="NT404"/>
      <c r="NU404"/>
      <c r="NV404"/>
      <c r="NW404"/>
      <c r="NX404"/>
      <c r="NY404"/>
      <c r="NZ404"/>
      <c r="OA404"/>
      <c r="OB404"/>
      <c r="OC404"/>
      <c r="OD404"/>
      <c r="OE404"/>
      <c r="OF404"/>
      <c r="OG404"/>
      <c r="OH404"/>
      <c r="OI404"/>
      <c r="OJ404"/>
      <c r="OK404"/>
      <c r="OL404"/>
      <c r="OM404"/>
      <c r="ON404"/>
      <c r="OO404"/>
      <c r="OP404"/>
      <c r="OQ404"/>
      <c r="OR404"/>
      <c r="OS404"/>
      <c r="OT404"/>
      <c r="OU404"/>
      <c r="OV404"/>
      <c r="OW404"/>
      <c r="OX404"/>
      <c r="OY404"/>
      <c r="OZ404"/>
      <c r="PA404"/>
      <c r="PB404"/>
      <c r="PC404"/>
      <c r="PD404"/>
      <c r="PE404"/>
      <c r="PF404"/>
      <c r="PG404"/>
      <c r="PH404"/>
      <c r="PI404"/>
      <c r="PJ404"/>
      <c r="PK404"/>
      <c r="PL404"/>
      <c r="PM404"/>
      <c r="PN404"/>
      <c r="PO404"/>
      <c r="PP404"/>
      <c r="PQ404"/>
      <c r="PR404"/>
      <c r="PS404"/>
      <c r="PT404"/>
      <c r="PU404"/>
      <c r="PV404"/>
      <c r="PW404"/>
      <c r="PX404"/>
      <c r="PY404"/>
      <c r="PZ404"/>
      <c r="QA404"/>
      <c r="QB404"/>
      <c r="QC404"/>
      <c r="QD404"/>
      <c r="QE404"/>
      <c r="QF404"/>
      <c r="QG404"/>
      <c r="QH404"/>
      <c r="QI404"/>
      <c r="QJ404"/>
      <c r="QK404"/>
      <c r="QL404"/>
      <c r="QM404"/>
      <c r="QN404"/>
      <c r="QO404"/>
      <c r="QP404"/>
      <c r="QQ404"/>
      <c r="QR404"/>
      <c r="QS404"/>
      <c r="QT404"/>
      <c r="QU404"/>
      <c r="QV404"/>
      <c r="QW404"/>
      <c r="QX404"/>
      <c r="QY404"/>
      <c r="QZ404"/>
      <c r="RA404"/>
      <c r="RB404"/>
      <c r="RC404"/>
      <c r="RD404"/>
      <c r="RE404"/>
      <c r="RF404"/>
      <c r="RG404"/>
      <c r="RH404"/>
      <c r="RI404"/>
      <c r="RJ404"/>
      <c r="RK404"/>
      <c r="RL404"/>
      <c r="RM404"/>
      <c r="RN404"/>
      <c r="RO404"/>
      <c r="RP404"/>
      <c r="RQ404"/>
      <c r="RR404"/>
      <c r="RS404"/>
      <c r="RT404"/>
      <c r="RU404"/>
      <c r="RV404"/>
      <c r="RW404"/>
      <c r="RX404"/>
      <c r="RY404"/>
      <c r="RZ404"/>
      <c r="SA404"/>
      <c r="SB404"/>
      <c r="SC404"/>
      <c r="SD404"/>
      <c r="SE404"/>
      <c r="SF404"/>
      <c r="SG404"/>
      <c r="SH404"/>
      <c r="SI404"/>
      <c r="SJ404"/>
      <c r="SK404"/>
      <c r="SL404"/>
      <c r="SM404"/>
      <c r="SN404"/>
      <c r="SO404"/>
      <c r="SP404"/>
      <c r="SQ404"/>
      <c r="SR404"/>
      <c r="SS404"/>
      <c r="ST404"/>
      <c r="SU404"/>
      <c r="SV404"/>
      <c r="SW404"/>
      <c r="SX404"/>
      <c r="SY404"/>
      <c r="SZ404"/>
      <c r="TA404"/>
      <c r="TB404"/>
      <c r="TC404"/>
      <c r="TD404"/>
      <c r="TE404"/>
      <c r="TF404"/>
      <c r="TG404"/>
      <c r="TH404"/>
    </row>
    <row r="405" spans="3:528" x14ac:dyDescent="0.2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c r="KT405"/>
      <c r="KU405"/>
      <c r="KV405"/>
      <c r="KW405"/>
      <c r="KX405"/>
      <c r="KY405"/>
      <c r="KZ405"/>
      <c r="LA405"/>
      <c r="LB405"/>
      <c r="LC405"/>
      <c r="LD405"/>
      <c r="LE405"/>
      <c r="LF405"/>
      <c r="LG405"/>
      <c r="LH405"/>
      <c r="LI405"/>
      <c r="LJ405"/>
      <c r="LK405"/>
      <c r="LL405"/>
      <c r="LM405"/>
      <c r="LN405"/>
      <c r="LO405"/>
      <c r="LP405"/>
      <c r="LQ405"/>
      <c r="LR405"/>
      <c r="LS405"/>
      <c r="LT405"/>
      <c r="LU405"/>
      <c r="LV405"/>
      <c r="LW405"/>
      <c r="LX405"/>
      <c r="LY405"/>
      <c r="LZ405"/>
      <c r="MA405"/>
      <c r="MB405"/>
      <c r="MC405"/>
      <c r="MD405"/>
      <c r="ME405"/>
      <c r="MF405"/>
      <c r="MG405"/>
      <c r="MH405"/>
      <c r="MI405"/>
      <c r="MJ405"/>
      <c r="MK405"/>
      <c r="ML405"/>
      <c r="MM405"/>
      <c r="MN405"/>
      <c r="MO405"/>
      <c r="MP405"/>
      <c r="MQ405"/>
      <c r="MR405"/>
      <c r="MS405"/>
      <c r="MT405"/>
      <c r="MU405"/>
      <c r="MV405"/>
      <c r="MW405"/>
      <c r="MX405"/>
      <c r="MY405"/>
      <c r="MZ405"/>
      <c r="NA405"/>
      <c r="NB405"/>
      <c r="NC405"/>
      <c r="ND405"/>
      <c r="NE405"/>
      <c r="NF405"/>
      <c r="NG405"/>
      <c r="NH405"/>
      <c r="NI405"/>
      <c r="NJ405"/>
      <c r="NK405"/>
      <c r="NL405"/>
      <c r="NM405"/>
      <c r="NN405"/>
      <c r="NO405"/>
      <c r="NP405"/>
      <c r="NQ405"/>
      <c r="NR405"/>
      <c r="NS405"/>
      <c r="NT405"/>
      <c r="NU405"/>
      <c r="NV405"/>
      <c r="NW405"/>
      <c r="NX405"/>
      <c r="NY405"/>
      <c r="NZ405"/>
      <c r="OA405"/>
      <c r="OB405"/>
      <c r="OC405"/>
      <c r="OD405"/>
      <c r="OE405"/>
      <c r="OF405"/>
      <c r="OG405"/>
      <c r="OH405"/>
      <c r="OI405"/>
      <c r="OJ405"/>
      <c r="OK405"/>
      <c r="OL405"/>
      <c r="OM405"/>
      <c r="ON405"/>
      <c r="OO405"/>
      <c r="OP405"/>
      <c r="OQ405"/>
      <c r="OR405"/>
      <c r="OS405"/>
      <c r="OT405"/>
      <c r="OU405"/>
      <c r="OV405"/>
      <c r="OW405"/>
      <c r="OX405"/>
      <c r="OY405"/>
      <c r="OZ405"/>
      <c r="PA405"/>
      <c r="PB405"/>
      <c r="PC405"/>
      <c r="PD405"/>
      <c r="PE405"/>
      <c r="PF405"/>
      <c r="PG405"/>
      <c r="PH405"/>
      <c r="PI405"/>
      <c r="PJ405"/>
      <c r="PK405"/>
      <c r="PL405"/>
      <c r="PM405"/>
      <c r="PN405"/>
      <c r="PO405"/>
      <c r="PP405"/>
      <c r="PQ405"/>
      <c r="PR405"/>
      <c r="PS405"/>
      <c r="PT405"/>
      <c r="PU405"/>
      <c r="PV405"/>
      <c r="PW405"/>
      <c r="PX405"/>
      <c r="PY405"/>
      <c r="PZ405"/>
      <c r="QA405"/>
      <c r="QB405"/>
      <c r="QC405"/>
      <c r="QD405"/>
      <c r="QE405"/>
      <c r="QF405"/>
      <c r="QG405"/>
      <c r="QH405"/>
      <c r="QI405"/>
      <c r="QJ405"/>
      <c r="QK405"/>
      <c r="QL405"/>
      <c r="QM405"/>
      <c r="QN405"/>
      <c r="QO405"/>
      <c r="QP405"/>
      <c r="QQ405"/>
      <c r="QR405"/>
      <c r="QS405"/>
      <c r="QT405"/>
      <c r="QU405"/>
      <c r="QV405"/>
      <c r="QW405"/>
      <c r="QX405"/>
      <c r="QY405"/>
      <c r="QZ405"/>
      <c r="RA405"/>
      <c r="RB405"/>
      <c r="RC405"/>
      <c r="RD405"/>
      <c r="RE405"/>
      <c r="RF405"/>
      <c r="RG405"/>
      <c r="RH405"/>
      <c r="RI405"/>
      <c r="RJ405"/>
      <c r="RK405"/>
      <c r="RL405"/>
      <c r="RM405"/>
      <c r="RN405"/>
      <c r="RO405"/>
      <c r="RP405"/>
      <c r="RQ405"/>
      <c r="RR405"/>
      <c r="RS405"/>
      <c r="RT405"/>
      <c r="RU405"/>
      <c r="RV405"/>
      <c r="RW405"/>
      <c r="RX405"/>
      <c r="RY405"/>
      <c r="RZ405"/>
      <c r="SA405"/>
      <c r="SB405"/>
      <c r="SC405"/>
      <c r="SD405"/>
      <c r="SE405"/>
      <c r="SF405"/>
      <c r="SG405"/>
      <c r="SH405"/>
      <c r="SI405"/>
      <c r="SJ405"/>
      <c r="SK405"/>
      <c r="SL405"/>
      <c r="SM405"/>
      <c r="SN405"/>
      <c r="SO405"/>
      <c r="SP405"/>
      <c r="SQ405"/>
      <c r="SR405"/>
      <c r="SS405"/>
      <c r="ST405"/>
      <c r="SU405"/>
      <c r="SV405"/>
      <c r="SW405"/>
      <c r="SX405"/>
      <c r="SY405"/>
      <c r="SZ405"/>
      <c r="TA405"/>
      <c r="TB405"/>
      <c r="TC405"/>
      <c r="TD405"/>
      <c r="TE405"/>
      <c r="TF405"/>
      <c r="TG405"/>
      <c r="TH405"/>
    </row>
    <row r="406" spans="3:528" x14ac:dyDescent="0.25">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c r="KT406"/>
      <c r="KU406"/>
      <c r="KV406"/>
      <c r="KW406"/>
      <c r="KX406"/>
      <c r="KY406"/>
      <c r="KZ406"/>
      <c r="LA406"/>
      <c r="LB406"/>
      <c r="LC406"/>
      <c r="LD406"/>
      <c r="LE406"/>
      <c r="LF406"/>
      <c r="LG406"/>
      <c r="LH406"/>
      <c r="LI406"/>
      <c r="LJ406"/>
      <c r="LK406"/>
      <c r="LL406"/>
      <c r="LM406"/>
      <c r="LN406"/>
      <c r="LO406"/>
      <c r="LP406"/>
      <c r="LQ406"/>
      <c r="LR406"/>
      <c r="LS406"/>
      <c r="LT406"/>
      <c r="LU406"/>
      <c r="LV406"/>
      <c r="LW406"/>
      <c r="LX406"/>
      <c r="LY406"/>
      <c r="LZ406"/>
      <c r="MA406"/>
      <c r="MB406"/>
      <c r="MC406"/>
      <c r="MD406"/>
      <c r="ME406"/>
      <c r="MF406"/>
      <c r="MG406"/>
      <c r="MH406"/>
      <c r="MI406"/>
      <c r="MJ406"/>
      <c r="MK406"/>
      <c r="ML406"/>
      <c r="MM406"/>
      <c r="MN406"/>
      <c r="MO406"/>
      <c r="MP406"/>
      <c r="MQ406"/>
      <c r="MR406"/>
      <c r="MS406"/>
      <c r="MT406"/>
      <c r="MU406"/>
      <c r="MV406"/>
      <c r="MW406"/>
      <c r="MX406"/>
      <c r="MY406"/>
      <c r="MZ406"/>
      <c r="NA406"/>
      <c r="NB406"/>
      <c r="NC406"/>
      <c r="ND406"/>
      <c r="NE406"/>
      <c r="NF406"/>
      <c r="NG406"/>
      <c r="NH406"/>
      <c r="NI406"/>
      <c r="NJ406"/>
      <c r="NK406"/>
      <c r="NL406"/>
      <c r="NM406"/>
      <c r="NN406"/>
      <c r="NO406"/>
      <c r="NP406"/>
      <c r="NQ406"/>
      <c r="NR406"/>
      <c r="NS406"/>
      <c r="NT406"/>
      <c r="NU406"/>
      <c r="NV406"/>
      <c r="NW406"/>
      <c r="NX406"/>
      <c r="NY406"/>
      <c r="NZ406"/>
      <c r="OA406"/>
      <c r="OB406"/>
      <c r="OC406"/>
      <c r="OD406"/>
      <c r="OE406"/>
      <c r="OF406"/>
      <c r="OG406"/>
      <c r="OH406"/>
      <c r="OI406"/>
      <c r="OJ406"/>
      <c r="OK406"/>
      <c r="OL406"/>
      <c r="OM406"/>
      <c r="ON406"/>
      <c r="OO406"/>
      <c r="OP406"/>
      <c r="OQ406"/>
      <c r="OR406"/>
      <c r="OS406"/>
      <c r="OT406"/>
      <c r="OU406"/>
      <c r="OV406"/>
      <c r="OW406"/>
      <c r="OX406"/>
      <c r="OY406"/>
      <c r="OZ406"/>
      <c r="PA406"/>
      <c r="PB406"/>
      <c r="PC406"/>
      <c r="PD406"/>
      <c r="PE406"/>
      <c r="PF406"/>
      <c r="PG406"/>
      <c r="PH406"/>
      <c r="PI406"/>
      <c r="PJ406"/>
      <c r="PK406"/>
      <c r="PL406"/>
      <c r="PM406"/>
      <c r="PN406"/>
      <c r="PO406"/>
      <c r="PP406"/>
      <c r="PQ406"/>
      <c r="PR406"/>
      <c r="PS406"/>
      <c r="PT406"/>
      <c r="PU406"/>
      <c r="PV406"/>
      <c r="PW406"/>
      <c r="PX406"/>
      <c r="PY406"/>
      <c r="PZ406"/>
      <c r="QA406"/>
      <c r="QB406"/>
      <c r="QC406"/>
      <c r="QD406"/>
      <c r="QE406"/>
      <c r="QF406"/>
      <c r="QG406"/>
      <c r="QH406"/>
      <c r="QI406"/>
      <c r="QJ406"/>
      <c r="QK406"/>
      <c r="QL406"/>
      <c r="QM406"/>
      <c r="QN406"/>
      <c r="QO406"/>
      <c r="QP406"/>
      <c r="QQ406"/>
      <c r="QR406"/>
      <c r="QS406"/>
      <c r="QT406"/>
      <c r="QU406"/>
      <c r="QV406"/>
      <c r="QW406"/>
      <c r="QX406"/>
      <c r="QY406"/>
      <c r="QZ406"/>
      <c r="RA406"/>
      <c r="RB406"/>
      <c r="RC406"/>
      <c r="RD406"/>
      <c r="RE406"/>
      <c r="RF406"/>
      <c r="RG406"/>
      <c r="RH406"/>
      <c r="RI406"/>
      <c r="RJ406"/>
      <c r="RK406"/>
      <c r="RL406"/>
      <c r="RM406"/>
      <c r="RN406"/>
      <c r="RO406"/>
      <c r="RP406"/>
      <c r="RQ406"/>
      <c r="RR406"/>
      <c r="RS406"/>
      <c r="RT406"/>
      <c r="RU406"/>
      <c r="RV406"/>
      <c r="RW406"/>
      <c r="RX406"/>
      <c r="RY406"/>
      <c r="RZ406"/>
      <c r="SA406"/>
      <c r="SB406"/>
      <c r="SC406"/>
      <c r="SD406"/>
      <c r="SE406"/>
      <c r="SF406"/>
      <c r="SG406"/>
      <c r="SH406"/>
      <c r="SI406"/>
      <c r="SJ406"/>
      <c r="SK406"/>
      <c r="SL406"/>
      <c r="SM406"/>
      <c r="SN406"/>
      <c r="SO406"/>
      <c r="SP406"/>
      <c r="SQ406"/>
      <c r="SR406"/>
      <c r="SS406"/>
      <c r="ST406"/>
      <c r="SU406"/>
      <c r="SV406"/>
      <c r="SW406"/>
      <c r="SX406"/>
      <c r="SY406"/>
      <c r="SZ406"/>
      <c r="TA406"/>
      <c r="TB406"/>
      <c r="TC406"/>
      <c r="TD406"/>
      <c r="TE406"/>
      <c r="TF406"/>
      <c r="TG406"/>
      <c r="TH406"/>
    </row>
    <row r="407" spans="3:528" x14ac:dyDescent="0.25">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c r="KT407"/>
      <c r="KU407"/>
      <c r="KV407"/>
      <c r="KW407"/>
      <c r="KX407"/>
      <c r="KY407"/>
      <c r="KZ407"/>
      <c r="LA407"/>
      <c r="LB407"/>
      <c r="LC407"/>
      <c r="LD407"/>
      <c r="LE407"/>
      <c r="LF407"/>
      <c r="LG407"/>
      <c r="LH407"/>
      <c r="LI407"/>
      <c r="LJ407"/>
      <c r="LK407"/>
      <c r="LL407"/>
      <c r="LM407"/>
      <c r="LN407"/>
      <c r="LO407"/>
      <c r="LP407"/>
      <c r="LQ407"/>
      <c r="LR407"/>
      <c r="LS407"/>
      <c r="LT407"/>
      <c r="LU407"/>
      <c r="LV407"/>
      <c r="LW407"/>
      <c r="LX407"/>
      <c r="LY407"/>
      <c r="LZ407"/>
      <c r="MA407"/>
      <c r="MB407"/>
      <c r="MC407"/>
      <c r="MD407"/>
      <c r="ME407"/>
      <c r="MF407"/>
      <c r="MG407"/>
      <c r="MH407"/>
      <c r="MI407"/>
      <c r="MJ407"/>
      <c r="MK407"/>
      <c r="ML407"/>
      <c r="MM407"/>
      <c r="MN407"/>
      <c r="MO407"/>
      <c r="MP407"/>
      <c r="MQ407"/>
      <c r="MR407"/>
      <c r="MS407"/>
      <c r="MT407"/>
      <c r="MU407"/>
      <c r="MV407"/>
      <c r="MW407"/>
      <c r="MX407"/>
      <c r="MY407"/>
      <c r="MZ407"/>
      <c r="NA407"/>
      <c r="NB407"/>
      <c r="NC407"/>
      <c r="ND407"/>
      <c r="NE407"/>
      <c r="NF407"/>
      <c r="NG407"/>
      <c r="NH407"/>
      <c r="NI407"/>
      <c r="NJ407"/>
      <c r="NK407"/>
      <c r="NL407"/>
      <c r="NM407"/>
      <c r="NN407"/>
      <c r="NO407"/>
      <c r="NP407"/>
      <c r="NQ407"/>
      <c r="NR407"/>
      <c r="NS407"/>
      <c r="NT407"/>
      <c r="NU407"/>
      <c r="NV407"/>
      <c r="NW407"/>
      <c r="NX407"/>
      <c r="NY407"/>
      <c r="NZ407"/>
      <c r="OA407"/>
      <c r="OB407"/>
      <c r="OC407"/>
      <c r="OD407"/>
      <c r="OE407"/>
      <c r="OF407"/>
      <c r="OG407"/>
      <c r="OH407"/>
      <c r="OI407"/>
      <c r="OJ407"/>
      <c r="OK407"/>
      <c r="OL407"/>
      <c r="OM407"/>
      <c r="ON407"/>
      <c r="OO407"/>
      <c r="OP407"/>
      <c r="OQ407"/>
      <c r="OR407"/>
      <c r="OS407"/>
      <c r="OT407"/>
      <c r="OU407"/>
      <c r="OV407"/>
      <c r="OW407"/>
      <c r="OX407"/>
      <c r="OY407"/>
      <c r="OZ407"/>
      <c r="PA407"/>
      <c r="PB407"/>
      <c r="PC407"/>
      <c r="PD407"/>
      <c r="PE407"/>
      <c r="PF407"/>
      <c r="PG407"/>
      <c r="PH407"/>
      <c r="PI407"/>
      <c r="PJ407"/>
      <c r="PK407"/>
      <c r="PL407"/>
      <c r="PM407"/>
      <c r="PN407"/>
      <c r="PO407"/>
      <c r="PP407"/>
      <c r="PQ407"/>
      <c r="PR407"/>
      <c r="PS407"/>
      <c r="PT407"/>
      <c r="PU407"/>
      <c r="PV407"/>
      <c r="PW407"/>
      <c r="PX407"/>
      <c r="PY407"/>
      <c r="PZ407"/>
      <c r="QA407"/>
      <c r="QB407"/>
      <c r="QC407"/>
      <c r="QD407"/>
      <c r="QE407"/>
      <c r="QF407"/>
      <c r="QG407"/>
      <c r="QH407"/>
      <c r="QI407"/>
      <c r="QJ407"/>
      <c r="QK407"/>
      <c r="QL407"/>
      <c r="QM407"/>
      <c r="QN407"/>
      <c r="QO407"/>
      <c r="QP407"/>
      <c r="QQ407"/>
      <c r="QR407"/>
      <c r="QS407"/>
      <c r="QT407"/>
      <c r="QU407"/>
      <c r="QV407"/>
      <c r="QW407"/>
      <c r="QX407"/>
      <c r="QY407"/>
      <c r="QZ407"/>
      <c r="RA407"/>
      <c r="RB407"/>
      <c r="RC407"/>
      <c r="RD407"/>
      <c r="RE407"/>
      <c r="RF407"/>
      <c r="RG407"/>
      <c r="RH407"/>
      <c r="RI407"/>
      <c r="RJ407"/>
      <c r="RK407"/>
      <c r="RL407"/>
      <c r="RM407"/>
      <c r="RN407"/>
      <c r="RO407"/>
      <c r="RP407"/>
      <c r="RQ407"/>
      <c r="RR407"/>
      <c r="RS407"/>
      <c r="RT407"/>
      <c r="RU407"/>
      <c r="RV407"/>
      <c r="RW407"/>
      <c r="RX407"/>
      <c r="RY407"/>
      <c r="RZ407"/>
      <c r="SA407"/>
      <c r="SB407"/>
      <c r="SC407"/>
      <c r="SD407"/>
      <c r="SE407"/>
      <c r="SF407"/>
      <c r="SG407"/>
      <c r="SH407"/>
      <c r="SI407"/>
      <c r="SJ407"/>
      <c r="SK407"/>
      <c r="SL407"/>
      <c r="SM407"/>
      <c r="SN407"/>
      <c r="SO407"/>
      <c r="SP407"/>
      <c r="SQ407"/>
      <c r="SR407"/>
      <c r="SS407"/>
      <c r="ST407"/>
      <c r="SU407"/>
      <c r="SV407"/>
      <c r="SW407"/>
      <c r="SX407"/>
      <c r="SY407"/>
      <c r="SZ407"/>
      <c r="TA407"/>
      <c r="TB407"/>
      <c r="TC407"/>
      <c r="TD407"/>
      <c r="TE407"/>
      <c r="TF407"/>
      <c r="TG407"/>
      <c r="TH407"/>
    </row>
    <row r="408" spans="3:528" x14ac:dyDescent="0.25">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c r="KT408"/>
      <c r="KU408"/>
      <c r="KV408"/>
      <c r="KW408"/>
      <c r="KX408"/>
      <c r="KY408"/>
      <c r="KZ408"/>
      <c r="LA408"/>
      <c r="LB408"/>
      <c r="LC408"/>
      <c r="LD408"/>
      <c r="LE408"/>
      <c r="LF408"/>
      <c r="LG408"/>
      <c r="LH408"/>
      <c r="LI408"/>
      <c r="LJ408"/>
      <c r="LK408"/>
      <c r="LL408"/>
      <c r="LM408"/>
      <c r="LN408"/>
      <c r="LO408"/>
      <c r="LP408"/>
      <c r="LQ408"/>
      <c r="LR408"/>
      <c r="LS408"/>
      <c r="LT408"/>
      <c r="LU408"/>
      <c r="LV408"/>
      <c r="LW408"/>
      <c r="LX408"/>
      <c r="LY408"/>
      <c r="LZ408"/>
      <c r="MA408"/>
      <c r="MB408"/>
      <c r="MC408"/>
      <c r="MD408"/>
      <c r="ME408"/>
      <c r="MF408"/>
      <c r="MG408"/>
      <c r="MH408"/>
      <c r="MI408"/>
      <c r="MJ408"/>
      <c r="MK408"/>
      <c r="ML408"/>
      <c r="MM408"/>
      <c r="MN408"/>
      <c r="MO408"/>
      <c r="MP408"/>
      <c r="MQ408"/>
      <c r="MR408"/>
      <c r="MS408"/>
      <c r="MT408"/>
      <c r="MU408"/>
      <c r="MV408"/>
      <c r="MW408"/>
      <c r="MX408"/>
      <c r="MY408"/>
      <c r="MZ408"/>
      <c r="NA408"/>
      <c r="NB408"/>
      <c r="NC408"/>
      <c r="ND408"/>
      <c r="NE408"/>
      <c r="NF408"/>
      <c r="NG408"/>
      <c r="NH408"/>
      <c r="NI408"/>
      <c r="NJ408"/>
      <c r="NK408"/>
      <c r="NL408"/>
      <c r="NM408"/>
      <c r="NN408"/>
      <c r="NO408"/>
      <c r="NP408"/>
      <c r="NQ408"/>
      <c r="NR408"/>
      <c r="NS408"/>
      <c r="NT408"/>
      <c r="NU408"/>
      <c r="NV408"/>
      <c r="NW408"/>
      <c r="NX408"/>
      <c r="NY408"/>
      <c r="NZ408"/>
      <c r="OA408"/>
      <c r="OB408"/>
      <c r="OC408"/>
      <c r="OD408"/>
      <c r="OE408"/>
      <c r="OF408"/>
      <c r="OG408"/>
      <c r="OH408"/>
      <c r="OI408"/>
      <c r="OJ408"/>
      <c r="OK408"/>
      <c r="OL408"/>
      <c r="OM408"/>
      <c r="ON408"/>
      <c r="OO408"/>
      <c r="OP408"/>
      <c r="OQ408"/>
      <c r="OR408"/>
      <c r="OS408"/>
      <c r="OT408"/>
      <c r="OU408"/>
      <c r="OV408"/>
      <c r="OW408"/>
      <c r="OX408"/>
      <c r="OY408"/>
      <c r="OZ408"/>
      <c r="PA408"/>
      <c r="PB408"/>
      <c r="PC408"/>
      <c r="PD408"/>
      <c r="PE408"/>
      <c r="PF408"/>
      <c r="PG408"/>
      <c r="PH408"/>
      <c r="PI408"/>
      <c r="PJ408"/>
      <c r="PK408"/>
      <c r="PL408"/>
      <c r="PM408"/>
      <c r="PN408"/>
      <c r="PO408"/>
      <c r="PP408"/>
      <c r="PQ408"/>
      <c r="PR408"/>
      <c r="PS408"/>
      <c r="PT408"/>
      <c r="PU408"/>
      <c r="PV408"/>
      <c r="PW408"/>
      <c r="PX408"/>
      <c r="PY408"/>
      <c r="PZ408"/>
      <c r="QA408"/>
      <c r="QB408"/>
      <c r="QC408"/>
      <c r="QD408"/>
      <c r="QE408"/>
      <c r="QF408"/>
      <c r="QG408"/>
      <c r="QH408"/>
      <c r="QI408"/>
      <c r="QJ408"/>
      <c r="QK408"/>
      <c r="QL408"/>
      <c r="QM408"/>
      <c r="QN408"/>
      <c r="QO408"/>
      <c r="QP408"/>
      <c r="QQ408"/>
      <c r="QR408"/>
      <c r="QS408"/>
      <c r="QT408"/>
      <c r="QU408"/>
      <c r="QV408"/>
      <c r="QW408"/>
      <c r="QX408"/>
      <c r="QY408"/>
      <c r="QZ408"/>
      <c r="RA408"/>
      <c r="RB408"/>
      <c r="RC408"/>
      <c r="RD408"/>
      <c r="RE408"/>
      <c r="RF408"/>
      <c r="RG408"/>
      <c r="RH408"/>
      <c r="RI408"/>
      <c r="RJ408"/>
      <c r="RK408"/>
      <c r="RL408"/>
      <c r="RM408"/>
      <c r="RN408"/>
      <c r="RO408"/>
      <c r="RP408"/>
      <c r="RQ408"/>
      <c r="RR408"/>
      <c r="RS408"/>
      <c r="RT408"/>
      <c r="RU408"/>
      <c r="RV408"/>
      <c r="RW408"/>
      <c r="RX408"/>
      <c r="RY408"/>
      <c r="RZ408"/>
      <c r="SA408"/>
      <c r="SB408"/>
      <c r="SC408"/>
      <c r="SD408"/>
      <c r="SE408"/>
      <c r="SF408"/>
      <c r="SG408"/>
      <c r="SH408"/>
      <c r="SI408"/>
      <c r="SJ408"/>
      <c r="SK408"/>
      <c r="SL408"/>
      <c r="SM408"/>
      <c r="SN408"/>
      <c r="SO408"/>
      <c r="SP408"/>
      <c r="SQ408"/>
      <c r="SR408"/>
      <c r="SS408"/>
      <c r="ST408"/>
      <c r="SU408"/>
      <c r="SV408"/>
      <c r="SW408"/>
      <c r="SX408"/>
      <c r="SY408"/>
      <c r="SZ408"/>
      <c r="TA408"/>
      <c r="TB408"/>
      <c r="TC408"/>
      <c r="TD408"/>
      <c r="TE408"/>
      <c r="TF408"/>
      <c r="TG408"/>
      <c r="TH408"/>
    </row>
    <row r="409" spans="3:528" x14ac:dyDescent="0.25">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c r="KT409"/>
      <c r="KU409"/>
      <c r="KV409"/>
      <c r="KW409"/>
      <c r="KX409"/>
      <c r="KY409"/>
      <c r="KZ409"/>
      <c r="LA409"/>
      <c r="LB409"/>
      <c r="LC409"/>
      <c r="LD409"/>
      <c r="LE409"/>
      <c r="LF409"/>
      <c r="LG409"/>
      <c r="LH409"/>
      <c r="LI409"/>
      <c r="LJ409"/>
      <c r="LK409"/>
      <c r="LL409"/>
      <c r="LM409"/>
      <c r="LN409"/>
      <c r="LO409"/>
      <c r="LP409"/>
      <c r="LQ409"/>
      <c r="LR409"/>
      <c r="LS409"/>
      <c r="LT409"/>
      <c r="LU409"/>
      <c r="LV409"/>
      <c r="LW409"/>
      <c r="LX409"/>
      <c r="LY409"/>
      <c r="LZ409"/>
      <c r="MA409"/>
      <c r="MB409"/>
      <c r="MC409"/>
      <c r="MD409"/>
      <c r="ME409"/>
      <c r="MF409"/>
      <c r="MG409"/>
      <c r="MH409"/>
      <c r="MI409"/>
      <c r="MJ409"/>
      <c r="MK409"/>
      <c r="ML409"/>
      <c r="MM409"/>
      <c r="MN409"/>
      <c r="MO409"/>
      <c r="MP409"/>
      <c r="MQ409"/>
      <c r="MR409"/>
      <c r="MS409"/>
      <c r="MT409"/>
      <c r="MU409"/>
      <c r="MV409"/>
      <c r="MW409"/>
      <c r="MX409"/>
      <c r="MY409"/>
      <c r="MZ409"/>
      <c r="NA409"/>
      <c r="NB409"/>
      <c r="NC409"/>
      <c r="ND409"/>
      <c r="NE409"/>
      <c r="NF409"/>
      <c r="NG409"/>
      <c r="NH409"/>
      <c r="NI409"/>
      <c r="NJ409"/>
      <c r="NK409"/>
      <c r="NL409"/>
      <c r="NM409"/>
      <c r="NN409"/>
      <c r="NO409"/>
      <c r="NP409"/>
      <c r="NQ409"/>
      <c r="NR409"/>
      <c r="NS409"/>
      <c r="NT409"/>
      <c r="NU409"/>
      <c r="NV409"/>
      <c r="NW409"/>
      <c r="NX409"/>
      <c r="NY409"/>
      <c r="NZ409"/>
      <c r="OA409"/>
      <c r="OB409"/>
      <c r="OC409"/>
      <c r="OD409"/>
      <c r="OE409"/>
      <c r="OF409"/>
      <c r="OG409"/>
      <c r="OH409"/>
      <c r="OI409"/>
      <c r="OJ409"/>
      <c r="OK409"/>
      <c r="OL409"/>
      <c r="OM409"/>
      <c r="ON409"/>
      <c r="OO409"/>
      <c r="OP409"/>
      <c r="OQ409"/>
      <c r="OR409"/>
      <c r="OS409"/>
      <c r="OT409"/>
      <c r="OU409"/>
      <c r="OV409"/>
      <c r="OW409"/>
      <c r="OX409"/>
      <c r="OY409"/>
      <c r="OZ409"/>
      <c r="PA409"/>
      <c r="PB409"/>
      <c r="PC409"/>
      <c r="PD409"/>
      <c r="PE409"/>
      <c r="PF409"/>
      <c r="PG409"/>
      <c r="PH409"/>
      <c r="PI409"/>
      <c r="PJ409"/>
      <c r="PK409"/>
      <c r="PL409"/>
      <c r="PM409"/>
      <c r="PN409"/>
      <c r="PO409"/>
      <c r="PP409"/>
      <c r="PQ409"/>
      <c r="PR409"/>
      <c r="PS409"/>
      <c r="PT409"/>
      <c r="PU409"/>
      <c r="PV409"/>
      <c r="PW409"/>
      <c r="PX409"/>
      <c r="PY409"/>
      <c r="PZ409"/>
      <c r="QA409"/>
      <c r="QB409"/>
      <c r="QC409"/>
      <c r="QD409"/>
      <c r="QE409"/>
      <c r="QF409"/>
      <c r="QG409"/>
      <c r="QH409"/>
      <c r="QI409"/>
      <c r="QJ409"/>
      <c r="QK409"/>
      <c r="QL409"/>
      <c r="QM409"/>
      <c r="QN409"/>
      <c r="QO409"/>
      <c r="QP409"/>
      <c r="QQ409"/>
      <c r="QR409"/>
      <c r="QS409"/>
      <c r="QT409"/>
      <c r="QU409"/>
      <c r="QV409"/>
      <c r="QW409"/>
      <c r="QX409"/>
      <c r="QY409"/>
      <c r="QZ409"/>
      <c r="RA409"/>
      <c r="RB409"/>
      <c r="RC409"/>
      <c r="RD409"/>
      <c r="RE409"/>
      <c r="RF409"/>
      <c r="RG409"/>
      <c r="RH409"/>
      <c r="RI409"/>
      <c r="RJ409"/>
      <c r="RK409"/>
      <c r="RL409"/>
      <c r="RM409"/>
      <c r="RN409"/>
      <c r="RO409"/>
      <c r="RP409"/>
      <c r="RQ409"/>
      <c r="RR409"/>
      <c r="RS409"/>
      <c r="RT409"/>
      <c r="RU409"/>
      <c r="RV409"/>
      <c r="RW409"/>
      <c r="RX409"/>
      <c r="RY409"/>
      <c r="RZ409"/>
      <c r="SA409"/>
      <c r="SB409"/>
      <c r="SC409"/>
      <c r="SD409"/>
      <c r="SE409"/>
      <c r="SF409"/>
      <c r="SG409"/>
      <c r="SH409"/>
      <c r="SI409"/>
      <c r="SJ409"/>
      <c r="SK409"/>
      <c r="SL409"/>
      <c r="SM409"/>
      <c r="SN409"/>
      <c r="SO409"/>
      <c r="SP409"/>
      <c r="SQ409"/>
      <c r="SR409"/>
      <c r="SS409"/>
      <c r="ST409"/>
      <c r="SU409"/>
      <c r="SV409"/>
      <c r="SW409"/>
      <c r="SX409"/>
      <c r="SY409"/>
      <c r="SZ409"/>
      <c r="TA409"/>
      <c r="TB409"/>
      <c r="TC409"/>
      <c r="TD409"/>
      <c r="TE409"/>
      <c r="TF409"/>
      <c r="TG409"/>
      <c r="TH409"/>
    </row>
    <row r="410" spans="3:528" x14ac:dyDescent="0.25">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c r="KT410"/>
      <c r="KU410"/>
      <c r="KV410"/>
      <c r="KW410"/>
      <c r="KX410"/>
      <c r="KY410"/>
      <c r="KZ410"/>
      <c r="LA410"/>
      <c r="LB410"/>
      <c r="LC410"/>
      <c r="LD410"/>
      <c r="LE410"/>
      <c r="LF410"/>
      <c r="LG410"/>
      <c r="LH410"/>
      <c r="LI410"/>
      <c r="LJ410"/>
      <c r="LK410"/>
      <c r="LL410"/>
      <c r="LM410"/>
      <c r="LN410"/>
      <c r="LO410"/>
      <c r="LP410"/>
      <c r="LQ410"/>
      <c r="LR410"/>
      <c r="LS410"/>
      <c r="LT410"/>
      <c r="LU410"/>
      <c r="LV410"/>
      <c r="LW410"/>
      <c r="LX410"/>
      <c r="LY410"/>
      <c r="LZ410"/>
      <c r="MA410"/>
      <c r="MB410"/>
      <c r="MC410"/>
      <c r="MD410"/>
      <c r="ME410"/>
      <c r="MF410"/>
      <c r="MG410"/>
      <c r="MH410"/>
      <c r="MI410"/>
      <c r="MJ410"/>
      <c r="MK410"/>
      <c r="ML410"/>
      <c r="MM410"/>
      <c r="MN410"/>
      <c r="MO410"/>
      <c r="MP410"/>
      <c r="MQ410"/>
      <c r="MR410"/>
      <c r="MS410"/>
      <c r="MT410"/>
      <c r="MU410"/>
      <c r="MV410"/>
      <c r="MW410"/>
      <c r="MX410"/>
      <c r="MY410"/>
      <c r="MZ410"/>
      <c r="NA410"/>
      <c r="NB410"/>
      <c r="NC410"/>
      <c r="ND410"/>
      <c r="NE410"/>
      <c r="NF410"/>
      <c r="NG410"/>
      <c r="NH410"/>
      <c r="NI410"/>
      <c r="NJ410"/>
      <c r="NK410"/>
      <c r="NL410"/>
      <c r="NM410"/>
      <c r="NN410"/>
      <c r="NO410"/>
      <c r="NP410"/>
      <c r="NQ410"/>
      <c r="NR410"/>
      <c r="NS410"/>
      <c r="NT410"/>
      <c r="NU410"/>
      <c r="NV410"/>
      <c r="NW410"/>
      <c r="NX410"/>
      <c r="NY410"/>
      <c r="NZ410"/>
      <c r="OA410"/>
      <c r="OB410"/>
      <c r="OC410"/>
      <c r="OD410"/>
      <c r="OE410"/>
      <c r="OF410"/>
      <c r="OG410"/>
      <c r="OH410"/>
      <c r="OI410"/>
      <c r="OJ410"/>
      <c r="OK410"/>
      <c r="OL410"/>
      <c r="OM410"/>
      <c r="ON410"/>
      <c r="OO410"/>
      <c r="OP410"/>
      <c r="OQ410"/>
      <c r="OR410"/>
      <c r="OS410"/>
      <c r="OT410"/>
      <c r="OU410"/>
      <c r="OV410"/>
      <c r="OW410"/>
      <c r="OX410"/>
      <c r="OY410"/>
      <c r="OZ410"/>
      <c r="PA410"/>
      <c r="PB410"/>
      <c r="PC410"/>
      <c r="PD410"/>
      <c r="PE410"/>
      <c r="PF410"/>
      <c r="PG410"/>
      <c r="PH410"/>
      <c r="PI410"/>
      <c r="PJ410"/>
      <c r="PK410"/>
      <c r="PL410"/>
      <c r="PM410"/>
      <c r="PN410"/>
      <c r="PO410"/>
      <c r="PP410"/>
      <c r="PQ410"/>
      <c r="PR410"/>
      <c r="PS410"/>
      <c r="PT410"/>
      <c r="PU410"/>
      <c r="PV410"/>
      <c r="PW410"/>
      <c r="PX410"/>
      <c r="PY410"/>
      <c r="PZ410"/>
      <c r="QA410"/>
      <c r="QB410"/>
      <c r="QC410"/>
      <c r="QD410"/>
      <c r="QE410"/>
      <c r="QF410"/>
      <c r="QG410"/>
      <c r="QH410"/>
      <c r="QI410"/>
      <c r="QJ410"/>
      <c r="QK410"/>
      <c r="QL410"/>
      <c r="QM410"/>
      <c r="QN410"/>
      <c r="QO410"/>
      <c r="QP410"/>
      <c r="QQ410"/>
      <c r="QR410"/>
      <c r="QS410"/>
      <c r="QT410"/>
      <c r="QU410"/>
      <c r="QV410"/>
      <c r="QW410"/>
      <c r="QX410"/>
      <c r="QY410"/>
      <c r="QZ410"/>
      <c r="RA410"/>
      <c r="RB410"/>
      <c r="RC410"/>
      <c r="RD410"/>
      <c r="RE410"/>
      <c r="RF410"/>
      <c r="RG410"/>
      <c r="RH410"/>
      <c r="RI410"/>
      <c r="RJ410"/>
      <c r="RK410"/>
      <c r="RL410"/>
      <c r="RM410"/>
      <c r="RN410"/>
      <c r="RO410"/>
      <c r="RP410"/>
      <c r="RQ410"/>
      <c r="RR410"/>
      <c r="RS410"/>
      <c r="RT410"/>
      <c r="RU410"/>
      <c r="RV410"/>
      <c r="RW410"/>
      <c r="RX410"/>
      <c r="RY410"/>
      <c r="RZ410"/>
      <c r="SA410"/>
      <c r="SB410"/>
      <c r="SC410"/>
      <c r="SD410"/>
      <c r="SE410"/>
      <c r="SF410"/>
      <c r="SG410"/>
      <c r="SH410"/>
      <c r="SI410"/>
      <c r="SJ410"/>
      <c r="SK410"/>
      <c r="SL410"/>
      <c r="SM410"/>
      <c r="SN410"/>
      <c r="SO410"/>
      <c r="SP410"/>
      <c r="SQ410"/>
      <c r="SR410"/>
      <c r="SS410"/>
      <c r="ST410"/>
      <c r="SU410"/>
      <c r="SV410"/>
      <c r="SW410"/>
      <c r="SX410"/>
      <c r="SY410"/>
      <c r="SZ410"/>
      <c r="TA410"/>
      <c r="TB410"/>
      <c r="TC410"/>
      <c r="TD410"/>
      <c r="TE410"/>
      <c r="TF410"/>
      <c r="TG410"/>
      <c r="TH410"/>
    </row>
    <row r="411" spans="3:528" x14ac:dyDescent="0.25">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c r="KT411"/>
      <c r="KU411"/>
      <c r="KV411"/>
      <c r="KW411"/>
      <c r="KX411"/>
      <c r="KY411"/>
      <c r="KZ411"/>
      <c r="LA411"/>
      <c r="LB411"/>
      <c r="LC411"/>
      <c r="LD411"/>
      <c r="LE411"/>
      <c r="LF411"/>
      <c r="LG411"/>
      <c r="LH411"/>
      <c r="LI411"/>
      <c r="LJ411"/>
      <c r="LK411"/>
      <c r="LL411"/>
      <c r="LM411"/>
      <c r="LN411"/>
      <c r="LO411"/>
      <c r="LP411"/>
      <c r="LQ411"/>
      <c r="LR411"/>
      <c r="LS411"/>
      <c r="LT411"/>
      <c r="LU411"/>
      <c r="LV411"/>
      <c r="LW411"/>
      <c r="LX411"/>
      <c r="LY411"/>
      <c r="LZ411"/>
      <c r="MA411"/>
      <c r="MB411"/>
      <c r="MC411"/>
      <c r="MD411"/>
      <c r="ME411"/>
      <c r="MF411"/>
      <c r="MG411"/>
      <c r="MH411"/>
      <c r="MI411"/>
      <c r="MJ411"/>
      <c r="MK411"/>
      <c r="ML411"/>
      <c r="MM411"/>
      <c r="MN411"/>
      <c r="MO411"/>
      <c r="MP411"/>
      <c r="MQ411"/>
      <c r="MR411"/>
      <c r="MS411"/>
      <c r="MT411"/>
      <c r="MU411"/>
      <c r="MV411"/>
      <c r="MW411"/>
      <c r="MX411"/>
      <c r="MY411"/>
      <c r="MZ411"/>
      <c r="NA411"/>
      <c r="NB411"/>
      <c r="NC411"/>
      <c r="ND411"/>
      <c r="NE411"/>
      <c r="NF411"/>
      <c r="NG411"/>
      <c r="NH411"/>
      <c r="NI411"/>
      <c r="NJ411"/>
      <c r="NK411"/>
      <c r="NL411"/>
      <c r="NM411"/>
      <c r="NN411"/>
      <c r="NO411"/>
      <c r="NP411"/>
      <c r="NQ411"/>
      <c r="NR411"/>
      <c r="NS411"/>
      <c r="NT411"/>
      <c r="NU411"/>
      <c r="NV411"/>
      <c r="NW411"/>
      <c r="NX411"/>
      <c r="NY411"/>
      <c r="NZ411"/>
      <c r="OA411"/>
      <c r="OB411"/>
      <c r="OC411"/>
      <c r="OD411"/>
      <c r="OE411"/>
      <c r="OF411"/>
      <c r="OG411"/>
      <c r="OH411"/>
      <c r="OI411"/>
      <c r="OJ411"/>
      <c r="OK411"/>
      <c r="OL411"/>
      <c r="OM411"/>
      <c r="ON411"/>
      <c r="OO411"/>
      <c r="OP411"/>
      <c r="OQ411"/>
      <c r="OR411"/>
      <c r="OS411"/>
      <c r="OT411"/>
      <c r="OU411"/>
      <c r="OV411"/>
      <c r="OW411"/>
      <c r="OX411"/>
      <c r="OY411"/>
      <c r="OZ411"/>
      <c r="PA411"/>
      <c r="PB411"/>
      <c r="PC411"/>
      <c r="PD411"/>
      <c r="PE411"/>
      <c r="PF411"/>
      <c r="PG411"/>
      <c r="PH411"/>
      <c r="PI411"/>
      <c r="PJ411"/>
      <c r="PK411"/>
      <c r="PL411"/>
      <c r="PM411"/>
      <c r="PN411"/>
      <c r="PO411"/>
      <c r="PP411"/>
      <c r="PQ411"/>
      <c r="PR411"/>
      <c r="PS411"/>
      <c r="PT411"/>
      <c r="PU411"/>
      <c r="PV411"/>
      <c r="PW411"/>
      <c r="PX411"/>
      <c r="PY411"/>
      <c r="PZ411"/>
      <c r="QA411"/>
      <c r="QB411"/>
      <c r="QC411"/>
      <c r="QD411"/>
      <c r="QE411"/>
      <c r="QF411"/>
      <c r="QG411"/>
      <c r="QH411"/>
      <c r="QI411"/>
      <c r="QJ411"/>
      <c r="QK411"/>
      <c r="QL411"/>
      <c r="QM411"/>
      <c r="QN411"/>
      <c r="QO411"/>
      <c r="QP411"/>
      <c r="QQ411"/>
      <c r="QR411"/>
      <c r="QS411"/>
      <c r="QT411"/>
      <c r="QU411"/>
      <c r="QV411"/>
      <c r="QW411"/>
      <c r="QX411"/>
      <c r="QY411"/>
      <c r="QZ411"/>
      <c r="RA411"/>
      <c r="RB411"/>
      <c r="RC411"/>
      <c r="RD411"/>
      <c r="RE411"/>
      <c r="RF411"/>
      <c r="RG411"/>
      <c r="RH411"/>
      <c r="RI411"/>
      <c r="RJ411"/>
      <c r="RK411"/>
      <c r="RL411"/>
      <c r="RM411"/>
      <c r="RN411"/>
      <c r="RO411"/>
      <c r="RP411"/>
      <c r="RQ411"/>
      <c r="RR411"/>
      <c r="RS411"/>
      <c r="RT411"/>
      <c r="RU411"/>
      <c r="RV411"/>
      <c r="RW411"/>
      <c r="RX411"/>
      <c r="RY411"/>
      <c r="RZ411"/>
      <c r="SA411"/>
      <c r="SB411"/>
      <c r="SC411"/>
      <c r="SD411"/>
      <c r="SE411"/>
      <c r="SF411"/>
      <c r="SG411"/>
      <c r="SH411"/>
      <c r="SI411"/>
      <c r="SJ411"/>
      <c r="SK411"/>
      <c r="SL411"/>
      <c r="SM411"/>
      <c r="SN411"/>
      <c r="SO411"/>
      <c r="SP411"/>
      <c r="SQ411"/>
      <c r="SR411"/>
      <c r="SS411"/>
      <c r="ST411"/>
      <c r="SU411"/>
      <c r="SV411"/>
      <c r="SW411"/>
      <c r="SX411"/>
      <c r="SY411"/>
      <c r="SZ411"/>
      <c r="TA411"/>
      <c r="TB411"/>
      <c r="TC411"/>
      <c r="TD411"/>
      <c r="TE411"/>
      <c r="TF411"/>
      <c r="TG411"/>
      <c r="TH411"/>
    </row>
    <row r="412" spans="3:528" x14ac:dyDescent="0.25">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c r="KT412"/>
      <c r="KU412"/>
      <c r="KV412"/>
      <c r="KW412"/>
      <c r="KX412"/>
      <c r="KY412"/>
      <c r="KZ412"/>
      <c r="LA412"/>
      <c r="LB412"/>
      <c r="LC412"/>
      <c r="LD412"/>
      <c r="LE412"/>
      <c r="LF412"/>
      <c r="LG412"/>
      <c r="LH412"/>
      <c r="LI412"/>
      <c r="LJ412"/>
      <c r="LK412"/>
      <c r="LL412"/>
      <c r="LM412"/>
      <c r="LN412"/>
      <c r="LO412"/>
      <c r="LP412"/>
      <c r="LQ412"/>
      <c r="LR412"/>
      <c r="LS412"/>
      <c r="LT412"/>
      <c r="LU412"/>
      <c r="LV412"/>
      <c r="LW412"/>
      <c r="LX412"/>
      <c r="LY412"/>
      <c r="LZ412"/>
      <c r="MA412"/>
      <c r="MB412"/>
      <c r="MC412"/>
      <c r="MD412"/>
      <c r="ME412"/>
      <c r="MF412"/>
      <c r="MG412"/>
      <c r="MH412"/>
      <c r="MI412"/>
      <c r="MJ412"/>
      <c r="MK412"/>
      <c r="ML412"/>
      <c r="MM412"/>
      <c r="MN412"/>
      <c r="MO412"/>
      <c r="MP412"/>
      <c r="MQ412"/>
      <c r="MR412"/>
      <c r="MS412"/>
      <c r="MT412"/>
      <c r="MU412"/>
      <c r="MV412"/>
      <c r="MW412"/>
      <c r="MX412"/>
      <c r="MY412"/>
      <c r="MZ412"/>
      <c r="NA412"/>
      <c r="NB412"/>
      <c r="NC412"/>
      <c r="ND412"/>
      <c r="NE412"/>
      <c r="NF412"/>
      <c r="NG412"/>
      <c r="NH412"/>
      <c r="NI412"/>
      <c r="NJ412"/>
      <c r="NK412"/>
      <c r="NL412"/>
      <c r="NM412"/>
      <c r="NN412"/>
      <c r="NO412"/>
      <c r="NP412"/>
      <c r="NQ412"/>
      <c r="NR412"/>
      <c r="NS412"/>
      <c r="NT412"/>
      <c r="NU412"/>
      <c r="NV412"/>
      <c r="NW412"/>
      <c r="NX412"/>
      <c r="NY412"/>
      <c r="NZ412"/>
      <c r="OA412"/>
      <c r="OB412"/>
      <c r="OC412"/>
      <c r="OD412"/>
      <c r="OE412"/>
      <c r="OF412"/>
      <c r="OG412"/>
      <c r="OH412"/>
      <c r="OI412"/>
      <c r="OJ412"/>
      <c r="OK412"/>
      <c r="OL412"/>
      <c r="OM412"/>
      <c r="ON412"/>
      <c r="OO412"/>
      <c r="OP412"/>
      <c r="OQ412"/>
      <c r="OR412"/>
      <c r="OS412"/>
      <c r="OT412"/>
      <c r="OU412"/>
      <c r="OV412"/>
      <c r="OW412"/>
      <c r="OX412"/>
      <c r="OY412"/>
      <c r="OZ412"/>
      <c r="PA412"/>
      <c r="PB412"/>
      <c r="PC412"/>
      <c r="PD412"/>
      <c r="PE412"/>
      <c r="PF412"/>
      <c r="PG412"/>
      <c r="PH412"/>
      <c r="PI412"/>
      <c r="PJ412"/>
      <c r="PK412"/>
      <c r="PL412"/>
      <c r="PM412"/>
      <c r="PN412"/>
      <c r="PO412"/>
      <c r="PP412"/>
      <c r="PQ412"/>
      <c r="PR412"/>
      <c r="PS412"/>
      <c r="PT412"/>
      <c r="PU412"/>
      <c r="PV412"/>
      <c r="PW412"/>
      <c r="PX412"/>
      <c r="PY412"/>
      <c r="PZ412"/>
      <c r="QA412"/>
      <c r="QB412"/>
      <c r="QC412"/>
      <c r="QD412"/>
      <c r="QE412"/>
      <c r="QF412"/>
      <c r="QG412"/>
      <c r="QH412"/>
      <c r="QI412"/>
      <c r="QJ412"/>
      <c r="QK412"/>
      <c r="QL412"/>
      <c r="QM412"/>
      <c r="QN412"/>
      <c r="QO412"/>
      <c r="QP412"/>
      <c r="QQ412"/>
      <c r="QR412"/>
      <c r="QS412"/>
      <c r="QT412"/>
      <c r="QU412"/>
      <c r="QV412"/>
      <c r="QW412"/>
      <c r="QX412"/>
      <c r="QY412"/>
      <c r="QZ412"/>
      <c r="RA412"/>
      <c r="RB412"/>
      <c r="RC412"/>
      <c r="RD412"/>
      <c r="RE412"/>
      <c r="RF412"/>
      <c r="RG412"/>
      <c r="RH412"/>
      <c r="RI412"/>
      <c r="RJ412"/>
      <c r="RK412"/>
      <c r="RL412"/>
      <c r="RM412"/>
      <c r="RN412"/>
      <c r="RO412"/>
      <c r="RP412"/>
      <c r="RQ412"/>
      <c r="RR412"/>
      <c r="RS412"/>
      <c r="RT412"/>
      <c r="RU412"/>
      <c r="RV412"/>
      <c r="RW412"/>
      <c r="RX412"/>
      <c r="RY412"/>
      <c r="RZ412"/>
      <c r="SA412"/>
      <c r="SB412"/>
      <c r="SC412"/>
      <c r="SD412"/>
      <c r="SE412"/>
      <c r="SF412"/>
      <c r="SG412"/>
      <c r="SH412"/>
      <c r="SI412"/>
      <c r="SJ412"/>
      <c r="SK412"/>
      <c r="SL412"/>
      <c r="SM412"/>
      <c r="SN412"/>
      <c r="SO412"/>
      <c r="SP412"/>
      <c r="SQ412"/>
      <c r="SR412"/>
      <c r="SS412"/>
      <c r="ST412"/>
      <c r="SU412"/>
      <c r="SV412"/>
      <c r="SW412"/>
      <c r="SX412"/>
      <c r="SY412"/>
      <c r="SZ412"/>
      <c r="TA412"/>
      <c r="TB412"/>
      <c r="TC412"/>
      <c r="TD412"/>
      <c r="TE412"/>
      <c r="TF412"/>
      <c r="TG412"/>
      <c r="TH412"/>
    </row>
    <row r="413" spans="3:528" x14ac:dyDescent="0.25">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c r="KT413"/>
      <c r="KU413"/>
      <c r="KV413"/>
      <c r="KW413"/>
      <c r="KX413"/>
      <c r="KY413"/>
      <c r="KZ413"/>
      <c r="LA413"/>
      <c r="LB413"/>
      <c r="LC413"/>
      <c r="LD413"/>
      <c r="LE413"/>
      <c r="LF413"/>
      <c r="LG413"/>
      <c r="LH413"/>
      <c r="LI413"/>
      <c r="LJ413"/>
      <c r="LK413"/>
      <c r="LL413"/>
      <c r="LM413"/>
      <c r="LN413"/>
      <c r="LO413"/>
      <c r="LP413"/>
      <c r="LQ413"/>
      <c r="LR413"/>
      <c r="LS413"/>
      <c r="LT413"/>
      <c r="LU413"/>
      <c r="LV413"/>
      <c r="LW413"/>
      <c r="LX413"/>
      <c r="LY413"/>
      <c r="LZ413"/>
      <c r="MA413"/>
      <c r="MB413"/>
      <c r="MC413"/>
      <c r="MD413"/>
      <c r="ME413"/>
      <c r="MF413"/>
      <c r="MG413"/>
      <c r="MH413"/>
      <c r="MI413"/>
      <c r="MJ413"/>
      <c r="MK413"/>
      <c r="ML413"/>
      <c r="MM413"/>
      <c r="MN413"/>
      <c r="MO413"/>
      <c r="MP413"/>
      <c r="MQ413"/>
      <c r="MR413"/>
      <c r="MS413"/>
      <c r="MT413"/>
      <c r="MU413"/>
      <c r="MV413"/>
      <c r="MW413"/>
      <c r="MX413"/>
      <c r="MY413"/>
      <c r="MZ413"/>
      <c r="NA413"/>
      <c r="NB413"/>
      <c r="NC413"/>
      <c r="ND413"/>
      <c r="NE413"/>
      <c r="NF413"/>
      <c r="NG413"/>
      <c r="NH413"/>
      <c r="NI413"/>
      <c r="NJ413"/>
      <c r="NK413"/>
      <c r="NL413"/>
      <c r="NM413"/>
      <c r="NN413"/>
      <c r="NO413"/>
      <c r="NP413"/>
      <c r="NQ413"/>
      <c r="NR413"/>
      <c r="NS413"/>
      <c r="NT413"/>
      <c r="NU413"/>
      <c r="NV413"/>
      <c r="NW413"/>
      <c r="NX413"/>
      <c r="NY413"/>
      <c r="NZ413"/>
      <c r="OA413"/>
      <c r="OB413"/>
      <c r="OC413"/>
      <c r="OD413"/>
      <c r="OE413"/>
      <c r="OF413"/>
      <c r="OG413"/>
      <c r="OH413"/>
      <c r="OI413"/>
      <c r="OJ413"/>
      <c r="OK413"/>
      <c r="OL413"/>
      <c r="OM413"/>
      <c r="ON413"/>
      <c r="OO413"/>
      <c r="OP413"/>
      <c r="OQ413"/>
      <c r="OR413"/>
      <c r="OS413"/>
      <c r="OT413"/>
      <c r="OU413"/>
      <c r="OV413"/>
      <c r="OW413"/>
      <c r="OX413"/>
      <c r="OY413"/>
      <c r="OZ413"/>
      <c r="PA413"/>
      <c r="PB413"/>
      <c r="PC413"/>
      <c r="PD413"/>
      <c r="PE413"/>
      <c r="PF413"/>
      <c r="PG413"/>
      <c r="PH413"/>
      <c r="PI413"/>
      <c r="PJ413"/>
      <c r="PK413"/>
      <c r="PL413"/>
      <c r="PM413"/>
      <c r="PN413"/>
      <c r="PO413"/>
      <c r="PP413"/>
      <c r="PQ413"/>
      <c r="PR413"/>
      <c r="PS413"/>
      <c r="PT413"/>
      <c r="PU413"/>
      <c r="PV413"/>
      <c r="PW413"/>
      <c r="PX413"/>
      <c r="PY413"/>
      <c r="PZ413"/>
      <c r="QA413"/>
      <c r="QB413"/>
      <c r="QC413"/>
      <c r="QD413"/>
      <c r="QE413"/>
      <c r="QF413"/>
      <c r="QG413"/>
      <c r="QH413"/>
      <c r="QI413"/>
      <c r="QJ413"/>
      <c r="QK413"/>
      <c r="QL413"/>
      <c r="QM413"/>
      <c r="QN413"/>
      <c r="QO413"/>
      <c r="QP413"/>
      <c r="QQ413"/>
      <c r="QR413"/>
      <c r="QS413"/>
      <c r="QT413"/>
      <c r="QU413"/>
      <c r="QV413"/>
      <c r="QW413"/>
      <c r="QX413"/>
      <c r="QY413"/>
      <c r="QZ413"/>
      <c r="RA413"/>
      <c r="RB413"/>
      <c r="RC413"/>
      <c r="RD413"/>
      <c r="RE413"/>
      <c r="RF413"/>
      <c r="RG413"/>
      <c r="RH413"/>
      <c r="RI413"/>
      <c r="RJ413"/>
      <c r="RK413"/>
      <c r="RL413"/>
      <c r="RM413"/>
      <c r="RN413"/>
      <c r="RO413"/>
      <c r="RP413"/>
      <c r="RQ413"/>
      <c r="RR413"/>
      <c r="RS413"/>
      <c r="RT413"/>
      <c r="RU413"/>
      <c r="RV413"/>
      <c r="RW413"/>
      <c r="RX413"/>
      <c r="RY413"/>
      <c r="RZ413"/>
      <c r="SA413"/>
      <c r="SB413"/>
      <c r="SC413"/>
      <c r="SD413"/>
      <c r="SE413"/>
      <c r="SF413"/>
      <c r="SG413"/>
      <c r="SH413"/>
      <c r="SI413"/>
      <c r="SJ413"/>
      <c r="SK413"/>
      <c r="SL413"/>
      <c r="SM413"/>
      <c r="SN413"/>
      <c r="SO413"/>
      <c r="SP413"/>
      <c r="SQ413"/>
      <c r="SR413"/>
      <c r="SS413"/>
      <c r="ST413"/>
      <c r="SU413"/>
      <c r="SV413"/>
      <c r="SW413"/>
      <c r="SX413"/>
      <c r="SY413"/>
      <c r="SZ413"/>
      <c r="TA413"/>
      <c r="TB413"/>
      <c r="TC413"/>
      <c r="TD413"/>
      <c r="TE413"/>
      <c r="TF413"/>
      <c r="TG413"/>
      <c r="TH413"/>
    </row>
    <row r="414" spans="3:528" x14ac:dyDescent="0.25">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c r="KT414"/>
      <c r="KU414"/>
      <c r="KV414"/>
      <c r="KW414"/>
      <c r="KX414"/>
      <c r="KY414"/>
      <c r="KZ414"/>
      <c r="LA414"/>
      <c r="LB414"/>
      <c r="LC414"/>
      <c r="LD414"/>
      <c r="LE414"/>
      <c r="LF414"/>
      <c r="LG414"/>
      <c r="LH414"/>
      <c r="LI414"/>
      <c r="LJ414"/>
      <c r="LK414"/>
      <c r="LL414"/>
      <c r="LM414"/>
      <c r="LN414"/>
      <c r="LO414"/>
      <c r="LP414"/>
      <c r="LQ414"/>
      <c r="LR414"/>
      <c r="LS414"/>
      <c r="LT414"/>
      <c r="LU414"/>
      <c r="LV414"/>
      <c r="LW414"/>
      <c r="LX414"/>
      <c r="LY414"/>
      <c r="LZ414"/>
      <c r="MA414"/>
      <c r="MB414"/>
      <c r="MC414"/>
      <c r="MD414"/>
      <c r="ME414"/>
      <c r="MF414"/>
      <c r="MG414"/>
      <c r="MH414"/>
      <c r="MI414"/>
      <c r="MJ414"/>
      <c r="MK414"/>
      <c r="ML414"/>
      <c r="MM414"/>
      <c r="MN414"/>
      <c r="MO414"/>
      <c r="MP414"/>
      <c r="MQ414"/>
      <c r="MR414"/>
      <c r="MS414"/>
      <c r="MT414"/>
      <c r="MU414"/>
      <c r="MV414"/>
      <c r="MW414"/>
      <c r="MX414"/>
      <c r="MY414"/>
      <c r="MZ414"/>
      <c r="NA414"/>
      <c r="NB414"/>
      <c r="NC414"/>
      <c r="ND414"/>
      <c r="NE414"/>
      <c r="NF414"/>
      <c r="NG414"/>
      <c r="NH414"/>
      <c r="NI414"/>
      <c r="NJ414"/>
      <c r="NK414"/>
      <c r="NL414"/>
      <c r="NM414"/>
      <c r="NN414"/>
      <c r="NO414"/>
      <c r="NP414"/>
      <c r="NQ414"/>
      <c r="NR414"/>
      <c r="NS414"/>
      <c r="NT414"/>
      <c r="NU414"/>
      <c r="NV414"/>
      <c r="NW414"/>
      <c r="NX414"/>
      <c r="NY414"/>
      <c r="NZ414"/>
      <c r="OA414"/>
      <c r="OB414"/>
      <c r="OC414"/>
      <c r="OD414"/>
      <c r="OE414"/>
      <c r="OF414"/>
      <c r="OG414"/>
      <c r="OH414"/>
      <c r="OI414"/>
      <c r="OJ414"/>
      <c r="OK414"/>
      <c r="OL414"/>
      <c r="OM414"/>
      <c r="ON414"/>
      <c r="OO414"/>
      <c r="OP414"/>
      <c r="OQ414"/>
      <c r="OR414"/>
      <c r="OS414"/>
      <c r="OT414"/>
      <c r="OU414"/>
      <c r="OV414"/>
      <c r="OW414"/>
      <c r="OX414"/>
      <c r="OY414"/>
      <c r="OZ414"/>
      <c r="PA414"/>
      <c r="PB414"/>
      <c r="PC414"/>
      <c r="PD414"/>
      <c r="PE414"/>
      <c r="PF414"/>
      <c r="PG414"/>
      <c r="PH414"/>
      <c r="PI414"/>
      <c r="PJ414"/>
      <c r="PK414"/>
      <c r="PL414"/>
      <c r="PM414"/>
      <c r="PN414"/>
      <c r="PO414"/>
      <c r="PP414"/>
      <c r="PQ414"/>
      <c r="PR414"/>
      <c r="PS414"/>
      <c r="PT414"/>
      <c r="PU414"/>
      <c r="PV414"/>
      <c r="PW414"/>
      <c r="PX414"/>
      <c r="PY414"/>
      <c r="PZ414"/>
      <c r="QA414"/>
      <c r="QB414"/>
      <c r="QC414"/>
      <c r="QD414"/>
      <c r="QE414"/>
      <c r="QF414"/>
      <c r="QG414"/>
      <c r="QH414"/>
      <c r="QI414"/>
      <c r="QJ414"/>
      <c r="QK414"/>
      <c r="QL414"/>
      <c r="QM414"/>
      <c r="QN414"/>
      <c r="QO414"/>
      <c r="QP414"/>
      <c r="QQ414"/>
      <c r="QR414"/>
      <c r="QS414"/>
      <c r="QT414"/>
      <c r="QU414"/>
      <c r="QV414"/>
      <c r="QW414"/>
      <c r="QX414"/>
      <c r="QY414"/>
      <c r="QZ414"/>
      <c r="RA414"/>
      <c r="RB414"/>
      <c r="RC414"/>
      <c r="RD414"/>
      <c r="RE414"/>
      <c r="RF414"/>
      <c r="RG414"/>
      <c r="RH414"/>
      <c r="RI414"/>
      <c r="RJ414"/>
      <c r="RK414"/>
      <c r="RL414"/>
      <c r="RM414"/>
      <c r="RN414"/>
      <c r="RO414"/>
      <c r="RP414"/>
      <c r="RQ414"/>
      <c r="RR414"/>
      <c r="RS414"/>
      <c r="RT414"/>
      <c r="RU414"/>
      <c r="RV414"/>
      <c r="RW414"/>
      <c r="RX414"/>
      <c r="RY414"/>
      <c r="RZ414"/>
      <c r="SA414"/>
      <c r="SB414"/>
      <c r="SC414"/>
      <c r="SD414"/>
      <c r="SE414"/>
      <c r="SF414"/>
      <c r="SG414"/>
      <c r="SH414"/>
      <c r="SI414"/>
      <c r="SJ414"/>
      <c r="SK414"/>
      <c r="SL414"/>
      <c r="SM414"/>
      <c r="SN414"/>
      <c r="SO414"/>
      <c r="SP414"/>
      <c r="SQ414"/>
      <c r="SR414"/>
      <c r="SS414"/>
      <c r="ST414"/>
      <c r="SU414"/>
      <c r="SV414"/>
      <c r="SW414"/>
      <c r="SX414"/>
      <c r="SY414"/>
      <c r="SZ414"/>
      <c r="TA414"/>
      <c r="TB414"/>
      <c r="TC414"/>
      <c r="TD414"/>
      <c r="TE414"/>
      <c r="TF414"/>
      <c r="TG414"/>
      <c r="TH414"/>
    </row>
    <row r="415" spans="3:528" x14ac:dyDescent="0.2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c r="KT415"/>
      <c r="KU415"/>
      <c r="KV415"/>
      <c r="KW415"/>
      <c r="KX415"/>
      <c r="KY415"/>
      <c r="KZ415"/>
      <c r="LA415"/>
      <c r="LB415"/>
      <c r="LC415"/>
      <c r="LD415"/>
      <c r="LE415"/>
      <c r="LF415"/>
      <c r="LG415"/>
      <c r="LH415"/>
      <c r="LI415"/>
      <c r="LJ415"/>
      <c r="LK415"/>
      <c r="LL415"/>
      <c r="LM415"/>
      <c r="LN415"/>
      <c r="LO415"/>
      <c r="LP415"/>
      <c r="LQ415"/>
      <c r="LR415"/>
      <c r="LS415"/>
      <c r="LT415"/>
      <c r="LU415"/>
      <c r="LV415"/>
      <c r="LW415"/>
      <c r="LX415"/>
      <c r="LY415"/>
      <c r="LZ415"/>
      <c r="MA415"/>
      <c r="MB415"/>
      <c r="MC415"/>
      <c r="MD415"/>
      <c r="ME415"/>
      <c r="MF415"/>
      <c r="MG415"/>
      <c r="MH415"/>
      <c r="MI415"/>
      <c r="MJ415"/>
      <c r="MK415"/>
      <c r="ML415"/>
      <c r="MM415"/>
      <c r="MN415"/>
      <c r="MO415"/>
      <c r="MP415"/>
      <c r="MQ415"/>
      <c r="MR415"/>
      <c r="MS415"/>
      <c r="MT415"/>
      <c r="MU415"/>
      <c r="MV415"/>
      <c r="MW415"/>
      <c r="MX415"/>
      <c r="MY415"/>
      <c r="MZ415"/>
      <c r="NA415"/>
      <c r="NB415"/>
      <c r="NC415"/>
      <c r="ND415"/>
      <c r="NE415"/>
      <c r="NF415"/>
      <c r="NG415"/>
      <c r="NH415"/>
      <c r="NI415"/>
      <c r="NJ415"/>
      <c r="NK415"/>
      <c r="NL415"/>
      <c r="NM415"/>
      <c r="NN415"/>
      <c r="NO415"/>
      <c r="NP415"/>
      <c r="NQ415"/>
      <c r="NR415"/>
      <c r="NS415"/>
      <c r="NT415"/>
      <c r="NU415"/>
      <c r="NV415"/>
      <c r="NW415"/>
      <c r="NX415"/>
      <c r="NY415"/>
      <c r="NZ415"/>
      <c r="OA415"/>
      <c r="OB415"/>
      <c r="OC415"/>
      <c r="OD415"/>
      <c r="OE415"/>
      <c r="OF415"/>
      <c r="OG415"/>
      <c r="OH415"/>
      <c r="OI415"/>
      <c r="OJ415"/>
      <c r="OK415"/>
      <c r="OL415"/>
      <c r="OM415"/>
      <c r="ON415"/>
      <c r="OO415"/>
      <c r="OP415"/>
      <c r="OQ415"/>
      <c r="OR415"/>
      <c r="OS415"/>
      <c r="OT415"/>
      <c r="OU415"/>
      <c r="OV415"/>
      <c r="OW415"/>
      <c r="OX415"/>
      <c r="OY415"/>
      <c r="OZ415"/>
      <c r="PA415"/>
      <c r="PB415"/>
      <c r="PC415"/>
      <c r="PD415"/>
      <c r="PE415"/>
      <c r="PF415"/>
      <c r="PG415"/>
      <c r="PH415"/>
      <c r="PI415"/>
      <c r="PJ415"/>
      <c r="PK415"/>
      <c r="PL415"/>
      <c r="PM415"/>
      <c r="PN415"/>
      <c r="PO415"/>
      <c r="PP415"/>
      <c r="PQ415"/>
      <c r="PR415"/>
      <c r="PS415"/>
      <c r="PT415"/>
      <c r="PU415"/>
      <c r="PV415"/>
      <c r="PW415"/>
      <c r="PX415"/>
      <c r="PY415"/>
      <c r="PZ415"/>
      <c r="QA415"/>
      <c r="QB415"/>
      <c r="QC415"/>
      <c r="QD415"/>
      <c r="QE415"/>
      <c r="QF415"/>
      <c r="QG415"/>
      <c r="QH415"/>
      <c r="QI415"/>
      <c r="QJ415"/>
      <c r="QK415"/>
      <c r="QL415"/>
      <c r="QM415"/>
      <c r="QN415"/>
      <c r="QO415"/>
      <c r="QP415"/>
      <c r="QQ415"/>
      <c r="QR415"/>
      <c r="QS415"/>
      <c r="QT415"/>
      <c r="QU415"/>
      <c r="QV415"/>
      <c r="QW415"/>
      <c r="QX415"/>
      <c r="QY415"/>
      <c r="QZ415"/>
      <c r="RA415"/>
      <c r="RB415"/>
      <c r="RC415"/>
      <c r="RD415"/>
      <c r="RE415"/>
      <c r="RF415"/>
      <c r="RG415"/>
      <c r="RH415"/>
      <c r="RI415"/>
      <c r="RJ415"/>
      <c r="RK415"/>
      <c r="RL415"/>
      <c r="RM415"/>
      <c r="RN415"/>
      <c r="RO415"/>
      <c r="RP415"/>
      <c r="RQ415"/>
      <c r="RR415"/>
      <c r="RS415"/>
      <c r="RT415"/>
      <c r="RU415"/>
      <c r="RV415"/>
      <c r="RW415"/>
      <c r="RX415"/>
      <c r="RY415"/>
      <c r="RZ415"/>
      <c r="SA415"/>
      <c r="SB415"/>
      <c r="SC415"/>
      <c r="SD415"/>
      <c r="SE415"/>
      <c r="SF415"/>
      <c r="SG415"/>
      <c r="SH415"/>
      <c r="SI415"/>
      <c r="SJ415"/>
      <c r="SK415"/>
      <c r="SL415"/>
      <c r="SM415"/>
      <c r="SN415"/>
      <c r="SO415"/>
      <c r="SP415"/>
      <c r="SQ415"/>
      <c r="SR415"/>
      <c r="SS415"/>
      <c r="ST415"/>
      <c r="SU415"/>
      <c r="SV415"/>
      <c r="SW415"/>
      <c r="SX415"/>
      <c r="SY415"/>
      <c r="SZ415"/>
      <c r="TA415"/>
      <c r="TB415"/>
      <c r="TC415"/>
      <c r="TD415"/>
      <c r="TE415"/>
      <c r="TF415"/>
      <c r="TG415"/>
      <c r="TH415"/>
    </row>
    <row r="416" spans="3:528" x14ac:dyDescent="0.25">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c r="KT416"/>
      <c r="KU416"/>
      <c r="KV416"/>
      <c r="KW416"/>
      <c r="KX416"/>
      <c r="KY416"/>
      <c r="KZ416"/>
      <c r="LA416"/>
      <c r="LB416"/>
      <c r="LC416"/>
      <c r="LD416"/>
      <c r="LE416"/>
      <c r="LF416"/>
      <c r="LG416"/>
      <c r="LH416"/>
      <c r="LI416"/>
      <c r="LJ416"/>
      <c r="LK416"/>
      <c r="LL416"/>
      <c r="LM416"/>
      <c r="LN416"/>
      <c r="LO416"/>
      <c r="LP416"/>
      <c r="LQ416"/>
      <c r="LR416"/>
      <c r="LS416"/>
      <c r="LT416"/>
      <c r="LU416"/>
      <c r="LV416"/>
      <c r="LW416"/>
      <c r="LX416"/>
      <c r="LY416"/>
      <c r="LZ416"/>
      <c r="MA416"/>
      <c r="MB416"/>
      <c r="MC416"/>
      <c r="MD416"/>
      <c r="ME416"/>
      <c r="MF416"/>
      <c r="MG416"/>
      <c r="MH416"/>
      <c r="MI416"/>
      <c r="MJ416"/>
      <c r="MK416"/>
      <c r="ML416"/>
      <c r="MM416"/>
      <c r="MN416"/>
      <c r="MO416"/>
      <c r="MP416"/>
      <c r="MQ416"/>
      <c r="MR416"/>
      <c r="MS416"/>
      <c r="MT416"/>
      <c r="MU416"/>
      <c r="MV416"/>
      <c r="MW416"/>
      <c r="MX416"/>
      <c r="MY416"/>
      <c r="MZ416"/>
      <c r="NA416"/>
      <c r="NB416"/>
      <c r="NC416"/>
      <c r="ND416"/>
      <c r="NE416"/>
      <c r="NF416"/>
      <c r="NG416"/>
      <c r="NH416"/>
      <c r="NI416"/>
      <c r="NJ416"/>
      <c r="NK416"/>
      <c r="NL416"/>
      <c r="NM416"/>
      <c r="NN416"/>
      <c r="NO416"/>
      <c r="NP416"/>
      <c r="NQ416"/>
      <c r="NR416"/>
      <c r="NS416"/>
      <c r="NT416"/>
      <c r="NU416"/>
      <c r="NV416"/>
      <c r="NW416"/>
      <c r="NX416"/>
      <c r="NY416"/>
      <c r="NZ416"/>
      <c r="OA416"/>
      <c r="OB416"/>
      <c r="OC416"/>
      <c r="OD416"/>
      <c r="OE416"/>
      <c r="OF416"/>
      <c r="OG416"/>
      <c r="OH416"/>
      <c r="OI416"/>
      <c r="OJ416"/>
      <c r="OK416"/>
      <c r="OL416"/>
      <c r="OM416"/>
      <c r="ON416"/>
      <c r="OO416"/>
      <c r="OP416"/>
      <c r="OQ416"/>
      <c r="OR416"/>
      <c r="OS416"/>
      <c r="OT416"/>
      <c r="OU416"/>
      <c r="OV416"/>
      <c r="OW416"/>
      <c r="OX416"/>
      <c r="OY416"/>
      <c r="OZ416"/>
      <c r="PA416"/>
      <c r="PB416"/>
      <c r="PC416"/>
      <c r="PD416"/>
      <c r="PE416"/>
      <c r="PF416"/>
      <c r="PG416"/>
      <c r="PH416"/>
      <c r="PI416"/>
      <c r="PJ416"/>
      <c r="PK416"/>
      <c r="PL416"/>
      <c r="PM416"/>
      <c r="PN416"/>
      <c r="PO416"/>
      <c r="PP416"/>
      <c r="PQ416"/>
      <c r="PR416"/>
      <c r="PS416"/>
      <c r="PT416"/>
      <c r="PU416"/>
      <c r="PV416"/>
      <c r="PW416"/>
      <c r="PX416"/>
      <c r="PY416"/>
      <c r="PZ416"/>
      <c r="QA416"/>
      <c r="QB416"/>
      <c r="QC416"/>
      <c r="QD416"/>
      <c r="QE416"/>
      <c r="QF416"/>
      <c r="QG416"/>
      <c r="QH416"/>
      <c r="QI416"/>
      <c r="QJ416"/>
      <c r="QK416"/>
      <c r="QL416"/>
      <c r="QM416"/>
      <c r="QN416"/>
      <c r="QO416"/>
      <c r="QP416"/>
      <c r="QQ416"/>
      <c r="QR416"/>
      <c r="QS416"/>
      <c r="QT416"/>
      <c r="QU416"/>
      <c r="QV416"/>
      <c r="QW416"/>
      <c r="QX416"/>
      <c r="QY416"/>
      <c r="QZ416"/>
      <c r="RA416"/>
      <c r="RB416"/>
      <c r="RC416"/>
      <c r="RD416"/>
      <c r="RE416"/>
      <c r="RF416"/>
      <c r="RG416"/>
      <c r="RH416"/>
      <c r="RI416"/>
      <c r="RJ416"/>
      <c r="RK416"/>
      <c r="RL416"/>
      <c r="RM416"/>
      <c r="RN416"/>
      <c r="RO416"/>
      <c r="RP416"/>
      <c r="RQ416"/>
      <c r="RR416"/>
      <c r="RS416"/>
      <c r="RT416"/>
      <c r="RU416"/>
      <c r="RV416"/>
      <c r="RW416"/>
      <c r="RX416"/>
      <c r="RY416"/>
      <c r="RZ416"/>
      <c r="SA416"/>
      <c r="SB416"/>
      <c r="SC416"/>
      <c r="SD416"/>
      <c r="SE416"/>
      <c r="SF416"/>
      <c r="SG416"/>
      <c r="SH416"/>
      <c r="SI416"/>
      <c r="SJ416"/>
      <c r="SK416"/>
      <c r="SL416"/>
      <c r="SM416"/>
      <c r="SN416"/>
      <c r="SO416"/>
      <c r="SP416"/>
      <c r="SQ416"/>
      <c r="SR416"/>
      <c r="SS416"/>
      <c r="ST416"/>
      <c r="SU416"/>
      <c r="SV416"/>
      <c r="SW416"/>
      <c r="SX416"/>
      <c r="SY416"/>
      <c r="SZ416"/>
      <c r="TA416"/>
      <c r="TB416"/>
      <c r="TC416"/>
      <c r="TD416"/>
      <c r="TE416"/>
      <c r="TF416"/>
      <c r="TG416"/>
      <c r="TH416"/>
    </row>
    <row r="417" spans="3:528" x14ac:dyDescent="0.25">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c r="KT417"/>
      <c r="KU417"/>
      <c r="KV417"/>
      <c r="KW417"/>
      <c r="KX417"/>
      <c r="KY417"/>
      <c r="KZ417"/>
      <c r="LA417"/>
      <c r="LB417"/>
      <c r="LC417"/>
      <c r="LD417"/>
      <c r="LE417"/>
      <c r="LF417"/>
      <c r="LG417"/>
      <c r="LH417"/>
      <c r="LI417"/>
      <c r="LJ417"/>
      <c r="LK417"/>
      <c r="LL417"/>
      <c r="LM417"/>
      <c r="LN417"/>
      <c r="LO417"/>
      <c r="LP417"/>
      <c r="LQ417"/>
      <c r="LR417"/>
      <c r="LS417"/>
      <c r="LT417"/>
      <c r="LU417"/>
      <c r="LV417"/>
      <c r="LW417"/>
      <c r="LX417"/>
      <c r="LY417"/>
      <c r="LZ417"/>
      <c r="MA417"/>
      <c r="MB417"/>
      <c r="MC417"/>
      <c r="MD417"/>
      <c r="ME417"/>
      <c r="MF417"/>
      <c r="MG417"/>
      <c r="MH417"/>
      <c r="MI417"/>
      <c r="MJ417"/>
      <c r="MK417"/>
      <c r="ML417"/>
      <c r="MM417"/>
      <c r="MN417"/>
      <c r="MO417"/>
      <c r="MP417"/>
      <c r="MQ417"/>
      <c r="MR417"/>
      <c r="MS417"/>
      <c r="MT417"/>
      <c r="MU417"/>
      <c r="MV417"/>
      <c r="MW417"/>
      <c r="MX417"/>
      <c r="MY417"/>
      <c r="MZ417"/>
      <c r="NA417"/>
      <c r="NB417"/>
      <c r="NC417"/>
      <c r="ND417"/>
      <c r="NE417"/>
      <c r="NF417"/>
      <c r="NG417"/>
      <c r="NH417"/>
      <c r="NI417"/>
      <c r="NJ417"/>
      <c r="NK417"/>
      <c r="NL417"/>
      <c r="NM417"/>
      <c r="NN417"/>
      <c r="NO417"/>
      <c r="NP417"/>
      <c r="NQ417"/>
      <c r="NR417"/>
      <c r="NS417"/>
      <c r="NT417"/>
      <c r="NU417"/>
      <c r="NV417"/>
      <c r="NW417"/>
      <c r="NX417"/>
      <c r="NY417"/>
      <c r="NZ417"/>
      <c r="OA417"/>
      <c r="OB417"/>
      <c r="OC417"/>
      <c r="OD417"/>
      <c r="OE417"/>
      <c r="OF417"/>
      <c r="OG417"/>
      <c r="OH417"/>
      <c r="OI417"/>
      <c r="OJ417"/>
      <c r="OK417"/>
      <c r="OL417"/>
      <c r="OM417"/>
      <c r="ON417"/>
      <c r="OO417"/>
      <c r="OP417"/>
      <c r="OQ417"/>
      <c r="OR417"/>
      <c r="OS417"/>
      <c r="OT417"/>
      <c r="OU417"/>
      <c r="OV417"/>
      <c r="OW417"/>
      <c r="OX417"/>
      <c r="OY417"/>
      <c r="OZ417"/>
      <c r="PA417"/>
      <c r="PB417"/>
      <c r="PC417"/>
      <c r="PD417"/>
      <c r="PE417"/>
      <c r="PF417"/>
      <c r="PG417"/>
      <c r="PH417"/>
      <c r="PI417"/>
      <c r="PJ417"/>
      <c r="PK417"/>
      <c r="PL417"/>
      <c r="PM417"/>
      <c r="PN417"/>
      <c r="PO417"/>
      <c r="PP417"/>
      <c r="PQ417"/>
      <c r="PR417"/>
      <c r="PS417"/>
      <c r="PT417"/>
      <c r="PU417"/>
      <c r="PV417"/>
      <c r="PW417"/>
      <c r="PX417"/>
      <c r="PY417"/>
      <c r="PZ417"/>
      <c r="QA417"/>
      <c r="QB417"/>
      <c r="QC417"/>
      <c r="QD417"/>
      <c r="QE417"/>
      <c r="QF417"/>
      <c r="QG417"/>
      <c r="QH417"/>
      <c r="QI417"/>
      <c r="QJ417"/>
      <c r="QK417"/>
      <c r="QL417"/>
      <c r="QM417"/>
      <c r="QN417"/>
      <c r="QO417"/>
      <c r="QP417"/>
      <c r="QQ417"/>
      <c r="QR417"/>
      <c r="QS417"/>
      <c r="QT417"/>
      <c r="QU417"/>
      <c r="QV417"/>
      <c r="QW417"/>
      <c r="QX417"/>
      <c r="QY417"/>
      <c r="QZ417"/>
      <c r="RA417"/>
      <c r="RB417"/>
      <c r="RC417"/>
      <c r="RD417"/>
      <c r="RE417"/>
      <c r="RF417"/>
      <c r="RG417"/>
      <c r="RH417"/>
      <c r="RI417"/>
      <c r="RJ417"/>
      <c r="RK417"/>
      <c r="RL417"/>
      <c r="RM417"/>
      <c r="RN417"/>
      <c r="RO417"/>
      <c r="RP417"/>
      <c r="RQ417"/>
      <c r="RR417"/>
      <c r="RS417"/>
      <c r="RT417"/>
      <c r="RU417"/>
      <c r="RV417"/>
      <c r="RW417"/>
      <c r="RX417"/>
      <c r="RY417"/>
      <c r="RZ417"/>
      <c r="SA417"/>
      <c r="SB417"/>
      <c r="SC417"/>
      <c r="SD417"/>
      <c r="SE417"/>
      <c r="SF417"/>
      <c r="SG417"/>
      <c r="SH417"/>
      <c r="SI417"/>
      <c r="SJ417"/>
      <c r="SK417"/>
      <c r="SL417"/>
      <c r="SM417"/>
      <c r="SN417"/>
      <c r="SO417"/>
      <c r="SP417"/>
      <c r="SQ417"/>
      <c r="SR417"/>
      <c r="SS417"/>
      <c r="ST417"/>
      <c r="SU417"/>
      <c r="SV417"/>
      <c r="SW417"/>
      <c r="SX417"/>
      <c r="SY417"/>
      <c r="SZ417"/>
      <c r="TA417"/>
      <c r="TB417"/>
      <c r="TC417"/>
      <c r="TD417"/>
      <c r="TE417"/>
      <c r="TF417"/>
      <c r="TG417"/>
      <c r="TH417"/>
    </row>
    <row r="418" spans="3:528" x14ac:dyDescent="0.25">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c r="KT418"/>
      <c r="KU418"/>
      <c r="KV418"/>
      <c r="KW418"/>
      <c r="KX418"/>
      <c r="KY418"/>
      <c r="KZ418"/>
      <c r="LA418"/>
      <c r="LB418"/>
      <c r="LC418"/>
      <c r="LD418"/>
      <c r="LE418"/>
      <c r="LF418"/>
      <c r="LG418"/>
      <c r="LH418"/>
      <c r="LI418"/>
      <c r="LJ418"/>
      <c r="LK418"/>
      <c r="LL418"/>
      <c r="LM418"/>
      <c r="LN418"/>
      <c r="LO418"/>
      <c r="LP418"/>
      <c r="LQ418"/>
      <c r="LR418"/>
      <c r="LS418"/>
      <c r="LT418"/>
      <c r="LU418"/>
      <c r="LV418"/>
      <c r="LW418"/>
      <c r="LX418"/>
      <c r="LY418"/>
      <c r="LZ418"/>
      <c r="MA418"/>
      <c r="MB418"/>
      <c r="MC418"/>
      <c r="MD418"/>
      <c r="ME418"/>
      <c r="MF418"/>
      <c r="MG418"/>
      <c r="MH418"/>
      <c r="MI418"/>
      <c r="MJ418"/>
      <c r="MK418"/>
      <c r="ML418"/>
      <c r="MM418"/>
      <c r="MN418"/>
      <c r="MO418"/>
      <c r="MP418"/>
      <c r="MQ418"/>
      <c r="MR418"/>
      <c r="MS418"/>
      <c r="MT418"/>
      <c r="MU418"/>
      <c r="MV418"/>
      <c r="MW418"/>
      <c r="MX418"/>
      <c r="MY418"/>
      <c r="MZ418"/>
      <c r="NA418"/>
      <c r="NB418"/>
      <c r="NC418"/>
      <c r="ND418"/>
      <c r="NE418"/>
      <c r="NF418"/>
      <c r="NG418"/>
      <c r="NH418"/>
      <c r="NI418"/>
      <c r="NJ418"/>
      <c r="NK418"/>
      <c r="NL418"/>
      <c r="NM418"/>
      <c r="NN418"/>
      <c r="NO418"/>
      <c r="NP418"/>
      <c r="NQ418"/>
      <c r="NR418"/>
      <c r="NS418"/>
      <c r="NT418"/>
      <c r="NU418"/>
      <c r="NV418"/>
      <c r="NW418"/>
      <c r="NX418"/>
      <c r="NY418"/>
      <c r="NZ418"/>
      <c r="OA418"/>
      <c r="OB418"/>
      <c r="OC418"/>
      <c r="OD418"/>
      <c r="OE418"/>
      <c r="OF418"/>
      <c r="OG418"/>
      <c r="OH418"/>
      <c r="OI418"/>
      <c r="OJ418"/>
      <c r="OK418"/>
      <c r="OL418"/>
      <c r="OM418"/>
      <c r="ON418"/>
      <c r="OO418"/>
      <c r="OP418"/>
      <c r="OQ418"/>
      <c r="OR418"/>
      <c r="OS418"/>
      <c r="OT418"/>
      <c r="OU418"/>
      <c r="OV418"/>
      <c r="OW418"/>
      <c r="OX418"/>
      <c r="OY418"/>
      <c r="OZ418"/>
      <c r="PA418"/>
      <c r="PB418"/>
      <c r="PC418"/>
      <c r="PD418"/>
      <c r="PE418"/>
      <c r="PF418"/>
      <c r="PG418"/>
      <c r="PH418"/>
      <c r="PI418"/>
      <c r="PJ418"/>
      <c r="PK418"/>
      <c r="PL418"/>
      <c r="PM418"/>
      <c r="PN418"/>
      <c r="PO418"/>
      <c r="PP418"/>
      <c r="PQ418"/>
      <c r="PR418"/>
      <c r="PS418"/>
      <c r="PT418"/>
      <c r="PU418"/>
      <c r="PV418"/>
      <c r="PW418"/>
      <c r="PX418"/>
      <c r="PY418"/>
      <c r="PZ418"/>
      <c r="QA418"/>
      <c r="QB418"/>
      <c r="QC418"/>
      <c r="QD418"/>
      <c r="QE418"/>
      <c r="QF418"/>
      <c r="QG418"/>
      <c r="QH418"/>
      <c r="QI418"/>
      <c r="QJ418"/>
      <c r="QK418"/>
      <c r="QL418"/>
      <c r="QM418"/>
      <c r="QN418"/>
      <c r="QO418"/>
      <c r="QP418"/>
      <c r="QQ418"/>
      <c r="QR418"/>
      <c r="QS418"/>
      <c r="QT418"/>
      <c r="QU418"/>
      <c r="QV418"/>
      <c r="QW418"/>
      <c r="QX418"/>
      <c r="QY418"/>
      <c r="QZ418"/>
      <c r="RA418"/>
      <c r="RB418"/>
      <c r="RC418"/>
      <c r="RD418"/>
      <c r="RE418"/>
      <c r="RF418"/>
      <c r="RG418"/>
      <c r="RH418"/>
      <c r="RI418"/>
      <c r="RJ418"/>
      <c r="RK418"/>
      <c r="RL418"/>
      <c r="RM418"/>
      <c r="RN418"/>
      <c r="RO418"/>
      <c r="RP418"/>
      <c r="RQ418"/>
      <c r="RR418"/>
      <c r="RS418"/>
      <c r="RT418"/>
      <c r="RU418"/>
      <c r="RV418"/>
      <c r="RW418"/>
      <c r="RX418"/>
      <c r="RY418"/>
      <c r="RZ418"/>
      <c r="SA418"/>
      <c r="SB418"/>
      <c r="SC418"/>
      <c r="SD418"/>
      <c r="SE418"/>
      <c r="SF418"/>
      <c r="SG418"/>
      <c r="SH418"/>
      <c r="SI418"/>
      <c r="SJ418"/>
      <c r="SK418"/>
      <c r="SL418"/>
      <c r="SM418"/>
      <c r="SN418"/>
      <c r="SO418"/>
      <c r="SP418"/>
      <c r="SQ418"/>
      <c r="SR418"/>
      <c r="SS418"/>
      <c r="ST418"/>
      <c r="SU418"/>
      <c r="SV418"/>
      <c r="SW418"/>
      <c r="SX418"/>
      <c r="SY418"/>
      <c r="SZ418"/>
      <c r="TA418"/>
      <c r="TB418"/>
      <c r="TC418"/>
      <c r="TD418"/>
      <c r="TE418"/>
      <c r="TF418"/>
      <c r="TG418"/>
      <c r="TH418"/>
    </row>
    <row r="419" spans="3:528" x14ac:dyDescent="0.25">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c r="KT419"/>
      <c r="KU419"/>
      <c r="KV419"/>
      <c r="KW419"/>
      <c r="KX419"/>
      <c r="KY419"/>
      <c r="KZ419"/>
      <c r="LA419"/>
      <c r="LB419"/>
      <c r="LC419"/>
      <c r="LD419"/>
      <c r="LE419"/>
      <c r="LF419"/>
      <c r="LG419"/>
      <c r="LH419"/>
      <c r="LI419"/>
      <c r="LJ419"/>
      <c r="LK419"/>
      <c r="LL419"/>
      <c r="LM419"/>
      <c r="LN419"/>
      <c r="LO419"/>
      <c r="LP419"/>
      <c r="LQ419"/>
      <c r="LR419"/>
      <c r="LS419"/>
      <c r="LT419"/>
      <c r="LU419"/>
      <c r="LV419"/>
      <c r="LW419"/>
      <c r="LX419"/>
      <c r="LY419"/>
      <c r="LZ419"/>
      <c r="MA419"/>
      <c r="MB419"/>
      <c r="MC419"/>
      <c r="MD419"/>
      <c r="ME419"/>
      <c r="MF419"/>
      <c r="MG419"/>
      <c r="MH419"/>
      <c r="MI419"/>
      <c r="MJ419"/>
      <c r="MK419"/>
      <c r="ML419"/>
      <c r="MM419"/>
      <c r="MN419"/>
      <c r="MO419"/>
      <c r="MP419"/>
      <c r="MQ419"/>
      <c r="MR419"/>
      <c r="MS419"/>
      <c r="MT419"/>
      <c r="MU419"/>
      <c r="MV419"/>
      <c r="MW419"/>
      <c r="MX419"/>
      <c r="MY419"/>
      <c r="MZ419"/>
      <c r="NA419"/>
      <c r="NB419"/>
      <c r="NC419"/>
      <c r="ND419"/>
      <c r="NE419"/>
      <c r="NF419"/>
      <c r="NG419"/>
      <c r="NH419"/>
      <c r="NI419"/>
      <c r="NJ419"/>
      <c r="NK419"/>
      <c r="NL419"/>
      <c r="NM419"/>
      <c r="NN419"/>
      <c r="NO419"/>
      <c r="NP419"/>
      <c r="NQ419"/>
      <c r="NR419"/>
      <c r="NS419"/>
      <c r="NT419"/>
      <c r="NU419"/>
      <c r="NV419"/>
      <c r="NW419"/>
      <c r="NX419"/>
      <c r="NY419"/>
      <c r="NZ419"/>
      <c r="OA419"/>
      <c r="OB419"/>
      <c r="OC419"/>
      <c r="OD419"/>
      <c r="OE419"/>
      <c r="OF419"/>
      <c r="OG419"/>
      <c r="OH419"/>
      <c r="OI419"/>
      <c r="OJ419"/>
      <c r="OK419"/>
      <c r="OL419"/>
      <c r="OM419"/>
      <c r="ON419"/>
      <c r="OO419"/>
      <c r="OP419"/>
      <c r="OQ419"/>
      <c r="OR419"/>
      <c r="OS419"/>
      <c r="OT419"/>
      <c r="OU419"/>
      <c r="OV419"/>
      <c r="OW419"/>
      <c r="OX419"/>
      <c r="OY419"/>
      <c r="OZ419"/>
      <c r="PA419"/>
      <c r="PB419"/>
      <c r="PC419"/>
      <c r="PD419"/>
      <c r="PE419"/>
      <c r="PF419"/>
      <c r="PG419"/>
      <c r="PH419"/>
      <c r="PI419"/>
      <c r="PJ419"/>
      <c r="PK419"/>
      <c r="PL419"/>
      <c r="PM419"/>
      <c r="PN419"/>
      <c r="PO419"/>
      <c r="PP419"/>
      <c r="PQ419"/>
      <c r="PR419"/>
      <c r="PS419"/>
      <c r="PT419"/>
      <c r="PU419"/>
      <c r="PV419"/>
      <c r="PW419"/>
      <c r="PX419"/>
      <c r="PY419"/>
      <c r="PZ419"/>
      <c r="QA419"/>
      <c r="QB419"/>
      <c r="QC419"/>
      <c r="QD419"/>
      <c r="QE419"/>
      <c r="QF419"/>
      <c r="QG419"/>
      <c r="QH419"/>
      <c r="QI419"/>
      <c r="QJ419"/>
      <c r="QK419"/>
      <c r="QL419"/>
      <c r="QM419"/>
      <c r="QN419"/>
      <c r="QO419"/>
      <c r="QP419"/>
      <c r="QQ419"/>
      <c r="QR419"/>
      <c r="QS419"/>
      <c r="QT419"/>
      <c r="QU419"/>
      <c r="QV419"/>
      <c r="QW419"/>
      <c r="QX419"/>
      <c r="QY419"/>
      <c r="QZ419"/>
      <c r="RA419"/>
      <c r="RB419"/>
      <c r="RC419"/>
      <c r="RD419"/>
      <c r="RE419"/>
      <c r="RF419"/>
      <c r="RG419"/>
      <c r="RH419"/>
      <c r="RI419"/>
      <c r="RJ419"/>
      <c r="RK419"/>
      <c r="RL419"/>
      <c r="RM419"/>
      <c r="RN419"/>
      <c r="RO419"/>
      <c r="RP419"/>
      <c r="RQ419"/>
      <c r="RR419"/>
      <c r="RS419"/>
      <c r="RT419"/>
      <c r="RU419"/>
      <c r="RV419"/>
      <c r="RW419"/>
      <c r="RX419"/>
      <c r="RY419"/>
      <c r="RZ419"/>
      <c r="SA419"/>
      <c r="SB419"/>
      <c r="SC419"/>
      <c r="SD419"/>
      <c r="SE419"/>
      <c r="SF419"/>
      <c r="SG419"/>
      <c r="SH419"/>
      <c r="SI419"/>
      <c r="SJ419"/>
      <c r="SK419"/>
      <c r="SL419"/>
      <c r="SM419"/>
      <c r="SN419"/>
      <c r="SO419"/>
      <c r="SP419"/>
      <c r="SQ419"/>
      <c r="SR419"/>
      <c r="SS419"/>
      <c r="ST419"/>
      <c r="SU419"/>
      <c r="SV419"/>
      <c r="SW419"/>
      <c r="SX419"/>
      <c r="SY419"/>
      <c r="SZ419"/>
      <c r="TA419"/>
      <c r="TB419"/>
      <c r="TC419"/>
      <c r="TD419"/>
      <c r="TE419"/>
      <c r="TF419"/>
      <c r="TG419"/>
      <c r="TH419"/>
    </row>
    <row r="420" spans="3:528" x14ac:dyDescent="0.25">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c r="KT420"/>
      <c r="KU420"/>
      <c r="KV420"/>
      <c r="KW420"/>
      <c r="KX420"/>
      <c r="KY420"/>
      <c r="KZ420"/>
      <c r="LA420"/>
      <c r="LB420"/>
      <c r="LC420"/>
      <c r="LD420"/>
      <c r="LE420"/>
      <c r="LF420"/>
      <c r="LG420"/>
      <c r="LH420"/>
      <c r="LI420"/>
      <c r="LJ420"/>
      <c r="LK420"/>
      <c r="LL420"/>
      <c r="LM420"/>
      <c r="LN420"/>
      <c r="LO420"/>
      <c r="LP420"/>
      <c r="LQ420"/>
      <c r="LR420"/>
      <c r="LS420"/>
      <c r="LT420"/>
      <c r="LU420"/>
      <c r="LV420"/>
      <c r="LW420"/>
      <c r="LX420"/>
      <c r="LY420"/>
      <c r="LZ420"/>
      <c r="MA420"/>
      <c r="MB420"/>
      <c r="MC420"/>
      <c r="MD420"/>
      <c r="ME420"/>
      <c r="MF420"/>
      <c r="MG420"/>
      <c r="MH420"/>
      <c r="MI420"/>
      <c r="MJ420"/>
      <c r="MK420"/>
      <c r="ML420"/>
      <c r="MM420"/>
      <c r="MN420"/>
      <c r="MO420"/>
      <c r="MP420"/>
      <c r="MQ420"/>
      <c r="MR420"/>
      <c r="MS420"/>
      <c r="MT420"/>
      <c r="MU420"/>
      <c r="MV420"/>
      <c r="MW420"/>
      <c r="MX420"/>
      <c r="MY420"/>
      <c r="MZ420"/>
      <c r="NA420"/>
      <c r="NB420"/>
      <c r="NC420"/>
      <c r="ND420"/>
      <c r="NE420"/>
      <c r="NF420"/>
      <c r="NG420"/>
      <c r="NH420"/>
      <c r="NI420"/>
      <c r="NJ420"/>
      <c r="NK420"/>
      <c r="NL420"/>
      <c r="NM420"/>
      <c r="NN420"/>
      <c r="NO420"/>
      <c r="NP420"/>
      <c r="NQ420"/>
      <c r="NR420"/>
      <c r="NS420"/>
      <c r="NT420"/>
      <c r="NU420"/>
      <c r="NV420"/>
      <c r="NW420"/>
      <c r="NX420"/>
      <c r="NY420"/>
      <c r="NZ420"/>
      <c r="OA420"/>
      <c r="OB420"/>
      <c r="OC420"/>
      <c r="OD420"/>
      <c r="OE420"/>
      <c r="OF420"/>
      <c r="OG420"/>
      <c r="OH420"/>
      <c r="OI420"/>
      <c r="OJ420"/>
      <c r="OK420"/>
      <c r="OL420"/>
      <c r="OM420"/>
      <c r="ON420"/>
      <c r="OO420"/>
      <c r="OP420"/>
      <c r="OQ420"/>
      <c r="OR420"/>
      <c r="OS420"/>
      <c r="OT420"/>
      <c r="OU420"/>
      <c r="OV420"/>
      <c r="OW420"/>
      <c r="OX420"/>
      <c r="OY420"/>
      <c r="OZ420"/>
      <c r="PA420"/>
      <c r="PB420"/>
      <c r="PC420"/>
      <c r="PD420"/>
      <c r="PE420"/>
      <c r="PF420"/>
      <c r="PG420"/>
      <c r="PH420"/>
      <c r="PI420"/>
      <c r="PJ420"/>
      <c r="PK420"/>
      <c r="PL420"/>
      <c r="PM420"/>
      <c r="PN420"/>
      <c r="PO420"/>
      <c r="PP420"/>
      <c r="PQ420"/>
      <c r="PR420"/>
      <c r="PS420"/>
      <c r="PT420"/>
      <c r="PU420"/>
      <c r="PV420"/>
      <c r="PW420"/>
      <c r="PX420"/>
      <c r="PY420"/>
      <c r="PZ420"/>
      <c r="QA420"/>
      <c r="QB420"/>
      <c r="QC420"/>
      <c r="QD420"/>
      <c r="QE420"/>
      <c r="QF420"/>
      <c r="QG420"/>
      <c r="QH420"/>
      <c r="QI420"/>
      <c r="QJ420"/>
      <c r="QK420"/>
      <c r="QL420"/>
      <c r="QM420"/>
      <c r="QN420"/>
      <c r="QO420"/>
      <c r="QP420"/>
      <c r="QQ420"/>
      <c r="QR420"/>
      <c r="QS420"/>
      <c r="QT420"/>
      <c r="QU420"/>
      <c r="QV420"/>
      <c r="QW420"/>
      <c r="QX420"/>
      <c r="QY420"/>
      <c r="QZ420"/>
      <c r="RA420"/>
      <c r="RB420"/>
      <c r="RC420"/>
      <c r="RD420"/>
      <c r="RE420"/>
      <c r="RF420"/>
      <c r="RG420"/>
      <c r="RH420"/>
      <c r="RI420"/>
      <c r="RJ420"/>
      <c r="RK420"/>
      <c r="RL420"/>
      <c r="RM420"/>
      <c r="RN420"/>
      <c r="RO420"/>
      <c r="RP420"/>
      <c r="RQ420"/>
      <c r="RR420"/>
      <c r="RS420"/>
      <c r="RT420"/>
      <c r="RU420"/>
      <c r="RV420"/>
      <c r="RW420"/>
      <c r="RX420"/>
      <c r="RY420"/>
      <c r="RZ420"/>
      <c r="SA420"/>
      <c r="SB420"/>
      <c r="SC420"/>
      <c r="SD420"/>
      <c r="SE420"/>
      <c r="SF420"/>
      <c r="SG420"/>
      <c r="SH420"/>
      <c r="SI420"/>
      <c r="SJ420"/>
      <c r="SK420"/>
      <c r="SL420"/>
      <c r="SM420"/>
      <c r="SN420"/>
      <c r="SO420"/>
      <c r="SP420"/>
      <c r="SQ420"/>
      <c r="SR420"/>
      <c r="SS420"/>
      <c r="ST420"/>
      <c r="SU420"/>
      <c r="SV420"/>
      <c r="SW420"/>
      <c r="SX420"/>
      <c r="SY420"/>
      <c r="SZ420"/>
      <c r="TA420"/>
      <c r="TB420"/>
      <c r="TC420"/>
      <c r="TD420"/>
      <c r="TE420"/>
      <c r="TF420"/>
      <c r="TG420"/>
      <c r="TH420"/>
    </row>
    <row r="421" spans="3:528" x14ac:dyDescent="0.25">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c r="KT421"/>
      <c r="KU421"/>
      <c r="KV421"/>
      <c r="KW421"/>
      <c r="KX421"/>
      <c r="KY421"/>
      <c r="KZ421"/>
      <c r="LA421"/>
      <c r="LB421"/>
      <c r="LC421"/>
      <c r="LD421"/>
      <c r="LE421"/>
      <c r="LF421"/>
      <c r="LG421"/>
      <c r="LH421"/>
      <c r="LI421"/>
      <c r="LJ421"/>
      <c r="LK421"/>
      <c r="LL421"/>
      <c r="LM421"/>
      <c r="LN421"/>
      <c r="LO421"/>
      <c r="LP421"/>
      <c r="LQ421"/>
      <c r="LR421"/>
      <c r="LS421"/>
      <c r="LT421"/>
      <c r="LU421"/>
      <c r="LV421"/>
      <c r="LW421"/>
      <c r="LX421"/>
      <c r="LY421"/>
      <c r="LZ421"/>
      <c r="MA421"/>
      <c r="MB421"/>
      <c r="MC421"/>
      <c r="MD421"/>
      <c r="ME421"/>
      <c r="MF421"/>
      <c r="MG421"/>
      <c r="MH421"/>
      <c r="MI421"/>
      <c r="MJ421"/>
      <c r="MK421"/>
      <c r="ML421"/>
      <c r="MM421"/>
      <c r="MN421"/>
      <c r="MO421"/>
      <c r="MP421"/>
      <c r="MQ421"/>
      <c r="MR421"/>
      <c r="MS421"/>
      <c r="MT421"/>
      <c r="MU421"/>
      <c r="MV421"/>
      <c r="MW421"/>
      <c r="MX421"/>
      <c r="MY421"/>
      <c r="MZ421"/>
      <c r="NA421"/>
      <c r="NB421"/>
      <c r="NC421"/>
      <c r="ND421"/>
      <c r="NE421"/>
      <c r="NF421"/>
      <c r="NG421"/>
      <c r="NH421"/>
      <c r="NI421"/>
      <c r="NJ421"/>
      <c r="NK421"/>
      <c r="NL421"/>
      <c r="NM421"/>
      <c r="NN421"/>
      <c r="NO421"/>
      <c r="NP421"/>
      <c r="NQ421"/>
      <c r="NR421"/>
      <c r="NS421"/>
      <c r="NT421"/>
      <c r="NU421"/>
      <c r="NV421"/>
      <c r="NW421"/>
      <c r="NX421"/>
      <c r="NY421"/>
      <c r="NZ421"/>
      <c r="OA421"/>
      <c r="OB421"/>
      <c r="OC421"/>
      <c r="OD421"/>
      <c r="OE421"/>
      <c r="OF421"/>
      <c r="OG421"/>
      <c r="OH421"/>
      <c r="OI421"/>
      <c r="OJ421"/>
      <c r="OK421"/>
      <c r="OL421"/>
      <c r="OM421"/>
      <c r="ON421"/>
      <c r="OO421"/>
      <c r="OP421"/>
      <c r="OQ421"/>
      <c r="OR421"/>
      <c r="OS421"/>
      <c r="OT421"/>
      <c r="OU421"/>
      <c r="OV421"/>
      <c r="OW421"/>
      <c r="OX421"/>
      <c r="OY421"/>
      <c r="OZ421"/>
      <c r="PA421"/>
      <c r="PB421"/>
      <c r="PC421"/>
      <c r="PD421"/>
      <c r="PE421"/>
      <c r="PF421"/>
      <c r="PG421"/>
      <c r="PH421"/>
      <c r="PI421"/>
      <c r="PJ421"/>
      <c r="PK421"/>
      <c r="PL421"/>
      <c r="PM421"/>
      <c r="PN421"/>
      <c r="PO421"/>
      <c r="PP421"/>
      <c r="PQ421"/>
      <c r="PR421"/>
      <c r="PS421"/>
      <c r="PT421"/>
      <c r="PU421"/>
      <c r="PV421"/>
      <c r="PW421"/>
      <c r="PX421"/>
      <c r="PY421"/>
      <c r="PZ421"/>
      <c r="QA421"/>
      <c r="QB421"/>
      <c r="QC421"/>
      <c r="QD421"/>
      <c r="QE421"/>
      <c r="QF421"/>
      <c r="QG421"/>
      <c r="QH421"/>
      <c r="QI421"/>
      <c r="QJ421"/>
      <c r="QK421"/>
      <c r="QL421"/>
      <c r="QM421"/>
      <c r="QN421"/>
      <c r="QO421"/>
      <c r="QP421"/>
      <c r="QQ421"/>
      <c r="QR421"/>
      <c r="QS421"/>
      <c r="QT421"/>
      <c r="QU421"/>
      <c r="QV421"/>
      <c r="QW421"/>
      <c r="QX421"/>
      <c r="QY421"/>
      <c r="QZ421"/>
      <c r="RA421"/>
      <c r="RB421"/>
      <c r="RC421"/>
      <c r="RD421"/>
      <c r="RE421"/>
      <c r="RF421"/>
      <c r="RG421"/>
      <c r="RH421"/>
      <c r="RI421"/>
      <c r="RJ421"/>
      <c r="RK421"/>
      <c r="RL421"/>
      <c r="RM421"/>
      <c r="RN421"/>
      <c r="RO421"/>
      <c r="RP421"/>
      <c r="RQ421"/>
      <c r="RR421"/>
      <c r="RS421"/>
      <c r="RT421"/>
      <c r="RU421"/>
      <c r="RV421"/>
      <c r="RW421"/>
      <c r="RX421"/>
      <c r="RY421"/>
      <c r="RZ421"/>
      <c r="SA421"/>
      <c r="SB421"/>
      <c r="SC421"/>
      <c r="SD421"/>
      <c r="SE421"/>
      <c r="SF421"/>
      <c r="SG421"/>
      <c r="SH421"/>
      <c r="SI421"/>
      <c r="SJ421"/>
      <c r="SK421"/>
      <c r="SL421"/>
      <c r="SM421"/>
      <c r="SN421"/>
      <c r="SO421"/>
      <c r="SP421"/>
      <c r="SQ421"/>
      <c r="SR421"/>
      <c r="SS421"/>
      <c r="ST421"/>
      <c r="SU421"/>
      <c r="SV421"/>
      <c r="SW421"/>
      <c r="SX421"/>
      <c r="SY421"/>
      <c r="SZ421"/>
      <c r="TA421"/>
      <c r="TB421"/>
      <c r="TC421"/>
      <c r="TD421"/>
      <c r="TE421"/>
      <c r="TF421"/>
      <c r="TG421"/>
      <c r="TH421"/>
    </row>
    <row r="422" spans="3:528" x14ac:dyDescent="0.25">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c r="KT422"/>
      <c r="KU422"/>
      <c r="KV422"/>
      <c r="KW422"/>
      <c r="KX422"/>
      <c r="KY422"/>
      <c r="KZ422"/>
      <c r="LA422"/>
      <c r="LB422"/>
      <c r="LC422"/>
      <c r="LD422"/>
      <c r="LE422"/>
      <c r="LF422"/>
      <c r="LG422"/>
      <c r="LH422"/>
      <c r="LI422"/>
      <c r="LJ422"/>
      <c r="LK422"/>
      <c r="LL422"/>
      <c r="LM422"/>
      <c r="LN422"/>
      <c r="LO422"/>
      <c r="LP422"/>
      <c r="LQ422"/>
      <c r="LR422"/>
      <c r="LS422"/>
      <c r="LT422"/>
      <c r="LU422"/>
      <c r="LV422"/>
      <c r="LW422"/>
      <c r="LX422"/>
      <c r="LY422"/>
      <c r="LZ422"/>
      <c r="MA422"/>
      <c r="MB422"/>
      <c r="MC422"/>
      <c r="MD422"/>
      <c r="ME422"/>
      <c r="MF422"/>
      <c r="MG422"/>
      <c r="MH422"/>
      <c r="MI422"/>
      <c r="MJ422"/>
      <c r="MK422"/>
      <c r="ML422"/>
      <c r="MM422"/>
      <c r="MN422"/>
      <c r="MO422"/>
      <c r="MP422"/>
      <c r="MQ422"/>
      <c r="MR422"/>
      <c r="MS422"/>
      <c r="MT422"/>
      <c r="MU422"/>
      <c r="MV422"/>
      <c r="MW422"/>
      <c r="MX422"/>
      <c r="MY422"/>
      <c r="MZ422"/>
      <c r="NA422"/>
      <c r="NB422"/>
      <c r="NC422"/>
      <c r="ND422"/>
      <c r="NE422"/>
      <c r="NF422"/>
      <c r="NG422"/>
      <c r="NH422"/>
      <c r="NI422"/>
      <c r="NJ422"/>
      <c r="NK422"/>
      <c r="NL422"/>
      <c r="NM422"/>
      <c r="NN422"/>
      <c r="NO422"/>
      <c r="NP422"/>
      <c r="NQ422"/>
      <c r="NR422"/>
      <c r="NS422"/>
      <c r="NT422"/>
      <c r="NU422"/>
      <c r="NV422"/>
      <c r="NW422"/>
      <c r="NX422"/>
      <c r="NY422"/>
      <c r="NZ422"/>
      <c r="OA422"/>
      <c r="OB422"/>
      <c r="OC422"/>
      <c r="OD422"/>
      <c r="OE422"/>
      <c r="OF422"/>
      <c r="OG422"/>
      <c r="OH422"/>
      <c r="OI422"/>
      <c r="OJ422"/>
      <c r="OK422"/>
      <c r="OL422"/>
      <c r="OM422"/>
      <c r="ON422"/>
      <c r="OO422"/>
      <c r="OP422"/>
      <c r="OQ422"/>
      <c r="OR422"/>
      <c r="OS422"/>
      <c r="OT422"/>
      <c r="OU422"/>
      <c r="OV422"/>
      <c r="OW422"/>
      <c r="OX422"/>
      <c r="OY422"/>
      <c r="OZ422"/>
      <c r="PA422"/>
      <c r="PB422"/>
      <c r="PC422"/>
      <c r="PD422"/>
      <c r="PE422"/>
      <c r="PF422"/>
      <c r="PG422"/>
      <c r="PH422"/>
      <c r="PI422"/>
      <c r="PJ422"/>
      <c r="PK422"/>
      <c r="PL422"/>
      <c r="PM422"/>
      <c r="PN422"/>
      <c r="PO422"/>
      <c r="PP422"/>
      <c r="PQ422"/>
      <c r="PR422"/>
      <c r="PS422"/>
      <c r="PT422"/>
      <c r="PU422"/>
      <c r="PV422"/>
      <c r="PW422"/>
      <c r="PX422"/>
      <c r="PY422"/>
      <c r="PZ422"/>
      <c r="QA422"/>
      <c r="QB422"/>
      <c r="QC422"/>
      <c r="QD422"/>
      <c r="QE422"/>
      <c r="QF422"/>
      <c r="QG422"/>
      <c r="QH422"/>
      <c r="QI422"/>
      <c r="QJ422"/>
      <c r="QK422"/>
      <c r="QL422"/>
      <c r="QM422"/>
      <c r="QN422"/>
      <c r="QO422"/>
      <c r="QP422"/>
      <c r="QQ422"/>
      <c r="QR422"/>
      <c r="QS422"/>
      <c r="QT422"/>
      <c r="QU422"/>
      <c r="QV422"/>
      <c r="QW422"/>
      <c r="QX422"/>
      <c r="QY422"/>
      <c r="QZ422"/>
      <c r="RA422"/>
      <c r="RB422"/>
      <c r="RC422"/>
      <c r="RD422"/>
      <c r="RE422"/>
      <c r="RF422"/>
      <c r="RG422"/>
      <c r="RH422"/>
      <c r="RI422"/>
      <c r="RJ422"/>
      <c r="RK422"/>
      <c r="RL422"/>
      <c r="RM422"/>
      <c r="RN422"/>
      <c r="RO422"/>
      <c r="RP422"/>
      <c r="RQ422"/>
      <c r="RR422"/>
      <c r="RS422"/>
      <c r="RT422"/>
      <c r="RU422"/>
      <c r="RV422"/>
      <c r="RW422"/>
      <c r="RX422"/>
      <c r="RY422"/>
      <c r="RZ422"/>
      <c r="SA422"/>
      <c r="SB422"/>
      <c r="SC422"/>
      <c r="SD422"/>
      <c r="SE422"/>
      <c r="SF422"/>
      <c r="SG422"/>
      <c r="SH422"/>
      <c r="SI422"/>
      <c r="SJ422"/>
      <c r="SK422"/>
      <c r="SL422"/>
      <c r="SM422"/>
      <c r="SN422"/>
      <c r="SO422"/>
      <c r="SP422"/>
      <c r="SQ422"/>
      <c r="SR422"/>
      <c r="SS422"/>
      <c r="ST422"/>
      <c r="SU422"/>
      <c r="SV422"/>
      <c r="SW422"/>
      <c r="SX422"/>
      <c r="SY422"/>
      <c r="SZ422"/>
      <c r="TA422"/>
      <c r="TB422"/>
      <c r="TC422"/>
      <c r="TD422"/>
      <c r="TE422"/>
      <c r="TF422"/>
      <c r="TG422"/>
      <c r="TH422"/>
    </row>
    <row r="423" spans="3:528" x14ac:dyDescent="0.25">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c r="KT423"/>
      <c r="KU423"/>
      <c r="KV423"/>
      <c r="KW423"/>
      <c r="KX423"/>
      <c r="KY423"/>
      <c r="KZ423"/>
      <c r="LA423"/>
      <c r="LB423"/>
      <c r="LC423"/>
      <c r="LD423"/>
      <c r="LE423"/>
      <c r="LF423"/>
      <c r="LG423"/>
      <c r="LH423"/>
      <c r="LI423"/>
      <c r="LJ423"/>
      <c r="LK423"/>
      <c r="LL423"/>
      <c r="LM423"/>
      <c r="LN423"/>
      <c r="LO423"/>
      <c r="LP423"/>
      <c r="LQ423"/>
      <c r="LR423"/>
      <c r="LS423"/>
      <c r="LT423"/>
      <c r="LU423"/>
      <c r="LV423"/>
      <c r="LW423"/>
      <c r="LX423"/>
      <c r="LY423"/>
      <c r="LZ423"/>
      <c r="MA423"/>
      <c r="MB423"/>
      <c r="MC423"/>
      <c r="MD423"/>
      <c r="ME423"/>
      <c r="MF423"/>
      <c r="MG423"/>
      <c r="MH423"/>
      <c r="MI423"/>
      <c r="MJ423"/>
      <c r="MK423"/>
      <c r="ML423"/>
      <c r="MM423"/>
      <c r="MN423"/>
      <c r="MO423"/>
      <c r="MP423"/>
      <c r="MQ423"/>
      <c r="MR423"/>
      <c r="MS423"/>
      <c r="MT423"/>
      <c r="MU423"/>
      <c r="MV423"/>
      <c r="MW423"/>
      <c r="MX423"/>
      <c r="MY423"/>
      <c r="MZ423"/>
      <c r="NA423"/>
      <c r="NB423"/>
      <c r="NC423"/>
      <c r="ND423"/>
      <c r="NE423"/>
      <c r="NF423"/>
      <c r="NG423"/>
      <c r="NH423"/>
      <c r="NI423"/>
      <c r="NJ423"/>
      <c r="NK423"/>
      <c r="NL423"/>
      <c r="NM423"/>
      <c r="NN423"/>
      <c r="NO423"/>
      <c r="NP423"/>
      <c r="NQ423"/>
      <c r="NR423"/>
      <c r="NS423"/>
      <c r="NT423"/>
      <c r="NU423"/>
      <c r="NV423"/>
      <c r="NW423"/>
      <c r="NX423"/>
      <c r="NY423"/>
      <c r="NZ423"/>
      <c r="OA423"/>
      <c r="OB423"/>
      <c r="OC423"/>
      <c r="OD423"/>
      <c r="OE423"/>
      <c r="OF423"/>
      <c r="OG423"/>
      <c r="OH423"/>
      <c r="OI423"/>
      <c r="OJ423"/>
      <c r="OK423"/>
      <c r="OL423"/>
      <c r="OM423"/>
      <c r="ON423"/>
      <c r="OO423"/>
      <c r="OP423"/>
      <c r="OQ423"/>
      <c r="OR423"/>
      <c r="OS423"/>
      <c r="OT423"/>
      <c r="OU423"/>
      <c r="OV423"/>
      <c r="OW423"/>
      <c r="OX423"/>
      <c r="OY423"/>
      <c r="OZ423"/>
      <c r="PA423"/>
      <c r="PB423"/>
      <c r="PC423"/>
      <c r="PD423"/>
      <c r="PE423"/>
      <c r="PF423"/>
      <c r="PG423"/>
      <c r="PH423"/>
      <c r="PI423"/>
      <c r="PJ423"/>
      <c r="PK423"/>
      <c r="PL423"/>
      <c r="PM423"/>
      <c r="PN423"/>
      <c r="PO423"/>
      <c r="PP423"/>
      <c r="PQ423"/>
      <c r="PR423"/>
      <c r="PS423"/>
      <c r="PT423"/>
      <c r="PU423"/>
      <c r="PV423"/>
      <c r="PW423"/>
      <c r="PX423"/>
      <c r="PY423"/>
      <c r="PZ423"/>
      <c r="QA423"/>
      <c r="QB423"/>
      <c r="QC423"/>
      <c r="QD423"/>
      <c r="QE423"/>
      <c r="QF423"/>
      <c r="QG423"/>
      <c r="QH423"/>
      <c r="QI423"/>
      <c r="QJ423"/>
      <c r="QK423"/>
      <c r="QL423"/>
      <c r="QM423"/>
      <c r="QN423"/>
      <c r="QO423"/>
      <c r="QP423"/>
      <c r="QQ423"/>
      <c r="QR423"/>
      <c r="QS423"/>
      <c r="QT423"/>
      <c r="QU423"/>
      <c r="QV423"/>
      <c r="QW423"/>
      <c r="QX423"/>
      <c r="QY423"/>
      <c r="QZ423"/>
      <c r="RA423"/>
      <c r="RB423"/>
      <c r="RC423"/>
      <c r="RD423"/>
      <c r="RE423"/>
      <c r="RF423"/>
      <c r="RG423"/>
      <c r="RH423"/>
      <c r="RI423"/>
      <c r="RJ423"/>
      <c r="RK423"/>
      <c r="RL423"/>
      <c r="RM423"/>
      <c r="RN423"/>
      <c r="RO423"/>
      <c r="RP423"/>
      <c r="RQ423"/>
      <c r="RR423"/>
      <c r="RS423"/>
      <c r="RT423"/>
      <c r="RU423"/>
      <c r="RV423"/>
      <c r="RW423"/>
      <c r="RX423"/>
      <c r="RY423"/>
      <c r="RZ423"/>
      <c r="SA423"/>
      <c r="SB423"/>
      <c r="SC423"/>
      <c r="SD423"/>
      <c r="SE423"/>
      <c r="SF423"/>
      <c r="SG423"/>
      <c r="SH423"/>
      <c r="SI423"/>
      <c r="SJ423"/>
      <c r="SK423"/>
      <c r="SL423"/>
      <c r="SM423"/>
      <c r="SN423"/>
      <c r="SO423"/>
      <c r="SP423"/>
      <c r="SQ423"/>
      <c r="SR423"/>
      <c r="SS423"/>
      <c r="ST423"/>
      <c r="SU423"/>
      <c r="SV423"/>
      <c r="SW423"/>
      <c r="SX423"/>
      <c r="SY423"/>
      <c r="SZ423"/>
      <c r="TA423"/>
      <c r="TB423"/>
      <c r="TC423"/>
      <c r="TD423"/>
      <c r="TE423"/>
      <c r="TF423"/>
      <c r="TG423"/>
      <c r="TH423"/>
    </row>
    <row r="424" spans="3:528" x14ac:dyDescent="0.25">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c r="KT424"/>
      <c r="KU424"/>
      <c r="KV424"/>
      <c r="KW424"/>
      <c r="KX424"/>
      <c r="KY424"/>
      <c r="KZ424"/>
      <c r="LA424"/>
      <c r="LB424"/>
      <c r="LC424"/>
      <c r="LD424"/>
      <c r="LE424"/>
      <c r="LF424"/>
      <c r="LG424"/>
      <c r="LH424"/>
      <c r="LI424"/>
      <c r="LJ424"/>
      <c r="LK424"/>
      <c r="LL424"/>
      <c r="LM424"/>
      <c r="LN424"/>
      <c r="LO424"/>
      <c r="LP424"/>
      <c r="LQ424"/>
      <c r="LR424"/>
      <c r="LS424"/>
      <c r="LT424"/>
      <c r="LU424"/>
      <c r="LV424"/>
      <c r="LW424"/>
      <c r="LX424"/>
      <c r="LY424"/>
      <c r="LZ424"/>
      <c r="MA424"/>
      <c r="MB424"/>
      <c r="MC424"/>
      <c r="MD424"/>
      <c r="ME424"/>
      <c r="MF424"/>
      <c r="MG424"/>
      <c r="MH424"/>
      <c r="MI424"/>
      <c r="MJ424"/>
      <c r="MK424"/>
      <c r="ML424"/>
      <c r="MM424"/>
      <c r="MN424"/>
      <c r="MO424"/>
      <c r="MP424"/>
      <c r="MQ424"/>
      <c r="MR424"/>
      <c r="MS424"/>
      <c r="MT424"/>
      <c r="MU424"/>
      <c r="MV424"/>
      <c r="MW424"/>
      <c r="MX424"/>
      <c r="MY424"/>
      <c r="MZ424"/>
      <c r="NA424"/>
      <c r="NB424"/>
      <c r="NC424"/>
      <c r="ND424"/>
      <c r="NE424"/>
      <c r="NF424"/>
      <c r="NG424"/>
      <c r="NH424"/>
      <c r="NI424"/>
      <c r="NJ424"/>
      <c r="NK424"/>
      <c r="NL424"/>
      <c r="NM424"/>
      <c r="NN424"/>
      <c r="NO424"/>
      <c r="NP424"/>
      <c r="NQ424"/>
      <c r="NR424"/>
      <c r="NS424"/>
      <c r="NT424"/>
      <c r="NU424"/>
      <c r="NV424"/>
      <c r="NW424"/>
      <c r="NX424"/>
      <c r="NY424"/>
      <c r="NZ424"/>
      <c r="OA424"/>
      <c r="OB424"/>
      <c r="OC424"/>
      <c r="OD424"/>
      <c r="OE424"/>
      <c r="OF424"/>
      <c r="OG424"/>
      <c r="OH424"/>
      <c r="OI424"/>
      <c r="OJ424"/>
      <c r="OK424"/>
      <c r="OL424"/>
      <c r="OM424"/>
      <c r="ON424"/>
      <c r="OO424"/>
      <c r="OP424"/>
      <c r="OQ424"/>
      <c r="OR424"/>
      <c r="OS424"/>
      <c r="OT424"/>
      <c r="OU424"/>
      <c r="OV424"/>
      <c r="OW424"/>
      <c r="OX424"/>
      <c r="OY424"/>
      <c r="OZ424"/>
      <c r="PA424"/>
      <c r="PB424"/>
      <c r="PC424"/>
      <c r="PD424"/>
      <c r="PE424"/>
      <c r="PF424"/>
      <c r="PG424"/>
      <c r="PH424"/>
      <c r="PI424"/>
      <c r="PJ424"/>
      <c r="PK424"/>
      <c r="PL424"/>
      <c r="PM424"/>
      <c r="PN424"/>
      <c r="PO424"/>
      <c r="PP424"/>
      <c r="PQ424"/>
      <c r="PR424"/>
      <c r="PS424"/>
      <c r="PT424"/>
      <c r="PU424"/>
      <c r="PV424"/>
      <c r="PW424"/>
      <c r="PX424"/>
      <c r="PY424"/>
      <c r="PZ424"/>
      <c r="QA424"/>
      <c r="QB424"/>
      <c r="QC424"/>
      <c r="QD424"/>
      <c r="QE424"/>
      <c r="QF424"/>
      <c r="QG424"/>
      <c r="QH424"/>
      <c r="QI424"/>
      <c r="QJ424"/>
      <c r="QK424"/>
      <c r="QL424"/>
      <c r="QM424"/>
      <c r="QN424"/>
      <c r="QO424"/>
      <c r="QP424"/>
      <c r="QQ424"/>
      <c r="QR424"/>
      <c r="QS424"/>
      <c r="QT424"/>
      <c r="QU424"/>
      <c r="QV424"/>
      <c r="QW424"/>
      <c r="QX424"/>
      <c r="QY424"/>
      <c r="QZ424"/>
      <c r="RA424"/>
      <c r="RB424"/>
      <c r="RC424"/>
      <c r="RD424"/>
      <c r="RE424"/>
      <c r="RF424"/>
      <c r="RG424"/>
      <c r="RH424"/>
      <c r="RI424"/>
      <c r="RJ424"/>
      <c r="RK424"/>
      <c r="RL424"/>
      <c r="RM424"/>
      <c r="RN424"/>
      <c r="RO424"/>
      <c r="RP424"/>
      <c r="RQ424"/>
      <c r="RR424"/>
      <c r="RS424"/>
      <c r="RT424"/>
      <c r="RU424"/>
      <c r="RV424"/>
      <c r="RW424"/>
      <c r="RX424"/>
      <c r="RY424"/>
      <c r="RZ424"/>
      <c r="SA424"/>
      <c r="SB424"/>
      <c r="SC424"/>
      <c r="SD424"/>
      <c r="SE424"/>
      <c r="SF424"/>
      <c r="SG424"/>
      <c r="SH424"/>
      <c r="SI424"/>
      <c r="SJ424"/>
      <c r="SK424"/>
      <c r="SL424"/>
      <c r="SM424"/>
      <c r="SN424"/>
      <c r="SO424"/>
      <c r="SP424"/>
      <c r="SQ424"/>
      <c r="SR424"/>
      <c r="SS424"/>
      <c r="ST424"/>
      <c r="SU424"/>
      <c r="SV424"/>
      <c r="SW424"/>
      <c r="SX424"/>
      <c r="SY424"/>
      <c r="SZ424"/>
      <c r="TA424"/>
      <c r="TB424"/>
      <c r="TC424"/>
      <c r="TD424"/>
      <c r="TE424"/>
      <c r="TF424"/>
      <c r="TG424"/>
      <c r="TH424"/>
    </row>
    <row r="425" spans="3:528" x14ac:dyDescent="0.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c r="KT425"/>
      <c r="KU425"/>
      <c r="KV425"/>
      <c r="KW425"/>
      <c r="KX425"/>
      <c r="KY425"/>
      <c r="KZ425"/>
      <c r="LA425"/>
      <c r="LB425"/>
      <c r="LC425"/>
      <c r="LD425"/>
      <c r="LE425"/>
      <c r="LF425"/>
      <c r="LG425"/>
      <c r="LH425"/>
      <c r="LI425"/>
      <c r="LJ425"/>
      <c r="LK425"/>
      <c r="LL425"/>
      <c r="LM425"/>
      <c r="LN425"/>
      <c r="LO425"/>
      <c r="LP425"/>
      <c r="LQ425"/>
      <c r="LR425"/>
      <c r="LS425"/>
      <c r="LT425"/>
      <c r="LU425"/>
      <c r="LV425"/>
      <c r="LW425"/>
      <c r="LX425"/>
      <c r="LY425"/>
      <c r="LZ425"/>
      <c r="MA425"/>
      <c r="MB425"/>
      <c r="MC425"/>
      <c r="MD425"/>
      <c r="ME425"/>
      <c r="MF425"/>
      <c r="MG425"/>
      <c r="MH425"/>
      <c r="MI425"/>
      <c r="MJ425"/>
      <c r="MK425"/>
      <c r="ML425"/>
      <c r="MM425"/>
      <c r="MN425"/>
      <c r="MO425"/>
      <c r="MP425"/>
      <c r="MQ425"/>
      <c r="MR425"/>
      <c r="MS425"/>
      <c r="MT425"/>
      <c r="MU425"/>
      <c r="MV425"/>
      <c r="MW425"/>
      <c r="MX425"/>
      <c r="MY425"/>
      <c r="MZ425"/>
      <c r="NA425"/>
      <c r="NB425"/>
      <c r="NC425"/>
      <c r="ND425"/>
      <c r="NE425"/>
      <c r="NF425"/>
      <c r="NG425"/>
      <c r="NH425"/>
      <c r="NI425"/>
      <c r="NJ425"/>
      <c r="NK425"/>
      <c r="NL425"/>
      <c r="NM425"/>
      <c r="NN425"/>
      <c r="NO425"/>
      <c r="NP425"/>
      <c r="NQ425"/>
      <c r="NR425"/>
      <c r="NS425"/>
      <c r="NT425"/>
      <c r="NU425"/>
      <c r="NV425"/>
      <c r="NW425"/>
      <c r="NX425"/>
      <c r="NY425"/>
      <c r="NZ425"/>
      <c r="OA425"/>
      <c r="OB425"/>
      <c r="OC425"/>
      <c r="OD425"/>
      <c r="OE425"/>
      <c r="OF425"/>
      <c r="OG425"/>
      <c r="OH425"/>
      <c r="OI425"/>
      <c r="OJ425"/>
      <c r="OK425"/>
      <c r="OL425"/>
      <c r="OM425"/>
      <c r="ON425"/>
      <c r="OO425"/>
      <c r="OP425"/>
      <c r="OQ425"/>
      <c r="OR425"/>
      <c r="OS425"/>
      <c r="OT425"/>
      <c r="OU425"/>
      <c r="OV425"/>
      <c r="OW425"/>
      <c r="OX425"/>
      <c r="OY425"/>
      <c r="OZ425"/>
      <c r="PA425"/>
      <c r="PB425"/>
      <c r="PC425"/>
      <c r="PD425"/>
      <c r="PE425"/>
      <c r="PF425"/>
      <c r="PG425"/>
      <c r="PH425"/>
      <c r="PI425"/>
      <c r="PJ425"/>
      <c r="PK425"/>
      <c r="PL425"/>
      <c r="PM425"/>
      <c r="PN425"/>
      <c r="PO425"/>
      <c r="PP425"/>
      <c r="PQ425"/>
      <c r="PR425"/>
      <c r="PS425"/>
      <c r="PT425"/>
      <c r="PU425"/>
      <c r="PV425"/>
      <c r="PW425"/>
      <c r="PX425"/>
      <c r="PY425"/>
      <c r="PZ425"/>
      <c r="QA425"/>
      <c r="QB425"/>
      <c r="QC425"/>
      <c r="QD425"/>
      <c r="QE425"/>
      <c r="QF425"/>
      <c r="QG425"/>
      <c r="QH425"/>
      <c r="QI425"/>
      <c r="QJ425"/>
      <c r="QK425"/>
      <c r="QL425"/>
      <c r="QM425"/>
      <c r="QN425"/>
      <c r="QO425"/>
      <c r="QP425"/>
      <c r="QQ425"/>
      <c r="QR425"/>
      <c r="QS425"/>
      <c r="QT425"/>
      <c r="QU425"/>
      <c r="QV425"/>
      <c r="QW425"/>
      <c r="QX425"/>
      <c r="QY425"/>
      <c r="QZ425"/>
      <c r="RA425"/>
      <c r="RB425"/>
      <c r="RC425"/>
      <c r="RD425"/>
      <c r="RE425"/>
      <c r="RF425"/>
      <c r="RG425"/>
      <c r="RH425"/>
      <c r="RI425"/>
      <c r="RJ425"/>
      <c r="RK425"/>
      <c r="RL425"/>
      <c r="RM425"/>
      <c r="RN425"/>
      <c r="RO425"/>
      <c r="RP425"/>
      <c r="RQ425"/>
      <c r="RR425"/>
      <c r="RS425"/>
      <c r="RT425"/>
      <c r="RU425"/>
      <c r="RV425"/>
      <c r="RW425"/>
      <c r="RX425"/>
      <c r="RY425"/>
      <c r="RZ425"/>
      <c r="SA425"/>
      <c r="SB425"/>
      <c r="SC425"/>
      <c r="SD425"/>
      <c r="SE425"/>
      <c r="SF425"/>
      <c r="SG425"/>
      <c r="SH425"/>
      <c r="SI425"/>
      <c r="SJ425"/>
      <c r="SK425"/>
      <c r="SL425"/>
      <c r="SM425"/>
      <c r="SN425"/>
      <c r="SO425"/>
      <c r="SP425"/>
      <c r="SQ425"/>
      <c r="SR425"/>
      <c r="SS425"/>
      <c r="ST425"/>
      <c r="SU425"/>
      <c r="SV425"/>
      <c r="SW425"/>
      <c r="SX425"/>
      <c r="SY425"/>
      <c r="SZ425"/>
      <c r="TA425"/>
      <c r="TB425"/>
      <c r="TC425"/>
      <c r="TD425"/>
      <c r="TE425"/>
      <c r="TF425"/>
      <c r="TG425"/>
      <c r="TH425"/>
    </row>
    <row r="426" spans="3:528" x14ac:dyDescent="0.25">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c r="KT426"/>
      <c r="KU426"/>
      <c r="KV426"/>
      <c r="KW426"/>
      <c r="KX426"/>
      <c r="KY426"/>
      <c r="KZ426"/>
      <c r="LA426"/>
      <c r="LB426"/>
      <c r="LC426"/>
      <c r="LD426"/>
      <c r="LE426"/>
      <c r="LF426"/>
      <c r="LG426"/>
      <c r="LH426"/>
      <c r="LI426"/>
      <c r="LJ426"/>
      <c r="LK426"/>
      <c r="LL426"/>
      <c r="LM426"/>
      <c r="LN426"/>
      <c r="LO426"/>
      <c r="LP426"/>
      <c r="LQ426"/>
      <c r="LR426"/>
      <c r="LS426"/>
      <c r="LT426"/>
      <c r="LU426"/>
      <c r="LV426"/>
      <c r="LW426"/>
      <c r="LX426"/>
      <c r="LY426"/>
      <c r="LZ426"/>
      <c r="MA426"/>
      <c r="MB426"/>
      <c r="MC426"/>
      <c r="MD426"/>
      <c r="ME426"/>
      <c r="MF426"/>
      <c r="MG426"/>
      <c r="MH426"/>
      <c r="MI426"/>
      <c r="MJ426"/>
      <c r="MK426"/>
      <c r="ML426"/>
      <c r="MM426"/>
      <c r="MN426"/>
      <c r="MO426"/>
      <c r="MP426"/>
      <c r="MQ426"/>
      <c r="MR426"/>
      <c r="MS426"/>
      <c r="MT426"/>
      <c r="MU426"/>
      <c r="MV426"/>
      <c r="MW426"/>
      <c r="MX426"/>
      <c r="MY426"/>
      <c r="MZ426"/>
      <c r="NA426"/>
      <c r="NB426"/>
      <c r="NC426"/>
      <c r="ND426"/>
      <c r="NE426"/>
      <c r="NF426"/>
      <c r="NG426"/>
      <c r="NH426"/>
      <c r="NI426"/>
      <c r="NJ426"/>
      <c r="NK426"/>
      <c r="NL426"/>
      <c r="NM426"/>
      <c r="NN426"/>
      <c r="NO426"/>
      <c r="NP426"/>
      <c r="NQ426"/>
      <c r="NR426"/>
      <c r="NS426"/>
      <c r="NT426"/>
      <c r="NU426"/>
      <c r="NV426"/>
      <c r="NW426"/>
      <c r="NX426"/>
      <c r="NY426"/>
      <c r="NZ426"/>
      <c r="OA426"/>
      <c r="OB426"/>
      <c r="OC426"/>
      <c r="OD426"/>
      <c r="OE426"/>
      <c r="OF426"/>
      <c r="OG426"/>
      <c r="OH426"/>
      <c r="OI426"/>
      <c r="OJ426"/>
      <c r="OK426"/>
      <c r="OL426"/>
      <c r="OM426"/>
      <c r="ON426"/>
      <c r="OO426"/>
      <c r="OP426"/>
      <c r="OQ426"/>
      <c r="OR426"/>
      <c r="OS426"/>
      <c r="OT426"/>
      <c r="OU426"/>
      <c r="OV426"/>
      <c r="OW426"/>
      <c r="OX426"/>
      <c r="OY426"/>
      <c r="OZ426"/>
      <c r="PA426"/>
      <c r="PB426"/>
      <c r="PC426"/>
      <c r="PD426"/>
      <c r="PE426"/>
      <c r="PF426"/>
      <c r="PG426"/>
      <c r="PH426"/>
      <c r="PI426"/>
      <c r="PJ426"/>
      <c r="PK426"/>
      <c r="PL426"/>
      <c r="PM426"/>
      <c r="PN426"/>
      <c r="PO426"/>
      <c r="PP426"/>
      <c r="PQ426"/>
      <c r="PR426"/>
      <c r="PS426"/>
      <c r="PT426"/>
      <c r="PU426"/>
      <c r="PV426"/>
      <c r="PW426"/>
      <c r="PX426"/>
      <c r="PY426"/>
      <c r="PZ426"/>
      <c r="QA426"/>
      <c r="QB426"/>
      <c r="QC426"/>
      <c r="QD426"/>
      <c r="QE426"/>
      <c r="QF426"/>
      <c r="QG426"/>
      <c r="QH426"/>
      <c r="QI426"/>
      <c r="QJ426"/>
      <c r="QK426"/>
      <c r="QL426"/>
      <c r="QM426"/>
      <c r="QN426"/>
      <c r="QO426"/>
      <c r="QP426"/>
      <c r="QQ426"/>
      <c r="QR426"/>
      <c r="QS426"/>
      <c r="QT426"/>
      <c r="QU426"/>
      <c r="QV426"/>
      <c r="QW426"/>
      <c r="QX426"/>
      <c r="QY426"/>
      <c r="QZ426"/>
      <c r="RA426"/>
      <c r="RB426"/>
      <c r="RC426"/>
      <c r="RD426"/>
      <c r="RE426"/>
      <c r="RF426"/>
      <c r="RG426"/>
      <c r="RH426"/>
      <c r="RI426"/>
      <c r="RJ426"/>
      <c r="RK426"/>
      <c r="RL426"/>
      <c r="RM426"/>
      <c r="RN426"/>
      <c r="RO426"/>
      <c r="RP426"/>
      <c r="RQ426"/>
      <c r="RR426"/>
      <c r="RS426"/>
      <c r="RT426"/>
      <c r="RU426"/>
      <c r="RV426"/>
      <c r="RW426"/>
      <c r="RX426"/>
      <c r="RY426"/>
      <c r="RZ426"/>
      <c r="SA426"/>
      <c r="SB426"/>
      <c r="SC426"/>
      <c r="SD426"/>
      <c r="SE426"/>
      <c r="SF426"/>
      <c r="SG426"/>
      <c r="SH426"/>
      <c r="SI426"/>
      <c r="SJ426"/>
      <c r="SK426"/>
      <c r="SL426"/>
      <c r="SM426"/>
      <c r="SN426"/>
      <c r="SO426"/>
      <c r="SP426"/>
      <c r="SQ426"/>
      <c r="SR426"/>
      <c r="SS426"/>
      <c r="ST426"/>
      <c r="SU426"/>
      <c r="SV426"/>
      <c r="SW426"/>
      <c r="SX426"/>
      <c r="SY426"/>
      <c r="SZ426"/>
      <c r="TA426"/>
      <c r="TB426"/>
      <c r="TC426"/>
      <c r="TD426"/>
      <c r="TE426"/>
      <c r="TF426"/>
      <c r="TG426"/>
      <c r="TH426"/>
    </row>
    <row r="427" spans="3:528" x14ac:dyDescent="0.25">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c r="KT427"/>
      <c r="KU427"/>
      <c r="KV427"/>
      <c r="KW427"/>
      <c r="KX427"/>
      <c r="KY427"/>
      <c r="KZ427"/>
      <c r="LA427"/>
      <c r="LB427"/>
      <c r="LC427"/>
      <c r="LD427"/>
      <c r="LE427"/>
      <c r="LF427"/>
      <c r="LG427"/>
      <c r="LH427"/>
      <c r="LI427"/>
      <c r="LJ427"/>
      <c r="LK427"/>
      <c r="LL427"/>
      <c r="LM427"/>
      <c r="LN427"/>
      <c r="LO427"/>
      <c r="LP427"/>
      <c r="LQ427"/>
      <c r="LR427"/>
      <c r="LS427"/>
      <c r="LT427"/>
      <c r="LU427"/>
      <c r="LV427"/>
      <c r="LW427"/>
      <c r="LX427"/>
      <c r="LY427"/>
      <c r="LZ427"/>
      <c r="MA427"/>
      <c r="MB427"/>
      <c r="MC427"/>
      <c r="MD427"/>
      <c r="ME427"/>
      <c r="MF427"/>
      <c r="MG427"/>
      <c r="MH427"/>
      <c r="MI427"/>
      <c r="MJ427"/>
      <c r="MK427"/>
      <c r="ML427"/>
      <c r="MM427"/>
      <c r="MN427"/>
      <c r="MO427"/>
      <c r="MP427"/>
      <c r="MQ427"/>
      <c r="MR427"/>
      <c r="MS427"/>
      <c r="MT427"/>
      <c r="MU427"/>
      <c r="MV427"/>
      <c r="MW427"/>
      <c r="MX427"/>
      <c r="MY427"/>
      <c r="MZ427"/>
      <c r="NA427"/>
      <c r="NB427"/>
      <c r="NC427"/>
      <c r="ND427"/>
      <c r="NE427"/>
      <c r="NF427"/>
      <c r="NG427"/>
      <c r="NH427"/>
      <c r="NI427"/>
      <c r="NJ427"/>
      <c r="NK427"/>
      <c r="NL427"/>
      <c r="NM427"/>
      <c r="NN427"/>
      <c r="NO427"/>
      <c r="NP427"/>
      <c r="NQ427"/>
      <c r="NR427"/>
      <c r="NS427"/>
      <c r="NT427"/>
      <c r="NU427"/>
      <c r="NV427"/>
      <c r="NW427"/>
      <c r="NX427"/>
      <c r="NY427"/>
      <c r="NZ427"/>
      <c r="OA427"/>
      <c r="OB427"/>
      <c r="OC427"/>
      <c r="OD427"/>
      <c r="OE427"/>
      <c r="OF427"/>
      <c r="OG427"/>
      <c r="OH427"/>
      <c r="OI427"/>
      <c r="OJ427"/>
      <c r="OK427"/>
      <c r="OL427"/>
      <c r="OM427"/>
      <c r="ON427"/>
      <c r="OO427"/>
      <c r="OP427"/>
      <c r="OQ427"/>
      <c r="OR427"/>
      <c r="OS427"/>
      <c r="OT427"/>
      <c r="OU427"/>
      <c r="OV427"/>
      <c r="OW427"/>
      <c r="OX427"/>
      <c r="OY427"/>
      <c r="OZ427"/>
      <c r="PA427"/>
      <c r="PB427"/>
      <c r="PC427"/>
      <c r="PD427"/>
      <c r="PE427"/>
      <c r="PF427"/>
      <c r="PG427"/>
      <c r="PH427"/>
      <c r="PI427"/>
      <c r="PJ427"/>
      <c r="PK427"/>
      <c r="PL427"/>
      <c r="PM427"/>
      <c r="PN427"/>
      <c r="PO427"/>
      <c r="PP427"/>
      <c r="PQ427"/>
      <c r="PR427"/>
      <c r="PS427"/>
      <c r="PT427"/>
      <c r="PU427"/>
      <c r="PV427"/>
      <c r="PW427"/>
      <c r="PX427"/>
      <c r="PY427"/>
      <c r="PZ427"/>
      <c r="QA427"/>
      <c r="QB427"/>
      <c r="QC427"/>
      <c r="QD427"/>
      <c r="QE427"/>
      <c r="QF427"/>
      <c r="QG427"/>
      <c r="QH427"/>
      <c r="QI427"/>
      <c r="QJ427"/>
      <c r="QK427"/>
      <c r="QL427"/>
      <c r="QM427"/>
      <c r="QN427"/>
      <c r="QO427"/>
      <c r="QP427"/>
      <c r="QQ427"/>
      <c r="QR427"/>
      <c r="QS427"/>
      <c r="QT427"/>
      <c r="QU427"/>
      <c r="QV427"/>
      <c r="QW427"/>
      <c r="QX427"/>
      <c r="QY427"/>
      <c r="QZ427"/>
      <c r="RA427"/>
      <c r="RB427"/>
      <c r="RC427"/>
      <c r="RD427"/>
      <c r="RE427"/>
      <c r="RF427"/>
      <c r="RG427"/>
      <c r="RH427"/>
      <c r="RI427"/>
      <c r="RJ427"/>
      <c r="RK427"/>
      <c r="RL427"/>
      <c r="RM427"/>
      <c r="RN427"/>
      <c r="RO427"/>
      <c r="RP427"/>
      <c r="RQ427"/>
      <c r="RR427"/>
      <c r="RS427"/>
      <c r="RT427"/>
      <c r="RU427"/>
      <c r="RV427"/>
      <c r="RW427"/>
      <c r="RX427"/>
      <c r="RY427"/>
      <c r="RZ427"/>
      <c r="SA427"/>
      <c r="SB427"/>
      <c r="SC427"/>
      <c r="SD427"/>
      <c r="SE427"/>
      <c r="SF427"/>
      <c r="SG427"/>
      <c r="SH427"/>
      <c r="SI427"/>
      <c r="SJ427"/>
      <c r="SK427"/>
      <c r="SL427"/>
      <c r="SM427"/>
      <c r="SN427"/>
      <c r="SO427"/>
      <c r="SP427"/>
      <c r="SQ427"/>
      <c r="SR427"/>
      <c r="SS427"/>
      <c r="ST427"/>
      <c r="SU427"/>
      <c r="SV427"/>
      <c r="SW427"/>
      <c r="SX427"/>
      <c r="SY427"/>
      <c r="SZ427"/>
      <c r="TA427"/>
      <c r="TB427"/>
      <c r="TC427"/>
      <c r="TD427"/>
      <c r="TE427"/>
      <c r="TF427"/>
      <c r="TG427"/>
      <c r="TH427"/>
    </row>
    <row r="428" spans="3:528" x14ac:dyDescent="0.25">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c r="KT428"/>
      <c r="KU428"/>
      <c r="KV428"/>
      <c r="KW428"/>
      <c r="KX428"/>
      <c r="KY428"/>
      <c r="KZ428"/>
      <c r="LA428"/>
      <c r="LB428"/>
      <c r="LC428"/>
      <c r="LD428"/>
      <c r="LE428"/>
      <c r="LF428"/>
      <c r="LG428"/>
      <c r="LH428"/>
      <c r="LI428"/>
      <c r="LJ428"/>
      <c r="LK428"/>
      <c r="LL428"/>
      <c r="LM428"/>
      <c r="LN428"/>
      <c r="LO428"/>
      <c r="LP428"/>
      <c r="LQ428"/>
      <c r="LR428"/>
      <c r="LS428"/>
      <c r="LT428"/>
      <c r="LU428"/>
      <c r="LV428"/>
      <c r="LW428"/>
      <c r="LX428"/>
      <c r="LY428"/>
      <c r="LZ428"/>
      <c r="MA428"/>
      <c r="MB428"/>
      <c r="MC428"/>
      <c r="MD428"/>
      <c r="ME428"/>
      <c r="MF428"/>
      <c r="MG428"/>
      <c r="MH428"/>
      <c r="MI428"/>
      <c r="MJ428"/>
      <c r="MK428"/>
      <c r="ML428"/>
      <c r="MM428"/>
      <c r="MN428"/>
      <c r="MO428"/>
      <c r="MP428"/>
      <c r="MQ428"/>
      <c r="MR428"/>
      <c r="MS428"/>
      <c r="MT428"/>
      <c r="MU428"/>
      <c r="MV428"/>
      <c r="MW428"/>
      <c r="MX428"/>
      <c r="MY428"/>
      <c r="MZ428"/>
      <c r="NA428"/>
      <c r="NB428"/>
      <c r="NC428"/>
      <c r="ND428"/>
      <c r="NE428"/>
      <c r="NF428"/>
      <c r="NG428"/>
      <c r="NH428"/>
      <c r="NI428"/>
      <c r="NJ428"/>
      <c r="NK428"/>
      <c r="NL428"/>
      <c r="NM428"/>
      <c r="NN428"/>
      <c r="NO428"/>
      <c r="NP428"/>
      <c r="NQ428"/>
      <c r="NR428"/>
      <c r="NS428"/>
      <c r="NT428"/>
      <c r="NU428"/>
      <c r="NV428"/>
      <c r="NW428"/>
      <c r="NX428"/>
      <c r="NY428"/>
      <c r="NZ428"/>
      <c r="OA428"/>
      <c r="OB428"/>
      <c r="OC428"/>
      <c r="OD428"/>
      <c r="OE428"/>
      <c r="OF428"/>
      <c r="OG428"/>
      <c r="OH428"/>
      <c r="OI428"/>
      <c r="OJ428"/>
      <c r="OK428"/>
      <c r="OL428"/>
      <c r="OM428"/>
      <c r="ON428"/>
      <c r="OO428"/>
      <c r="OP428"/>
      <c r="OQ428"/>
      <c r="OR428"/>
      <c r="OS428"/>
      <c r="OT428"/>
      <c r="OU428"/>
      <c r="OV428"/>
      <c r="OW428"/>
      <c r="OX428"/>
      <c r="OY428"/>
      <c r="OZ428"/>
      <c r="PA428"/>
      <c r="PB428"/>
      <c r="PC428"/>
      <c r="PD428"/>
      <c r="PE428"/>
      <c r="PF428"/>
      <c r="PG428"/>
      <c r="PH428"/>
      <c r="PI428"/>
      <c r="PJ428"/>
      <c r="PK428"/>
      <c r="PL428"/>
      <c r="PM428"/>
      <c r="PN428"/>
      <c r="PO428"/>
      <c r="PP428"/>
      <c r="PQ428"/>
      <c r="PR428"/>
      <c r="PS428"/>
      <c r="PT428"/>
      <c r="PU428"/>
      <c r="PV428"/>
      <c r="PW428"/>
      <c r="PX428"/>
      <c r="PY428"/>
      <c r="PZ428"/>
      <c r="QA428"/>
      <c r="QB428"/>
      <c r="QC428"/>
      <c r="QD428"/>
      <c r="QE428"/>
      <c r="QF428"/>
      <c r="QG428"/>
      <c r="QH428"/>
      <c r="QI428"/>
      <c r="QJ428"/>
      <c r="QK428"/>
      <c r="QL428"/>
      <c r="QM428"/>
      <c r="QN428"/>
      <c r="QO428"/>
      <c r="QP428"/>
      <c r="QQ428"/>
      <c r="QR428"/>
      <c r="QS428"/>
      <c r="QT428"/>
      <c r="QU428"/>
      <c r="QV428"/>
      <c r="QW428"/>
      <c r="QX428"/>
      <c r="QY428"/>
      <c r="QZ428"/>
      <c r="RA428"/>
      <c r="RB428"/>
      <c r="RC428"/>
      <c r="RD428"/>
      <c r="RE428"/>
      <c r="RF428"/>
      <c r="RG428"/>
      <c r="RH428"/>
      <c r="RI428"/>
      <c r="RJ428"/>
      <c r="RK428"/>
      <c r="RL428"/>
      <c r="RM428"/>
      <c r="RN428"/>
      <c r="RO428"/>
      <c r="RP428"/>
      <c r="RQ428"/>
      <c r="RR428"/>
      <c r="RS428"/>
      <c r="RT428"/>
      <c r="RU428"/>
      <c r="RV428"/>
      <c r="RW428"/>
      <c r="RX428"/>
      <c r="RY428"/>
      <c r="RZ428"/>
      <c r="SA428"/>
      <c r="SB428"/>
      <c r="SC428"/>
      <c r="SD428"/>
      <c r="SE428"/>
      <c r="SF428"/>
      <c r="SG428"/>
      <c r="SH428"/>
      <c r="SI428"/>
      <c r="SJ428"/>
      <c r="SK428"/>
      <c r="SL428"/>
      <c r="SM428"/>
      <c r="SN428"/>
      <c r="SO428"/>
      <c r="SP428"/>
      <c r="SQ428"/>
      <c r="SR428"/>
      <c r="SS428"/>
      <c r="ST428"/>
      <c r="SU428"/>
      <c r="SV428"/>
      <c r="SW428"/>
      <c r="SX428"/>
      <c r="SY428"/>
      <c r="SZ428"/>
      <c r="TA428"/>
      <c r="TB428"/>
      <c r="TC428"/>
      <c r="TD428"/>
      <c r="TE428"/>
      <c r="TF428"/>
      <c r="TG428"/>
      <c r="TH428"/>
    </row>
    <row r="429" spans="3:528" x14ac:dyDescent="0.25">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c r="KT429"/>
      <c r="KU429"/>
      <c r="KV429"/>
      <c r="KW429"/>
      <c r="KX429"/>
      <c r="KY429"/>
      <c r="KZ429"/>
      <c r="LA429"/>
      <c r="LB429"/>
      <c r="LC429"/>
      <c r="LD429"/>
      <c r="LE429"/>
      <c r="LF429"/>
      <c r="LG429"/>
      <c r="LH429"/>
      <c r="LI429"/>
      <c r="LJ429"/>
      <c r="LK429"/>
      <c r="LL429"/>
      <c r="LM429"/>
      <c r="LN429"/>
      <c r="LO429"/>
      <c r="LP429"/>
      <c r="LQ429"/>
      <c r="LR429"/>
      <c r="LS429"/>
      <c r="LT429"/>
      <c r="LU429"/>
      <c r="LV429"/>
      <c r="LW429"/>
      <c r="LX429"/>
      <c r="LY429"/>
      <c r="LZ429"/>
      <c r="MA429"/>
      <c r="MB429"/>
      <c r="MC429"/>
      <c r="MD429"/>
      <c r="ME429"/>
      <c r="MF429"/>
      <c r="MG429"/>
      <c r="MH429"/>
      <c r="MI429"/>
      <c r="MJ429"/>
      <c r="MK429"/>
      <c r="ML429"/>
      <c r="MM429"/>
      <c r="MN429"/>
      <c r="MO429"/>
      <c r="MP429"/>
      <c r="MQ429"/>
      <c r="MR429"/>
      <c r="MS429"/>
      <c r="MT429"/>
      <c r="MU429"/>
      <c r="MV429"/>
      <c r="MW429"/>
      <c r="MX429"/>
      <c r="MY429"/>
      <c r="MZ429"/>
      <c r="NA429"/>
      <c r="NB429"/>
      <c r="NC429"/>
      <c r="ND429"/>
      <c r="NE429"/>
      <c r="NF429"/>
      <c r="NG429"/>
      <c r="NH429"/>
      <c r="NI429"/>
      <c r="NJ429"/>
      <c r="NK429"/>
      <c r="NL429"/>
      <c r="NM429"/>
      <c r="NN429"/>
      <c r="NO429"/>
      <c r="NP429"/>
      <c r="NQ429"/>
      <c r="NR429"/>
      <c r="NS429"/>
      <c r="NT429"/>
      <c r="NU429"/>
      <c r="NV429"/>
      <c r="NW429"/>
      <c r="NX429"/>
      <c r="NY429"/>
      <c r="NZ429"/>
      <c r="OA429"/>
      <c r="OB429"/>
      <c r="OC429"/>
      <c r="OD429"/>
      <c r="OE429"/>
      <c r="OF429"/>
      <c r="OG429"/>
      <c r="OH429"/>
      <c r="OI429"/>
      <c r="OJ429"/>
      <c r="OK429"/>
      <c r="OL429"/>
      <c r="OM429"/>
      <c r="ON429"/>
      <c r="OO429"/>
      <c r="OP429"/>
      <c r="OQ429"/>
      <c r="OR429"/>
      <c r="OS429"/>
      <c r="OT429"/>
      <c r="OU429"/>
      <c r="OV429"/>
      <c r="OW429"/>
      <c r="OX429"/>
      <c r="OY429"/>
      <c r="OZ429"/>
      <c r="PA429"/>
      <c r="PB429"/>
      <c r="PC429"/>
      <c r="PD429"/>
      <c r="PE429"/>
      <c r="PF429"/>
      <c r="PG429"/>
      <c r="PH429"/>
      <c r="PI429"/>
      <c r="PJ429"/>
      <c r="PK429"/>
      <c r="PL429"/>
      <c r="PM429"/>
      <c r="PN429"/>
      <c r="PO429"/>
      <c r="PP429"/>
      <c r="PQ429"/>
      <c r="PR429"/>
      <c r="PS429"/>
      <c r="PT429"/>
      <c r="PU429"/>
      <c r="PV429"/>
      <c r="PW429"/>
      <c r="PX429"/>
      <c r="PY429"/>
      <c r="PZ429"/>
      <c r="QA429"/>
      <c r="QB429"/>
      <c r="QC429"/>
      <c r="QD429"/>
      <c r="QE429"/>
      <c r="QF429"/>
      <c r="QG429"/>
      <c r="QH429"/>
      <c r="QI429"/>
      <c r="QJ429"/>
      <c r="QK429"/>
      <c r="QL429"/>
      <c r="QM429"/>
      <c r="QN429"/>
      <c r="QO429"/>
      <c r="QP429"/>
      <c r="QQ429"/>
      <c r="QR429"/>
      <c r="QS429"/>
      <c r="QT429"/>
      <c r="QU429"/>
      <c r="QV429"/>
      <c r="QW429"/>
      <c r="QX429"/>
      <c r="QY429"/>
      <c r="QZ429"/>
      <c r="RA429"/>
      <c r="RB429"/>
      <c r="RC429"/>
      <c r="RD429"/>
      <c r="RE429"/>
      <c r="RF429"/>
      <c r="RG429"/>
      <c r="RH429"/>
      <c r="RI429"/>
      <c r="RJ429"/>
      <c r="RK429"/>
      <c r="RL429"/>
      <c r="RM429"/>
      <c r="RN429"/>
      <c r="RO429"/>
      <c r="RP429"/>
      <c r="RQ429"/>
      <c r="RR429"/>
      <c r="RS429"/>
      <c r="RT429"/>
      <c r="RU429"/>
      <c r="RV429"/>
      <c r="RW429"/>
      <c r="RX429"/>
      <c r="RY429"/>
      <c r="RZ429"/>
      <c r="SA429"/>
      <c r="SB429"/>
      <c r="SC429"/>
      <c r="SD429"/>
      <c r="SE429"/>
      <c r="SF429"/>
      <c r="SG429"/>
      <c r="SH429"/>
      <c r="SI429"/>
      <c r="SJ429"/>
      <c r="SK429"/>
      <c r="SL429"/>
      <c r="SM429"/>
      <c r="SN429"/>
      <c r="SO429"/>
      <c r="SP429"/>
      <c r="SQ429"/>
      <c r="SR429"/>
      <c r="SS429"/>
      <c r="ST429"/>
      <c r="SU429"/>
      <c r="SV429"/>
      <c r="SW429"/>
      <c r="SX429"/>
      <c r="SY429"/>
      <c r="SZ429"/>
      <c r="TA429"/>
      <c r="TB429"/>
      <c r="TC429"/>
      <c r="TD429"/>
      <c r="TE429"/>
      <c r="TF429"/>
      <c r="TG429"/>
      <c r="TH429"/>
    </row>
    <row r="430" spans="3:528" x14ac:dyDescent="0.25">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c r="KT430"/>
      <c r="KU430"/>
      <c r="KV430"/>
      <c r="KW430"/>
      <c r="KX430"/>
      <c r="KY430"/>
      <c r="KZ430"/>
      <c r="LA430"/>
      <c r="LB430"/>
      <c r="LC430"/>
      <c r="LD430"/>
      <c r="LE430"/>
      <c r="LF430"/>
      <c r="LG430"/>
      <c r="LH430"/>
      <c r="LI430"/>
      <c r="LJ430"/>
      <c r="LK430"/>
      <c r="LL430"/>
      <c r="LM430"/>
      <c r="LN430"/>
      <c r="LO430"/>
      <c r="LP430"/>
      <c r="LQ430"/>
      <c r="LR430"/>
      <c r="LS430"/>
      <c r="LT430"/>
      <c r="LU430"/>
      <c r="LV430"/>
      <c r="LW430"/>
      <c r="LX430"/>
      <c r="LY430"/>
      <c r="LZ430"/>
      <c r="MA430"/>
      <c r="MB430"/>
      <c r="MC430"/>
      <c r="MD430"/>
      <c r="ME430"/>
      <c r="MF430"/>
      <c r="MG430"/>
      <c r="MH430"/>
      <c r="MI430"/>
      <c r="MJ430"/>
      <c r="MK430"/>
      <c r="ML430"/>
      <c r="MM430"/>
      <c r="MN430"/>
      <c r="MO430"/>
      <c r="MP430"/>
      <c r="MQ430"/>
      <c r="MR430"/>
      <c r="MS430"/>
      <c r="MT430"/>
      <c r="MU430"/>
      <c r="MV430"/>
      <c r="MW430"/>
      <c r="MX430"/>
      <c r="MY430"/>
      <c r="MZ430"/>
      <c r="NA430"/>
      <c r="NB430"/>
      <c r="NC430"/>
      <c r="ND430"/>
      <c r="NE430"/>
      <c r="NF430"/>
      <c r="NG430"/>
      <c r="NH430"/>
      <c r="NI430"/>
      <c r="NJ430"/>
      <c r="NK430"/>
      <c r="NL430"/>
      <c r="NM430"/>
      <c r="NN430"/>
      <c r="NO430"/>
      <c r="NP430"/>
      <c r="NQ430"/>
      <c r="NR430"/>
      <c r="NS430"/>
      <c r="NT430"/>
      <c r="NU430"/>
      <c r="NV430"/>
      <c r="NW430"/>
      <c r="NX430"/>
      <c r="NY430"/>
      <c r="NZ430"/>
      <c r="OA430"/>
      <c r="OB430"/>
      <c r="OC430"/>
      <c r="OD430"/>
      <c r="OE430"/>
      <c r="OF430"/>
      <c r="OG430"/>
      <c r="OH430"/>
      <c r="OI430"/>
      <c r="OJ430"/>
      <c r="OK430"/>
      <c r="OL430"/>
      <c r="OM430"/>
      <c r="ON430"/>
      <c r="OO430"/>
      <c r="OP430"/>
      <c r="OQ430"/>
      <c r="OR430"/>
      <c r="OS430"/>
      <c r="OT430"/>
      <c r="OU430"/>
      <c r="OV430"/>
      <c r="OW430"/>
      <c r="OX430"/>
      <c r="OY430"/>
      <c r="OZ430"/>
      <c r="PA430"/>
      <c r="PB430"/>
      <c r="PC430"/>
      <c r="PD430"/>
      <c r="PE430"/>
      <c r="PF430"/>
      <c r="PG430"/>
      <c r="PH430"/>
      <c r="PI430"/>
      <c r="PJ430"/>
      <c r="PK430"/>
      <c r="PL430"/>
      <c r="PM430"/>
      <c r="PN430"/>
      <c r="PO430"/>
      <c r="PP430"/>
      <c r="PQ430"/>
      <c r="PR430"/>
      <c r="PS430"/>
      <c r="PT430"/>
      <c r="PU430"/>
      <c r="PV430"/>
      <c r="PW430"/>
      <c r="PX430"/>
      <c r="PY430"/>
      <c r="PZ430"/>
      <c r="QA430"/>
      <c r="QB430"/>
      <c r="QC430"/>
      <c r="QD430"/>
      <c r="QE430"/>
      <c r="QF430"/>
      <c r="QG430"/>
      <c r="QH430"/>
      <c r="QI430"/>
      <c r="QJ430"/>
      <c r="QK430"/>
      <c r="QL430"/>
      <c r="QM430"/>
      <c r="QN430"/>
      <c r="QO430"/>
      <c r="QP430"/>
      <c r="QQ430"/>
      <c r="QR430"/>
      <c r="QS430"/>
      <c r="QT430"/>
      <c r="QU430"/>
      <c r="QV430"/>
      <c r="QW430"/>
      <c r="QX430"/>
      <c r="QY430"/>
      <c r="QZ430"/>
      <c r="RA430"/>
      <c r="RB430"/>
      <c r="RC430"/>
      <c r="RD430"/>
      <c r="RE430"/>
      <c r="RF430"/>
      <c r="RG430"/>
      <c r="RH430"/>
      <c r="RI430"/>
      <c r="RJ430"/>
      <c r="RK430"/>
      <c r="RL430"/>
      <c r="RM430"/>
      <c r="RN430"/>
      <c r="RO430"/>
      <c r="RP430"/>
      <c r="RQ430"/>
      <c r="RR430"/>
      <c r="RS430"/>
      <c r="RT430"/>
      <c r="RU430"/>
      <c r="RV430"/>
      <c r="RW430"/>
      <c r="RX430"/>
      <c r="RY430"/>
      <c r="RZ430"/>
      <c r="SA430"/>
      <c r="SB430"/>
      <c r="SC430"/>
      <c r="SD430"/>
      <c r="SE430"/>
      <c r="SF430"/>
      <c r="SG430"/>
      <c r="SH430"/>
      <c r="SI430"/>
      <c r="SJ430"/>
      <c r="SK430"/>
      <c r="SL430"/>
      <c r="SM430"/>
      <c r="SN430"/>
      <c r="SO430"/>
      <c r="SP430"/>
      <c r="SQ430"/>
      <c r="SR430"/>
      <c r="SS430"/>
      <c r="ST430"/>
      <c r="SU430"/>
      <c r="SV430"/>
      <c r="SW430"/>
      <c r="SX430"/>
      <c r="SY430"/>
      <c r="SZ430"/>
      <c r="TA430"/>
      <c r="TB430"/>
      <c r="TC430"/>
      <c r="TD430"/>
      <c r="TE430"/>
      <c r="TF430"/>
      <c r="TG430"/>
      <c r="TH430"/>
    </row>
    <row r="431" spans="3:528" x14ac:dyDescent="0.25">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c r="KT431"/>
      <c r="KU431"/>
      <c r="KV431"/>
      <c r="KW431"/>
      <c r="KX431"/>
      <c r="KY431"/>
      <c r="KZ431"/>
      <c r="LA431"/>
      <c r="LB431"/>
      <c r="LC431"/>
      <c r="LD431"/>
      <c r="LE431"/>
      <c r="LF431"/>
      <c r="LG431"/>
      <c r="LH431"/>
      <c r="LI431"/>
      <c r="LJ431"/>
      <c r="LK431"/>
      <c r="LL431"/>
      <c r="LM431"/>
      <c r="LN431"/>
      <c r="LO431"/>
      <c r="LP431"/>
      <c r="LQ431"/>
      <c r="LR431"/>
      <c r="LS431"/>
      <c r="LT431"/>
      <c r="LU431"/>
      <c r="LV431"/>
      <c r="LW431"/>
      <c r="LX431"/>
      <c r="LY431"/>
      <c r="LZ431"/>
      <c r="MA431"/>
      <c r="MB431"/>
      <c r="MC431"/>
      <c r="MD431"/>
      <c r="ME431"/>
      <c r="MF431"/>
      <c r="MG431"/>
      <c r="MH431"/>
      <c r="MI431"/>
      <c r="MJ431"/>
      <c r="MK431"/>
      <c r="ML431"/>
      <c r="MM431"/>
      <c r="MN431"/>
      <c r="MO431"/>
      <c r="MP431"/>
      <c r="MQ431"/>
      <c r="MR431"/>
      <c r="MS431"/>
      <c r="MT431"/>
      <c r="MU431"/>
      <c r="MV431"/>
      <c r="MW431"/>
      <c r="MX431"/>
      <c r="MY431"/>
      <c r="MZ431"/>
      <c r="NA431"/>
      <c r="NB431"/>
      <c r="NC431"/>
      <c r="ND431"/>
      <c r="NE431"/>
      <c r="NF431"/>
      <c r="NG431"/>
      <c r="NH431"/>
      <c r="NI431"/>
      <c r="NJ431"/>
      <c r="NK431"/>
      <c r="NL431"/>
      <c r="NM431"/>
      <c r="NN431"/>
      <c r="NO431"/>
      <c r="NP431"/>
      <c r="NQ431"/>
      <c r="NR431"/>
      <c r="NS431"/>
      <c r="NT431"/>
      <c r="NU431"/>
      <c r="NV431"/>
      <c r="NW431"/>
      <c r="NX431"/>
      <c r="NY431"/>
      <c r="NZ431"/>
      <c r="OA431"/>
      <c r="OB431"/>
      <c r="OC431"/>
      <c r="OD431"/>
      <c r="OE431"/>
      <c r="OF431"/>
      <c r="OG431"/>
      <c r="OH431"/>
      <c r="OI431"/>
      <c r="OJ431"/>
      <c r="OK431"/>
      <c r="OL431"/>
      <c r="OM431"/>
      <c r="ON431"/>
      <c r="OO431"/>
      <c r="OP431"/>
      <c r="OQ431"/>
      <c r="OR431"/>
      <c r="OS431"/>
      <c r="OT431"/>
      <c r="OU431"/>
      <c r="OV431"/>
      <c r="OW431"/>
      <c r="OX431"/>
      <c r="OY431"/>
      <c r="OZ431"/>
      <c r="PA431"/>
      <c r="PB431"/>
      <c r="PC431"/>
      <c r="PD431"/>
      <c r="PE431"/>
      <c r="PF431"/>
      <c r="PG431"/>
      <c r="PH431"/>
      <c r="PI431"/>
      <c r="PJ431"/>
      <c r="PK431"/>
      <c r="PL431"/>
      <c r="PM431"/>
      <c r="PN431"/>
      <c r="PO431"/>
      <c r="PP431"/>
      <c r="PQ431"/>
      <c r="PR431"/>
      <c r="PS431"/>
      <c r="PT431"/>
      <c r="PU431"/>
      <c r="PV431"/>
      <c r="PW431"/>
      <c r="PX431"/>
      <c r="PY431"/>
      <c r="PZ431"/>
      <c r="QA431"/>
      <c r="QB431"/>
      <c r="QC431"/>
      <c r="QD431"/>
      <c r="QE431"/>
      <c r="QF431"/>
      <c r="QG431"/>
      <c r="QH431"/>
      <c r="QI431"/>
      <c r="QJ431"/>
      <c r="QK431"/>
      <c r="QL431"/>
      <c r="QM431"/>
      <c r="QN431"/>
      <c r="QO431"/>
      <c r="QP431"/>
      <c r="QQ431"/>
      <c r="QR431"/>
      <c r="QS431"/>
      <c r="QT431"/>
      <c r="QU431"/>
      <c r="QV431"/>
      <c r="QW431"/>
      <c r="QX431"/>
      <c r="QY431"/>
      <c r="QZ431"/>
      <c r="RA431"/>
      <c r="RB431"/>
      <c r="RC431"/>
      <c r="RD431"/>
      <c r="RE431"/>
      <c r="RF431"/>
      <c r="RG431"/>
      <c r="RH431"/>
      <c r="RI431"/>
      <c r="RJ431"/>
      <c r="RK431"/>
      <c r="RL431"/>
      <c r="RM431"/>
      <c r="RN431"/>
      <c r="RO431"/>
      <c r="RP431"/>
      <c r="RQ431"/>
      <c r="RR431"/>
      <c r="RS431"/>
      <c r="RT431"/>
      <c r="RU431"/>
      <c r="RV431"/>
      <c r="RW431"/>
      <c r="RX431"/>
      <c r="RY431"/>
      <c r="RZ431"/>
      <c r="SA431"/>
      <c r="SB431"/>
      <c r="SC431"/>
      <c r="SD431"/>
      <c r="SE431"/>
      <c r="SF431"/>
      <c r="SG431"/>
      <c r="SH431"/>
      <c r="SI431"/>
      <c r="SJ431"/>
      <c r="SK431"/>
      <c r="SL431"/>
      <c r="SM431"/>
      <c r="SN431"/>
      <c r="SO431"/>
      <c r="SP431"/>
      <c r="SQ431"/>
      <c r="SR431"/>
      <c r="SS431"/>
      <c r="ST431"/>
      <c r="SU431"/>
      <c r="SV431"/>
      <c r="SW431"/>
      <c r="SX431"/>
      <c r="SY431"/>
      <c r="SZ431"/>
      <c r="TA431"/>
      <c r="TB431"/>
      <c r="TC431"/>
      <c r="TD431"/>
      <c r="TE431"/>
      <c r="TF431"/>
      <c r="TG431"/>
      <c r="TH431"/>
    </row>
    <row r="432" spans="3:528" x14ac:dyDescent="0.25">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c r="KT432"/>
      <c r="KU432"/>
      <c r="KV432"/>
      <c r="KW432"/>
      <c r="KX432"/>
      <c r="KY432"/>
      <c r="KZ432"/>
      <c r="LA432"/>
      <c r="LB432"/>
      <c r="LC432"/>
      <c r="LD432"/>
      <c r="LE432"/>
      <c r="LF432"/>
      <c r="LG432"/>
      <c r="LH432"/>
      <c r="LI432"/>
      <c r="LJ432"/>
      <c r="LK432"/>
      <c r="LL432"/>
      <c r="LM432"/>
      <c r="LN432"/>
      <c r="LO432"/>
      <c r="LP432"/>
      <c r="LQ432"/>
      <c r="LR432"/>
      <c r="LS432"/>
      <c r="LT432"/>
      <c r="LU432"/>
      <c r="LV432"/>
      <c r="LW432"/>
      <c r="LX432"/>
      <c r="LY432"/>
      <c r="LZ432"/>
      <c r="MA432"/>
      <c r="MB432"/>
      <c r="MC432"/>
      <c r="MD432"/>
      <c r="ME432"/>
      <c r="MF432"/>
      <c r="MG432"/>
      <c r="MH432"/>
      <c r="MI432"/>
      <c r="MJ432"/>
      <c r="MK432"/>
      <c r="ML432"/>
      <c r="MM432"/>
      <c r="MN432"/>
      <c r="MO432"/>
      <c r="MP432"/>
      <c r="MQ432"/>
      <c r="MR432"/>
      <c r="MS432"/>
      <c r="MT432"/>
      <c r="MU432"/>
      <c r="MV432"/>
      <c r="MW432"/>
      <c r="MX432"/>
      <c r="MY432"/>
      <c r="MZ432"/>
      <c r="NA432"/>
      <c r="NB432"/>
      <c r="NC432"/>
      <c r="ND432"/>
      <c r="NE432"/>
      <c r="NF432"/>
      <c r="NG432"/>
      <c r="NH432"/>
      <c r="NI432"/>
      <c r="NJ432"/>
      <c r="NK432"/>
      <c r="NL432"/>
      <c r="NM432"/>
      <c r="NN432"/>
      <c r="NO432"/>
      <c r="NP432"/>
      <c r="NQ432"/>
      <c r="NR432"/>
      <c r="NS432"/>
      <c r="NT432"/>
      <c r="NU432"/>
      <c r="NV432"/>
      <c r="NW432"/>
      <c r="NX432"/>
      <c r="NY432"/>
      <c r="NZ432"/>
      <c r="OA432"/>
      <c r="OB432"/>
      <c r="OC432"/>
      <c r="OD432"/>
      <c r="OE432"/>
      <c r="OF432"/>
      <c r="OG432"/>
      <c r="OH432"/>
      <c r="OI432"/>
      <c r="OJ432"/>
      <c r="OK432"/>
      <c r="OL432"/>
      <c r="OM432"/>
      <c r="ON432"/>
      <c r="OO432"/>
      <c r="OP432"/>
      <c r="OQ432"/>
      <c r="OR432"/>
      <c r="OS432"/>
      <c r="OT432"/>
      <c r="OU432"/>
      <c r="OV432"/>
      <c r="OW432"/>
      <c r="OX432"/>
      <c r="OY432"/>
      <c r="OZ432"/>
      <c r="PA432"/>
      <c r="PB432"/>
      <c r="PC432"/>
      <c r="PD432"/>
      <c r="PE432"/>
      <c r="PF432"/>
      <c r="PG432"/>
      <c r="PH432"/>
      <c r="PI432"/>
      <c r="PJ432"/>
      <c r="PK432"/>
      <c r="PL432"/>
      <c r="PM432"/>
      <c r="PN432"/>
      <c r="PO432"/>
      <c r="PP432"/>
      <c r="PQ432"/>
      <c r="PR432"/>
      <c r="PS432"/>
      <c r="PT432"/>
      <c r="PU432"/>
      <c r="PV432"/>
      <c r="PW432"/>
      <c r="PX432"/>
      <c r="PY432"/>
      <c r="PZ432"/>
      <c r="QA432"/>
      <c r="QB432"/>
      <c r="QC432"/>
      <c r="QD432"/>
      <c r="QE432"/>
      <c r="QF432"/>
      <c r="QG432"/>
      <c r="QH432"/>
      <c r="QI432"/>
      <c r="QJ432"/>
      <c r="QK432"/>
      <c r="QL432"/>
      <c r="QM432"/>
      <c r="QN432"/>
      <c r="QO432"/>
      <c r="QP432"/>
      <c r="QQ432"/>
      <c r="QR432"/>
      <c r="QS432"/>
      <c r="QT432"/>
      <c r="QU432"/>
      <c r="QV432"/>
      <c r="QW432"/>
      <c r="QX432"/>
      <c r="QY432"/>
      <c r="QZ432"/>
      <c r="RA432"/>
      <c r="RB432"/>
      <c r="RC432"/>
      <c r="RD432"/>
      <c r="RE432"/>
      <c r="RF432"/>
      <c r="RG432"/>
      <c r="RH432"/>
      <c r="RI432"/>
      <c r="RJ432"/>
      <c r="RK432"/>
      <c r="RL432"/>
      <c r="RM432"/>
      <c r="RN432"/>
      <c r="RO432"/>
      <c r="RP432"/>
      <c r="RQ432"/>
      <c r="RR432"/>
      <c r="RS432"/>
      <c r="RT432"/>
      <c r="RU432"/>
      <c r="RV432"/>
      <c r="RW432"/>
      <c r="RX432"/>
      <c r="RY432"/>
      <c r="RZ432"/>
      <c r="SA432"/>
      <c r="SB432"/>
      <c r="SC432"/>
      <c r="SD432"/>
      <c r="SE432"/>
      <c r="SF432"/>
      <c r="SG432"/>
      <c r="SH432"/>
      <c r="SI432"/>
      <c r="SJ432"/>
      <c r="SK432"/>
      <c r="SL432"/>
      <c r="SM432"/>
      <c r="SN432"/>
      <c r="SO432"/>
      <c r="SP432"/>
      <c r="SQ432"/>
      <c r="SR432"/>
      <c r="SS432"/>
      <c r="ST432"/>
      <c r="SU432"/>
      <c r="SV432"/>
      <c r="SW432"/>
      <c r="SX432"/>
      <c r="SY432"/>
      <c r="SZ432"/>
      <c r="TA432"/>
      <c r="TB432"/>
      <c r="TC432"/>
      <c r="TD432"/>
      <c r="TE432"/>
      <c r="TF432"/>
      <c r="TG432"/>
      <c r="TH432"/>
    </row>
    <row r="433" spans="3:528" x14ac:dyDescent="0.25">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c r="KT433"/>
      <c r="KU433"/>
      <c r="KV433"/>
      <c r="KW433"/>
      <c r="KX433"/>
      <c r="KY433"/>
      <c r="KZ433"/>
      <c r="LA433"/>
      <c r="LB433"/>
      <c r="LC433"/>
      <c r="LD433"/>
      <c r="LE433"/>
      <c r="LF433"/>
      <c r="LG433"/>
      <c r="LH433"/>
      <c r="LI433"/>
      <c r="LJ433"/>
      <c r="LK433"/>
      <c r="LL433"/>
      <c r="LM433"/>
      <c r="LN433"/>
      <c r="LO433"/>
      <c r="LP433"/>
      <c r="LQ433"/>
      <c r="LR433"/>
      <c r="LS433"/>
      <c r="LT433"/>
      <c r="LU433"/>
      <c r="LV433"/>
      <c r="LW433"/>
      <c r="LX433"/>
      <c r="LY433"/>
      <c r="LZ433"/>
      <c r="MA433"/>
      <c r="MB433"/>
      <c r="MC433"/>
      <c r="MD433"/>
      <c r="ME433"/>
      <c r="MF433"/>
      <c r="MG433"/>
      <c r="MH433"/>
      <c r="MI433"/>
      <c r="MJ433"/>
      <c r="MK433"/>
      <c r="ML433"/>
      <c r="MM433"/>
      <c r="MN433"/>
      <c r="MO433"/>
      <c r="MP433"/>
      <c r="MQ433"/>
      <c r="MR433"/>
      <c r="MS433"/>
      <c r="MT433"/>
      <c r="MU433"/>
      <c r="MV433"/>
      <c r="MW433"/>
      <c r="MX433"/>
      <c r="MY433"/>
      <c r="MZ433"/>
      <c r="NA433"/>
      <c r="NB433"/>
      <c r="NC433"/>
      <c r="ND433"/>
      <c r="NE433"/>
      <c r="NF433"/>
      <c r="NG433"/>
      <c r="NH433"/>
      <c r="NI433"/>
      <c r="NJ433"/>
      <c r="NK433"/>
      <c r="NL433"/>
      <c r="NM433"/>
      <c r="NN433"/>
      <c r="NO433"/>
      <c r="NP433"/>
      <c r="NQ433"/>
      <c r="NR433"/>
      <c r="NS433"/>
      <c r="NT433"/>
      <c r="NU433"/>
      <c r="NV433"/>
      <c r="NW433"/>
      <c r="NX433"/>
      <c r="NY433"/>
      <c r="NZ433"/>
      <c r="OA433"/>
      <c r="OB433"/>
      <c r="OC433"/>
      <c r="OD433"/>
      <c r="OE433"/>
      <c r="OF433"/>
      <c r="OG433"/>
      <c r="OH433"/>
      <c r="OI433"/>
      <c r="OJ433"/>
      <c r="OK433"/>
      <c r="OL433"/>
      <c r="OM433"/>
      <c r="ON433"/>
      <c r="OO433"/>
      <c r="OP433"/>
      <c r="OQ433"/>
      <c r="OR433"/>
      <c r="OS433"/>
      <c r="OT433"/>
      <c r="OU433"/>
      <c r="OV433"/>
      <c r="OW433"/>
      <c r="OX433"/>
      <c r="OY433"/>
      <c r="OZ433"/>
      <c r="PA433"/>
      <c r="PB433"/>
      <c r="PC433"/>
      <c r="PD433"/>
      <c r="PE433"/>
      <c r="PF433"/>
      <c r="PG433"/>
      <c r="PH433"/>
      <c r="PI433"/>
      <c r="PJ433"/>
      <c r="PK433"/>
      <c r="PL433"/>
      <c r="PM433"/>
      <c r="PN433"/>
      <c r="PO433"/>
      <c r="PP433"/>
      <c r="PQ433"/>
      <c r="PR433"/>
      <c r="PS433"/>
      <c r="PT433"/>
      <c r="PU433"/>
      <c r="PV433"/>
      <c r="PW433"/>
      <c r="PX433"/>
      <c r="PY433"/>
      <c r="PZ433"/>
      <c r="QA433"/>
      <c r="QB433"/>
      <c r="QC433"/>
      <c r="QD433"/>
      <c r="QE433"/>
      <c r="QF433"/>
      <c r="QG433"/>
      <c r="QH433"/>
      <c r="QI433"/>
      <c r="QJ433"/>
      <c r="QK433"/>
      <c r="QL433"/>
      <c r="QM433"/>
      <c r="QN433"/>
      <c r="QO433"/>
      <c r="QP433"/>
      <c r="QQ433"/>
      <c r="QR433"/>
      <c r="QS433"/>
      <c r="QT433"/>
      <c r="QU433"/>
      <c r="QV433"/>
      <c r="QW433"/>
      <c r="QX433"/>
      <c r="QY433"/>
      <c r="QZ433"/>
      <c r="RA433"/>
      <c r="RB433"/>
      <c r="RC433"/>
      <c r="RD433"/>
      <c r="RE433"/>
      <c r="RF433"/>
      <c r="RG433"/>
      <c r="RH433"/>
      <c r="RI433"/>
      <c r="RJ433"/>
      <c r="RK433"/>
      <c r="RL433"/>
      <c r="RM433"/>
      <c r="RN433"/>
      <c r="RO433"/>
      <c r="RP433"/>
      <c r="RQ433"/>
      <c r="RR433"/>
      <c r="RS433"/>
      <c r="RT433"/>
      <c r="RU433"/>
      <c r="RV433"/>
      <c r="RW433"/>
      <c r="RX433"/>
      <c r="RY433"/>
      <c r="RZ433"/>
      <c r="SA433"/>
      <c r="SB433"/>
      <c r="SC433"/>
      <c r="SD433"/>
      <c r="SE433"/>
      <c r="SF433"/>
      <c r="SG433"/>
      <c r="SH433"/>
      <c r="SI433"/>
      <c r="SJ433"/>
      <c r="SK433"/>
      <c r="SL433"/>
      <c r="SM433"/>
      <c r="SN433"/>
      <c r="SO433"/>
      <c r="SP433"/>
      <c r="SQ433"/>
      <c r="SR433"/>
      <c r="SS433"/>
      <c r="ST433"/>
      <c r="SU433"/>
      <c r="SV433"/>
      <c r="SW433"/>
      <c r="SX433"/>
      <c r="SY433"/>
      <c r="SZ433"/>
      <c r="TA433"/>
      <c r="TB433"/>
      <c r="TC433"/>
      <c r="TD433"/>
      <c r="TE433"/>
      <c r="TF433"/>
      <c r="TG433"/>
      <c r="TH433"/>
    </row>
    <row r="434" spans="3:528" x14ac:dyDescent="0.25">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c r="KT434"/>
      <c r="KU434"/>
      <c r="KV434"/>
      <c r="KW434"/>
      <c r="KX434"/>
      <c r="KY434"/>
      <c r="KZ434"/>
      <c r="LA434"/>
      <c r="LB434"/>
      <c r="LC434"/>
      <c r="LD434"/>
      <c r="LE434"/>
      <c r="LF434"/>
      <c r="LG434"/>
      <c r="LH434"/>
      <c r="LI434"/>
      <c r="LJ434"/>
      <c r="LK434"/>
      <c r="LL434"/>
      <c r="LM434"/>
      <c r="LN434"/>
      <c r="LO434"/>
      <c r="LP434"/>
      <c r="LQ434"/>
      <c r="LR434"/>
      <c r="LS434"/>
      <c r="LT434"/>
      <c r="LU434"/>
      <c r="LV434"/>
      <c r="LW434"/>
      <c r="LX434"/>
      <c r="LY434"/>
      <c r="LZ434"/>
      <c r="MA434"/>
      <c r="MB434"/>
      <c r="MC434"/>
      <c r="MD434"/>
      <c r="ME434"/>
      <c r="MF434"/>
      <c r="MG434"/>
      <c r="MH434"/>
      <c r="MI434"/>
      <c r="MJ434"/>
      <c r="MK434"/>
      <c r="ML434"/>
      <c r="MM434"/>
      <c r="MN434"/>
      <c r="MO434"/>
      <c r="MP434"/>
      <c r="MQ434"/>
      <c r="MR434"/>
      <c r="MS434"/>
      <c r="MT434"/>
      <c r="MU434"/>
      <c r="MV434"/>
      <c r="MW434"/>
      <c r="MX434"/>
      <c r="MY434"/>
      <c r="MZ434"/>
      <c r="NA434"/>
      <c r="NB434"/>
      <c r="NC434"/>
      <c r="ND434"/>
      <c r="NE434"/>
      <c r="NF434"/>
      <c r="NG434"/>
      <c r="NH434"/>
      <c r="NI434"/>
      <c r="NJ434"/>
      <c r="NK434"/>
      <c r="NL434"/>
      <c r="NM434"/>
      <c r="NN434"/>
      <c r="NO434"/>
      <c r="NP434"/>
      <c r="NQ434"/>
      <c r="NR434"/>
      <c r="NS434"/>
      <c r="NT434"/>
      <c r="NU434"/>
      <c r="NV434"/>
      <c r="NW434"/>
      <c r="NX434"/>
      <c r="NY434"/>
      <c r="NZ434"/>
      <c r="OA434"/>
      <c r="OB434"/>
      <c r="OC434"/>
      <c r="OD434"/>
      <c r="OE434"/>
      <c r="OF434"/>
      <c r="OG434"/>
      <c r="OH434"/>
      <c r="OI434"/>
      <c r="OJ434"/>
      <c r="OK434"/>
      <c r="OL434"/>
      <c r="OM434"/>
      <c r="ON434"/>
      <c r="OO434"/>
      <c r="OP434"/>
      <c r="OQ434"/>
      <c r="OR434"/>
      <c r="OS434"/>
      <c r="OT434"/>
      <c r="OU434"/>
      <c r="OV434"/>
      <c r="OW434"/>
      <c r="OX434"/>
      <c r="OY434"/>
      <c r="OZ434"/>
      <c r="PA434"/>
      <c r="PB434"/>
      <c r="PC434"/>
      <c r="PD434"/>
      <c r="PE434"/>
      <c r="PF434"/>
      <c r="PG434"/>
      <c r="PH434"/>
      <c r="PI434"/>
      <c r="PJ434"/>
      <c r="PK434"/>
      <c r="PL434"/>
      <c r="PM434"/>
      <c r="PN434"/>
      <c r="PO434"/>
      <c r="PP434"/>
      <c r="PQ434"/>
      <c r="PR434"/>
      <c r="PS434"/>
      <c r="PT434"/>
      <c r="PU434"/>
      <c r="PV434"/>
      <c r="PW434"/>
      <c r="PX434"/>
      <c r="PY434"/>
      <c r="PZ434"/>
      <c r="QA434"/>
      <c r="QB434"/>
      <c r="QC434"/>
      <c r="QD434"/>
      <c r="QE434"/>
      <c r="QF434"/>
      <c r="QG434"/>
      <c r="QH434"/>
      <c r="QI434"/>
      <c r="QJ434"/>
      <c r="QK434"/>
      <c r="QL434"/>
      <c r="QM434"/>
      <c r="QN434"/>
      <c r="QO434"/>
      <c r="QP434"/>
      <c r="QQ434"/>
      <c r="QR434"/>
      <c r="QS434"/>
      <c r="QT434"/>
      <c r="QU434"/>
      <c r="QV434"/>
      <c r="QW434"/>
      <c r="QX434"/>
      <c r="QY434"/>
      <c r="QZ434"/>
      <c r="RA434"/>
      <c r="RB434"/>
      <c r="RC434"/>
      <c r="RD434"/>
      <c r="RE434"/>
      <c r="RF434"/>
      <c r="RG434"/>
      <c r="RH434"/>
      <c r="RI434"/>
      <c r="RJ434"/>
      <c r="RK434"/>
      <c r="RL434"/>
      <c r="RM434"/>
      <c r="RN434"/>
      <c r="RO434"/>
      <c r="RP434"/>
      <c r="RQ434"/>
      <c r="RR434"/>
      <c r="RS434"/>
      <c r="RT434"/>
      <c r="RU434"/>
      <c r="RV434"/>
      <c r="RW434"/>
      <c r="RX434"/>
      <c r="RY434"/>
      <c r="RZ434"/>
      <c r="SA434"/>
      <c r="SB434"/>
      <c r="SC434"/>
      <c r="SD434"/>
      <c r="SE434"/>
      <c r="SF434"/>
      <c r="SG434"/>
      <c r="SH434"/>
      <c r="SI434"/>
      <c r="SJ434"/>
      <c r="SK434"/>
      <c r="SL434"/>
      <c r="SM434"/>
      <c r="SN434"/>
      <c r="SO434"/>
      <c r="SP434"/>
      <c r="SQ434"/>
      <c r="SR434"/>
      <c r="SS434"/>
      <c r="ST434"/>
      <c r="SU434"/>
      <c r="SV434"/>
      <c r="SW434"/>
      <c r="SX434"/>
      <c r="SY434"/>
      <c r="SZ434"/>
      <c r="TA434"/>
      <c r="TB434"/>
      <c r="TC434"/>
      <c r="TD434"/>
      <c r="TE434"/>
      <c r="TF434"/>
      <c r="TG434"/>
      <c r="TH434"/>
    </row>
    <row r="435" spans="3:528" x14ac:dyDescent="0.2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c r="KT435"/>
      <c r="KU435"/>
      <c r="KV435"/>
      <c r="KW435"/>
      <c r="KX435"/>
      <c r="KY435"/>
      <c r="KZ435"/>
      <c r="LA435"/>
      <c r="LB435"/>
      <c r="LC435"/>
      <c r="LD435"/>
      <c r="LE435"/>
      <c r="LF435"/>
      <c r="LG435"/>
      <c r="LH435"/>
      <c r="LI435"/>
      <c r="LJ435"/>
      <c r="LK435"/>
      <c r="LL435"/>
      <c r="LM435"/>
      <c r="LN435"/>
      <c r="LO435"/>
      <c r="LP435"/>
      <c r="LQ435"/>
      <c r="LR435"/>
      <c r="LS435"/>
      <c r="LT435"/>
      <c r="LU435"/>
      <c r="LV435"/>
      <c r="LW435"/>
      <c r="LX435"/>
      <c r="LY435"/>
      <c r="LZ435"/>
      <c r="MA435"/>
      <c r="MB435"/>
      <c r="MC435"/>
      <c r="MD435"/>
      <c r="ME435"/>
      <c r="MF435"/>
      <c r="MG435"/>
      <c r="MH435"/>
      <c r="MI435"/>
      <c r="MJ435"/>
      <c r="MK435"/>
      <c r="ML435"/>
      <c r="MM435"/>
      <c r="MN435"/>
      <c r="MO435"/>
      <c r="MP435"/>
      <c r="MQ435"/>
      <c r="MR435"/>
      <c r="MS435"/>
      <c r="MT435"/>
      <c r="MU435"/>
      <c r="MV435"/>
      <c r="MW435"/>
      <c r="MX435"/>
      <c r="MY435"/>
      <c r="MZ435"/>
      <c r="NA435"/>
      <c r="NB435"/>
      <c r="NC435"/>
      <c r="ND435"/>
      <c r="NE435"/>
      <c r="NF435"/>
      <c r="NG435"/>
      <c r="NH435"/>
      <c r="NI435"/>
      <c r="NJ435"/>
      <c r="NK435"/>
      <c r="NL435"/>
      <c r="NM435"/>
      <c r="NN435"/>
      <c r="NO435"/>
      <c r="NP435"/>
      <c r="NQ435"/>
      <c r="NR435"/>
      <c r="NS435"/>
      <c r="NT435"/>
      <c r="NU435"/>
      <c r="NV435"/>
      <c r="NW435"/>
      <c r="NX435"/>
      <c r="NY435"/>
      <c r="NZ435"/>
      <c r="OA435"/>
      <c r="OB435"/>
      <c r="OC435"/>
      <c r="OD435"/>
      <c r="OE435"/>
      <c r="OF435"/>
      <c r="OG435"/>
      <c r="OH435"/>
      <c r="OI435"/>
      <c r="OJ435"/>
      <c r="OK435"/>
      <c r="OL435"/>
      <c r="OM435"/>
      <c r="ON435"/>
      <c r="OO435"/>
      <c r="OP435"/>
      <c r="OQ435"/>
      <c r="OR435"/>
      <c r="OS435"/>
      <c r="OT435"/>
      <c r="OU435"/>
      <c r="OV435"/>
      <c r="OW435"/>
      <c r="OX435"/>
      <c r="OY435"/>
      <c r="OZ435"/>
      <c r="PA435"/>
      <c r="PB435"/>
      <c r="PC435"/>
      <c r="PD435"/>
      <c r="PE435"/>
      <c r="PF435"/>
      <c r="PG435"/>
      <c r="PH435"/>
      <c r="PI435"/>
      <c r="PJ435"/>
      <c r="PK435"/>
      <c r="PL435"/>
      <c r="PM435"/>
      <c r="PN435"/>
      <c r="PO435"/>
      <c r="PP435"/>
      <c r="PQ435"/>
      <c r="PR435"/>
      <c r="PS435"/>
      <c r="PT435"/>
      <c r="PU435"/>
      <c r="PV435"/>
      <c r="PW435"/>
      <c r="PX435"/>
      <c r="PY435"/>
      <c r="PZ435"/>
      <c r="QA435"/>
      <c r="QB435"/>
      <c r="QC435"/>
      <c r="QD435"/>
      <c r="QE435"/>
      <c r="QF435"/>
      <c r="QG435"/>
      <c r="QH435"/>
      <c r="QI435"/>
      <c r="QJ435"/>
      <c r="QK435"/>
      <c r="QL435"/>
      <c r="QM435"/>
      <c r="QN435"/>
      <c r="QO435"/>
      <c r="QP435"/>
      <c r="QQ435"/>
      <c r="QR435"/>
      <c r="QS435"/>
      <c r="QT435"/>
      <c r="QU435"/>
      <c r="QV435"/>
      <c r="QW435"/>
      <c r="QX435"/>
      <c r="QY435"/>
      <c r="QZ435"/>
      <c r="RA435"/>
      <c r="RB435"/>
      <c r="RC435"/>
      <c r="RD435"/>
      <c r="RE435"/>
      <c r="RF435"/>
      <c r="RG435"/>
      <c r="RH435"/>
      <c r="RI435"/>
      <c r="RJ435"/>
      <c r="RK435"/>
      <c r="RL435"/>
      <c r="RM435"/>
      <c r="RN435"/>
      <c r="RO435"/>
      <c r="RP435"/>
      <c r="RQ435"/>
      <c r="RR435"/>
      <c r="RS435"/>
      <c r="RT435"/>
      <c r="RU435"/>
      <c r="RV435"/>
      <c r="RW435"/>
      <c r="RX435"/>
      <c r="RY435"/>
      <c r="RZ435"/>
      <c r="SA435"/>
      <c r="SB435"/>
      <c r="SC435"/>
      <c r="SD435"/>
      <c r="SE435"/>
      <c r="SF435"/>
      <c r="SG435"/>
      <c r="SH435"/>
      <c r="SI435"/>
      <c r="SJ435"/>
      <c r="SK435"/>
      <c r="SL435"/>
      <c r="SM435"/>
      <c r="SN435"/>
      <c r="SO435"/>
      <c r="SP435"/>
      <c r="SQ435"/>
      <c r="SR435"/>
      <c r="SS435"/>
      <c r="ST435"/>
      <c r="SU435"/>
      <c r="SV435"/>
      <c r="SW435"/>
      <c r="SX435"/>
      <c r="SY435"/>
      <c r="SZ435"/>
      <c r="TA435"/>
      <c r="TB435"/>
      <c r="TC435"/>
      <c r="TD435"/>
      <c r="TE435"/>
      <c r="TF435"/>
      <c r="TG435"/>
      <c r="TH435"/>
    </row>
    <row r="436" spans="3:528" x14ac:dyDescent="0.25">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c r="KT436"/>
      <c r="KU436"/>
      <c r="KV436"/>
      <c r="KW436"/>
      <c r="KX436"/>
      <c r="KY436"/>
      <c r="KZ436"/>
      <c r="LA436"/>
      <c r="LB436"/>
      <c r="LC436"/>
      <c r="LD436"/>
      <c r="LE436"/>
      <c r="LF436"/>
      <c r="LG436"/>
      <c r="LH436"/>
      <c r="LI436"/>
      <c r="LJ436"/>
      <c r="LK436"/>
      <c r="LL436"/>
      <c r="LM436"/>
      <c r="LN436"/>
      <c r="LO436"/>
      <c r="LP436"/>
      <c r="LQ436"/>
      <c r="LR436"/>
      <c r="LS436"/>
      <c r="LT436"/>
      <c r="LU436"/>
      <c r="LV436"/>
      <c r="LW436"/>
      <c r="LX436"/>
      <c r="LY436"/>
      <c r="LZ436"/>
      <c r="MA436"/>
      <c r="MB436"/>
      <c r="MC436"/>
      <c r="MD436"/>
      <c r="ME436"/>
      <c r="MF436"/>
      <c r="MG436"/>
      <c r="MH436"/>
      <c r="MI436"/>
      <c r="MJ436"/>
      <c r="MK436"/>
      <c r="ML436"/>
      <c r="MM436"/>
      <c r="MN436"/>
      <c r="MO436"/>
      <c r="MP436"/>
      <c r="MQ436"/>
      <c r="MR436"/>
      <c r="MS436"/>
      <c r="MT436"/>
      <c r="MU436"/>
      <c r="MV436"/>
      <c r="MW436"/>
      <c r="MX436"/>
      <c r="MY436"/>
      <c r="MZ436"/>
      <c r="NA436"/>
      <c r="NB436"/>
      <c r="NC436"/>
      <c r="ND436"/>
      <c r="NE436"/>
      <c r="NF436"/>
      <c r="NG436"/>
      <c r="NH436"/>
      <c r="NI436"/>
      <c r="NJ436"/>
      <c r="NK436"/>
      <c r="NL436"/>
      <c r="NM436"/>
      <c r="NN436"/>
      <c r="NO436"/>
      <c r="NP436"/>
      <c r="NQ436"/>
      <c r="NR436"/>
      <c r="NS436"/>
      <c r="NT436"/>
      <c r="NU436"/>
      <c r="NV436"/>
      <c r="NW436"/>
      <c r="NX436"/>
      <c r="NY436"/>
      <c r="NZ436"/>
      <c r="OA436"/>
      <c r="OB436"/>
      <c r="OC436"/>
      <c r="OD436"/>
      <c r="OE436"/>
      <c r="OF436"/>
      <c r="OG436"/>
      <c r="OH436"/>
      <c r="OI436"/>
      <c r="OJ436"/>
      <c r="OK436"/>
      <c r="OL436"/>
      <c r="OM436"/>
      <c r="ON436"/>
      <c r="OO436"/>
      <c r="OP436"/>
      <c r="OQ436"/>
      <c r="OR436"/>
      <c r="OS436"/>
      <c r="OT436"/>
      <c r="OU436"/>
      <c r="OV436"/>
      <c r="OW436"/>
      <c r="OX436"/>
      <c r="OY436"/>
      <c r="OZ436"/>
      <c r="PA436"/>
      <c r="PB436"/>
      <c r="PC436"/>
      <c r="PD436"/>
      <c r="PE436"/>
      <c r="PF436"/>
      <c r="PG436"/>
      <c r="PH436"/>
      <c r="PI436"/>
      <c r="PJ436"/>
      <c r="PK436"/>
      <c r="PL436"/>
      <c r="PM436"/>
      <c r="PN436"/>
      <c r="PO436"/>
      <c r="PP436"/>
      <c r="PQ436"/>
      <c r="PR436"/>
      <c r="PS436"/>
      <c r="PT436"/>
      <c r="PU436"/>
      <c r="PV436"/>
      <c r="PW436"/>
      <c r="PX436"/>
      <c r="PY436"/>
      <c r="PZ436"/>
      <c r="QA436"/>
      <c r="QB436"/>
      <c r="QC436"/>
      <c r="QD436"/>
      <c r="QE436"/>
      <c r="QF436"/>
      <c r="QG436"/>
      <c r="QH436"/>
      <c r="QI436"/>
      <c r="QJ436"/>
      <c r="QK436"/>
      <c r="QL436"/>
      <c r="QM436"/>
      <c r="QN436"/>
      <c r="QO436"/>
      <c r="QP436"/>
      <c r="QQ436"/>
      <c r="QR436"/>
      <c r="QS436"/>
      <c r="QT436"/>
      <c r="QU436"/>
      <c r="QV436"/>
      <c r="QW436"/>
      <c r="QX436"/>
      <c r="QY436"/>
      <c r="QZ436"/>
      <c r="RA436"/>
      <c r="RB436"/>
      <c r="RC436"/>
      <c r="RD436"/>
      <c r="RE436"/>
      <c r="RF436"/>
      <c r="RG436"/>
      <c r="RH436"/>
      <c r="RI436"/>
      <c r="RJ436"/>
      <c r="RK436"/>
      <c r="RL436"/>
      <c r="RM436"/>
      <c r="RN436"/>
      <c r="RO436"/>
      <c r="RP436"/>
      <c r="RQ436"/>
      <c r="RR436"/>
      <c r="RS436"/>
      <c r="RT436"/>
      <c r="RU436"/>
      <c r="RV436"/>
      <c r="RW436"/>
      <c r="RX436"/>
      <c r="RY436"/>
      <c r="RZ436"/>
      <c r="SA436"/>
      <c r="SB436"/>
      <c r="SC436"/>
      <c r="SD436"/>
      <c r="SE436"/>
      <c r="SF436"/>
      <c r="SG436"/>
      <c r="SH436"/>
      <c r="SI436"/>
      <c r="SJ436"/>
      <c r="SK436"/>
      <c r="SL436"/>
      <c r="SM436"/>
      <c r="SN436"/>
      <c r="SO436"/>
      <c r="SP436"/>
      <c r="SQ436"/>
      <c r="SR436"/>
      <c r="SS436"/>
      <c r="ST436"/>
      <c r="SU436"/>
      <c r="SV436"/>
      <c r="SW436"/>
      <c r="SX436"/>
      <c r="SY436"/>
      <c r="SZ436"/>
      <c r="TA436"/>
      <c r="TB436"/>
      <c r="TC436"/>
      <c r="TD436"/>
      <c r="TE436"/>
      <c r="TF436"/>
      <c r="TG436"/>
      <c r="TH436"/>
    </row>
    <row r="437" spans="3:528" x14ac:dyDescent="0.25">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c r="KT437"/>
      <c r="KU437"/>
      <c r="KV437"/>
      <c r="KW437"/>
      <c r="KX437"/>
      <c r="KY437"/>
      <c r="KZ437"/>
      <c r="LA437"/>
      <c r="LB437"/>
      <c r="LC437"/>
      <c r="LD437"/>
      <c r="LE437"/>
      <c r="LF437"/>
      <c r="LG437"/>
      <c r="LH437"/>
      <c r="LI437"/>
      <c r="LJ437"/>
      <c r="LK437"/>
      <c r="LL437"/>
      <c r="LM437"/>
      <c r="LN437"/>
      <c r="LO437"/>
      <c r="LP437"/>
      <c r="LQ437"/>
      <c r="LR437"/>
      <c r="LS437"/>
      <c r="LT437"/>
      <c r="LU437"/>
      <c r="LV437"/>
      <c r="LW437"/>
      <c r="LX437"/>
      <c r="LY437"/>
      <c r="LZ437"/>
      <c r="MA437"/>
      <c r="MB437"/>
      <c r="MC437"/>
      <c r="MD437"/>
      <c r="ME437"/>
      <c r="MF437"/>
      <c r="MG437"/>
      <c r="MH437"/>
      <c r="MI437"/>
      <c r="MJ437"/>
      <c r="MK437"/>
      <c r="ML437"/>
      <c r="MM437"/>
      <c r="MN437"/>
      <c r="MO437"/>
      <c r="MP437"/>
      <c r="MQ437"/>
      <c r="MR437"/>
      <c r="MS437"/>
      <c r="MT437"/>
      <c r="MU437"/>
      <c r="MV437"/>
      <c r="MW437"/>
      <c r="MX437"/>
      <c r="MY437"/>
      <c r="MZ437"/>
      <c r="NA437"/>
      <c r="NB437"/>
      <c r="NC437"/>
      <c r="ND437"/>
      <c r="NE437"/>
      <c r="NF437"/>
      <c r="NG437"/>
      <c r="NH437"/>
      <c r="NI437"/>
      <c r="NJ437"/>
      <c r="NK437"/>
      <c r="NL437"/>
      <c r="NM437"/>
      <c r="NN437"/>
      <c r="NO437"/>
      <c r="NP437"/>
      <c r="NQ437"/>
      <c r="NR437"/>
      <c r="NS437"/>
      <c r="NT437"/>
      <c r="NU437"/>
      <c r="NV437"/>
      <c r="NW437"/>
      <c r="NX437"/>
      <c r="NY437"/>
      <c r="NZ437"/>
      <c r="OA437"/>
      <c r="OB437"/>
      <c r="OC437"/>
      <c r="OD437"/>
      <c r="OE437"/>
      <c r="OF437"/>
      <c r="OG437"/>
      <c r="OH437"/>
      <c r="OI437"/>
      <c r="OJ437"/>
      <c r="OK437"/>
      <c r="OL437"/>
      <c r="OM437"/>
      <c r="ON437"/>
      <c r="OO437"/>
      <c r="OP437"/>
      <c r="OQ437"/>
      <c r="OR437"/>
      <c r="OS437"/>
      <c r="OT437"/>
      <c r="OU437"/>
      <c r="OV437"/>
      <c r="OW437"/>
      <c r="OX437"/>
      <c r="OY437"/>
      <c r="OZ437"/>
      <c r="PA437"/>
      <c r="PB437"/>
      <c r="PC437"/>
      <c r="PD437"/>
      <c r="PE437"/>
      <c r="PF437"/>
      <c r="PG437"/>
      <c r="PH437"/>
      <c r="PI437"/>
      <c r="PJ437"/>
      <c r="PK437"/>
      <c r="PL437"/>
      <c r="PM437"/>
      <c r="PN437"/>
      <c r="PO437"/>
      <c r="PP437"/>
      <c r="PQ437"/>
      <c r="PR437"/>
      <c r="PS437"/>
      <c r="PT437"/>
      <c r="PU437"/>
      <c r="PV437"/>
      <c r="PW437"/>
      <c r="PX437"/>
      <c r="PY437"/>
      <c r="PZ437"/>
      <c r="QA437"/>
      <c r="QB437"/>
      <c r="QC437"/>
      <c r="QD437"/>
      <c r="QE437"/>
      <c r="QF437"/>
      <c r="QG437"/>
      <c r="QH437"/>
      <c r="QI437"/>
      <c r="QJ437"/>
      <c r="QK437"/>
      <c r="QL437"/>
      <c r="QM437"/>
      <c r="QN437"/>
      <c r="QO437"/>
      <c r="QP437"/>
      <c r="QQ437"/>
      <c r="QR437"/>
      <c r="QS437"/>
      <c r="QT437"/>
      <c r="QU437"/>
      <c r="QV437"/>
      <c r="QW437"/>
      <c r="QX437"/>
      <c r="QY437"/>
      <c r="QZ437"/>
      <c r="RA437"/>
      <c r="RB437"/>
      <c r="RC437"/>
      <c r="RD437"/>
      <c r="RE437"/>
      <c r="RF437"/>
      <c r="RG437"/>
      <c r="RH437"/>
      <c r="RI437"/>
      <c r="RJ437"/>
      <c r="RK437"/>
      <c r="RL437"/>
      <c r="RM437"/>
      <c r="RN437"/>
      <c r="RO437"/>
      <c r="RP437"/>
      <c r="RQ437"/>
      <c r="RR437"/>
      <c r="RS437"/>
      <c r="RT437"/>
      <c r="RU437"/>
      <c r="RV437"/>
      <c r="RW437"/>
      <c r="RX437"/>
      <c r="RY437"/>
      <c r="RZ437"/>
      <c r="SA437"/>
      <c r="SB437"/>
      <c r="SC437"/>
      <c r="SD437"/>
      <c r="SE437"/>
      <c r="SF437"/>
      <c r="SG437"/>
      <c r="SH437"/>
      <c r="SI437"/>
      <c r="SJ437"/>
      <c r="SK437"/>
      <c r="SL437"/>
      <c r="SM437"/>
      <c r="SN437"/>
      <c r="SO437"/>
      <c r="SP437"/>
      <c r="SQ437"/>
      <c r="SR437"/>
      <c r="SS437"/>
      <c r="ST437"/>
      <c r="SU437"/>
      <c r="SV437"/>
      <c r="SW437"/>
      <c r="SX437"/>
      <c r="SY437"/>
      <c r="SZ437"/>
      <c r="TA437"/>
      <c r="TB437"/>
      <c r="TC437"/>
      <c r="TD437"/>
      <c r="TE437"/>
      <c r="TF437"/>
      <c r="TG437"/>
      <c r="TH437"/>
    </row>
    <row r="438" spans="3:528" x14ac:dyDescent="0.25">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c r="KT438"/>
      <c r="KU438"/>
      <c r="KV438"/>
      <c r="KW438"/>
      <c r="KX438"/>
      <c r="KY438"/>
      <c r="KZ438"/>
      <c r="LA438"/>
      <c r="LB438"/>
      <c r="LC438"/>
      <c r="LD438"/>
      <c r="LE438"/>
      <c r="LF438"/>
      <c r="LG438"/>
      <c r="LH438"/>
      <c r="LI438"/>
      <c r="LJ438"/>
      <c r="LK438"/>
      <c r="LL438"/>
      <c r="LM438"/>
      <c r="LN438"/>
      <c r="LO438"/>
      <c r="LP438"/>
      <c r="LQ438"/>
      <c r="LR438"/>
      <c r="LS438"/>
      <c r="LT438"/>
      <c r="LU438"/>
      <c r="LV438"/>
      <c r="LW438"/>
      <c r="LX438"/>
      <c r="LY438"/>
      <c r="LZ438"/>
      <c r="MA438"/>
      <c r="MB438"/>
      <c r="MC438"/>
      <c r="MD438"/>
      <c r="ME438"/>
      <c r="MF438"/>
      <c r="MG438"/>
      <c r="MH438"/>
      <c r="MI438"/>
      <c r="MJ438"/>
      <c r="MK438"/>
      <c r="ML438"/>
      <c r="MM438"/>
      <c r="MN438"/>
      <c r="MO438"/>
      <c r="MP438"/>
      <c r="MQ438"/>
      <c r="MR438"/>
      <c r="MS438"/>
      <c r="MT438"/>
      <c r="MU438"/>
      <c r="MV438"/>
      <c r="MW438"/>
      <c r="MX438"/>
      <c r="MY438"/>
      <c r="MZ438"/>
      <c r="NA438"/>
      <c r="NB438"/>
      <c r="NC438"/>
      <c r="ND438"/>
      <c r="NE438"/>
      <c r="NF438"/>
      <c r="NG438"/>
      <c r="NH438"/>
      <c r="NI438"/>
      <c r="NJ438"/>
      <c r="NK438"/>
      <c r="NL438"/>
      <c r="NM438"/>
      <c r="NN438"/>
      <c r="NO438"/>
      <c r="NP438"/>
      <c r="NQ438"/>
      <c r="NR438"/>
      <c r="NS438"/>
      <c r="NT438"/>
      <c r="NU438"/>
      <c r="NV438"/>
      <c r="NW438"/>
      <c r="NX438"/>
      <c r="NY438"/>
      <c r="NZ438"/>
      <c r="OA438"/>
      <c r="OB438"/>
      <c r="OC438"/>
      <c r="OD438"/>
      <c r="OE438"/>
      <c r="OF438"/>
      <c r="OG438"/>
      <c r="OH438"/>
      <c r="OI438"/>
      <c r="OJ438"/>
      <c r="OK438"/>
      <c r="OL438"/>
      <c r="OM438"/>
      <c r="ON438"/>
      <c r="OO438"/>
      <c r="OP438"/>
      <c r="OQ438"/>
      <c r="OR438"/>
      <c r="OS438"/>
      <c r="OT438"/>
      <c r="OU438"/>
      <c r="OV438"/>
      <c r="OW438"/>
      <c r="OX438"/>
      <c r="OY438"/>
      <c r="OZ438"/>
      <c r="PA438"/>
      <c r="PB438"/>
      <c r="PC438"/>
      <c r="PD438"/>
      <c r="PE438"/>
      <c r="PF438"/>
      <c r="PG438"/>
      <c r="PH438"/>
      <c r="PI438"/>
      <c r="PJ438"/>
      <c r="PK438"/>
      <c r="PL438"/>
      <c r="PM438"/>
      <c r="PN438"/>
      <c r="PO438"/>
      <c r="PP438"/>
      <c r="PQ438"/>
      <c r="PR438"/>
      <c r="PS438"/>
      <c r="PT438"/>
      <c r="PU438"/>
      <c r="PV438"/>
      <c r="PW438"/>
      <c r="PX438"/>
      <c r="PY438"/>
      <c r="PZ438"/>
      <c r="QA438"/>
      <c r="QB438"/>
      <c r="QC438"/>
      <c r="QD438"/>
      <c r="QE438"/>
      <c r="QF438"/>
      <c r="QG438"/>
      <c r="QH438"/>
      <c r="QI438"/>
      <c r="QJ438"/>
      <c r="QK438"/>
      <c r="QL438"/>
      <c r="QM438"/>
      <c r="QN438"/>
      <c r="QO438"/>
      <c r="QP438"/>
      <c r="QQ438"/>
      <c r="QR438"/>
      <c r="QS438"/>
      <c r="QT438"/>
      <c r="QU438"/>
      <c r="QV438"/>
      <c r="QW438"/>
      <c r="QX438"/>
      <c r="QY438"/>
      <c r="QZ438"/>
      <c r="RA438"/>
      <c r="RB438"/>
      <c r="RC438"/>
      <c r="RD438"/>
      <c r="RE438"/>
      <c r="RF438"/>
      <c r="RG438"/>
      <c r="RH438"/>
      <c r="RI438"/>
      <c r="RJ438"/>
      <c r="RK438"/>
      <c r="RL438"/>
      <c r="RM438"/>
      <c r="RN438"/>
      <c r="RO438"/>
      <c r="RP438"/>
      <c r="RQ438"/>
      <c r="RR438"/>
      <c r="RS438"/>
      <c r="RT438"/>
      <c r="RU438"/>
      <c r="RV438"/>
      <c r="RW438"/>
      <c r="RX438"/>
      <c r="RY438"/>
      <c r="RZ438"/>
      <c r="SA438"/>
      <c r="SB438"/>
      <c r="SC438"/>
      <c r="SD438"/>
      <c r="SE438"/>
      <c r="SF438"/>
      <c r="SG438"/>
      <c r="SH438"/>
      <c r="SI438"/>
      <c r="SJ438"/>
      <c r="SK438"/>
      <c r="SL438"/>
      <c r="SM438"/>
      <c r="SN438"/>
      <c r="SO438"/>
      <c r="SP438"/>
      <c r="SQ438"/>
      <c r="SR438"/>
      <c r="SS438"/>
      <c r="ST438"/>
      <c r="SU438"/>
      <c r="SV438"/>
      <c r="SW438"/>
      <c r="SX438"/>
      <c r="SY438"/>
      <c r="SZ438"/>
      <c r="TA438"/>
      <c r="TB438"/>
      <c r="TC438"/>
      <c r="TD438"/>
      <c r="TE438"/>
      <c r="TF438"/>
      <c r="TG438"/>
      <c r="TH438"/>
    </row>
    <row r="439" spans="3:528" x14ac:dyDescent="0.25">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c r="KT439"/>
      <c r="KU439"/>
      <c r="KV439"/>
      <c r="KW439"/>
      <c r="KX439"/>
      <c r="KY439"/>
      <c r="KZ439"/>
      <c r="LA439"/>
      <c r="LB439"/>
      <c r="LC439"/>
      <c r="LD439"/>
      <c r="LE439"/>
      <c r="LF439"/>
      <c r="LG439"/>
      <c r="LH439"/>
      <c r="LI439"/>
      <c r="LJ439"/>
      <c r="LK439"/>
      <c r="LL439"/>
      <c r="LM439"/>
      <c r="LN439"/>
      <c r="LO439"/>
      <c r="LP439"/>
      <c r="LQ439"/>
      <c r="LR439"/>
      <c r="LS439"/>
      <c r="LT439"/>
      <c r="LU439"/>
      <c r="LV439"/>
      <c r="LW439"/>
      <c r="LX439"/>
      <c r="LY439"/>
      <c r="LZ439"/>
      <c r="MA439"/>
      <c r="MB439"/>
      <c r="MC439"/>
      <c r="MD439"/>
      <c r="ME439"/>
      <c r="MF439"/>
      <c r="MG439"/>
      <c r="MH439"/>
      <c r="MI439"/>
      <c r="MJ439"/>
      <c r="MK439"/>
      <c r="ML439"/>
      <c r="MM439"/>
      <c r="MN439"/>
      <c r="MO439"/>
      <c r="MP439"/>
      <c r="MQ439"/>
      <c r="MR439"/>
      <c r="MS439"/>
      <c r="MT439"/>
      <c r="MU439"/>
      <c r="MV439"/>
      <c r="MW439"/>
      <c r="MX439"/>
      <c r="MY439"/>
      <c r="MZ439"/>
      <c r="NA439"/>
      <c r="NB439"/>
      <c r="NC439"/>
      <c r="ND439"/>
      <c r="NE439"/>
      <c r="NF439"/>
      <c r="NG439"/>
      <c r="NH439"/>
      <c r="NI439"/>
      <c r="NJ439"/>
      <c r="NK439"/>
      <c r="NL439"/>
      <c r="NM439"/>
      <c r="NN439"/>
      <c r="NO439"/>
      <c r="NP439"/>
      <c r="NQ439"/>
      <c r="NR439"/>
      <c r="NS439"/>
      <c r="NT439"/>
      <c r="NU439"/>
      <c r="NV439"/>
      <c r="NW439"/>
      <c r="NX439"/>
      <c r="NY439"/>
      <c r="NZ439"/>
      <c r="OA439"/>
      <c r="OB439"/>
      <c r="OC439"/>
      <c r="OD439"/>
      <c r="OE439"/>
      <c r="OF439"/>
      <c r="OG439"/>
      <c r="OH439"/>
      <c r="OI439"/>
      <c r="OJ439"/>
      <c r="OK439"/>
      <c r="OL439"/>
      <c r="OM439"/>
      <c r="ON439"/>
      <c r="OO439"/>
      <c r="OP439"/>
      <c r="OQ439"/>
      <c r="OR439"/>
      <c r="OS439"/>
      <c r="OT439"/>
      <c r="OU439"/>
      <c r="OV439"/>
      <c r="OW439"/>
      <c r="OX439"/>
      <c r="OY439"/>
      <c r="OZ439"/>
      <c r="PA439"/>
      <c r="PB439"/>
      <c r="PC439"/>
      <c r="PD439"/>
      <c r="PE439"/>
      <c r="PF439"/>
      <c r="PG439"/>
      <c r="PH439"/>
      <c r="PI439"/>
      <c r="PJ439"/>
      <c r="PK439"/>
      <c r="PL439"/>
      <c r="PM439"/>
      <c r="PN439"/>
      <c r="PO439"/>
      <c r="PP439"/>
      <c r="PQ439"/>
      <c r="PR439"/>
      <c r="PS439"/>
      <c r="PT439"/>
      <c r="PU439"/>
      <c r="PV439"/>
      <c r="PW439"/>
      <c r="PX439"/>
      <c r="PY439"/>
      <c r="PZ439"/>
      <c r="QA439"/>
      <c r="QB439"/>
      <c r="QC439"/>
      <c r="QD439"/>
      <c r="QE439"/>
      <c r="QF439"/>
      <c r="QG439"/>
      <c r="QH439"/>
      <c r="QI439"/>
      <c r="QJ439"/>
      <c r="QK439"/>
      <c r="QL439"/>
      <c r="QM439"/>
      <c r="QN439"/>
      <c r="QO439"/>
      <c r="QP439"/>
      <c r="QQ439"/>
      <c r="QR439"/>
      <c r="QS439"/>
      <c r="QT439"/>
      <c r="QU439"/>
      <c r="QV439"/>
      <c r="QW439"/>
      <c r="QX439"/>
      <c r="QY439"/>
      <c r="QZ439"/>
      <c r="RA439"/>
      <c r="RB439"/>
      <c r="RC439"/>
      <c r="RD439"/>
      <c r="RE439"/>
      <c r="RF439"/>
      <c r="RG439"/>
      <c r="RH439"/>
      <c r="RI439"/>
      <c r="RJ439"/>
      <c r="RK439"/>
      <c r="RL439"/>
      <c r="RM439"/>
      <c r="RN439"/>
      <c r="RO439"/>
      <c r="RP439"/>
      <c r="RQ439"/>
      <c r="RR439"/>
      <c r="RS439"/>
      <c r="RT439"/>
      <c r="RU439"/>
      <c r="RV439"/>
      <c r="RW439"/>
      <c r="RX439"/>
      <c r="RY439"/>
      <c r="RZ439"/>
      <c r="SA439"/>
      <c r="SB439"/>
      <c r="SC439"/>
      <c r="SD439"/>
      <c r="SE439"/>
      <c r="SF439"/>
      <c r="SG439"/>
      <c r="SH439"/>
      <c r="SI439"/>
      <c r="SJ439"/>
      <c r="SK439"/>
      <c r="SL439"/>
      <c r="SM439"/>
      <c r="SN439"/>
      <c r="SO439"/>
      <c r="SP439"/>
      <c r="SQ439"/>
      <c r="SR439"/>
      <c r="SS439"/>
      <c r="ST439"/>
      <c r="SU439"/>
      <c r="SV439"/>
      <c r="SW439"/>
      <c r="SX439"/>
      <c r="SY439"/>
      <c r="SZ439"/>
      <c r="TA439"/>
      <c r="TB439"/>
      <c r="TC439"/>
      <c r="TD439"/>
      <c r="TE439"/>
      <c r="TF439"/>
      <c r="TG439"/>
      <c r="TH439"/>
    </row>
    <row r="440" spans="3:528" x14ac:dyDescent="0.25">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c r="KT440"/>
      <c r="KU440"/>
      <c r="KV440"/>
      <c r="KW440"/>
      <c r="KX440"/>
      <c r="KY440"/>
      <c r="KZ440"/>
      <c r="LA440"/>
      <c r="LB440"/>
      <c r="LC440"/>
      <c r="LD440"/>
      <c r="LE440"/>
      <c r="LF440"/>
      <c r="LG440"/>
      <c r="LH440"/>
      <c r="LI440"/>
      <c r="LJ440"/>
      <c r="LK440"/>
      <c r="LL440"/>
      <c r="LM440"/>
      <c r="LN440"/>
      <c r="LO440"/>
      <c r="LP440"/>
      <c r="LQ440"/>
      <c r="LR440"/>
      <c r="LS440"/>
      <c r="LT440"/>
      <c r="LU440"/>
      <c r="LV440"/>
      <c r="LW440"/>
      <c r="LX440"/>
      <c r="LY440"/>
      <c r="LZ440"/>
      <c r="MA440"/>
      <c r="MB440"/>
      <c r="MC440"/>
      <c r="MD440"/>
      <c r="ME440"/>
      <c r="MF440"/>
      <c r="MG440"/>
      <c r="MH440"/>
      <c r="MI440"/>
      <c r="MJ440"/>
      <c r="MK440"/>
      <c r="ML440"/>
      <c r="MM440"/>
      <c r="MN440"/>
      <c r="MO440"/>
      <c r="MP440"/>
      <c r="MQ440"/>
      <c r="MR440"/>
      <c r="MS440"/>
      <c r="MT440"/>
      <c r="MU440"/>
      <c r="MV440"/>
      <c r="MW440"/>
      <c r="MX440"/>
      <c r="MY440"/>
      <c r="MZ440"/>
      <c r="NA440"/>
      <c r="NB440"/>
      <c r="NC440"/>
      <c r="ND440"/>
      <c r="NE440"/>
      <c r="NF440"/>
      <c r="NG440"/>
      <c r="NH440"/>
      <c r="NI440"/>
      <c r="NJ440"/>
      <c r="NK440"/>
      <c r="NL440"/>
      <c r="NM440"/>
      <c r="NN440"/>
      <c r="NO440"/>
      <c r="NP440"/>
      <c r="NQ440"/>
      <c r="NR440"/>
      <c r="NS440"/>
      <c r="NT440"/>
      <c r="NU440"/>
      <c r="NV440"/>
      <c r="NW440"/>
      <c r="NX440"/>
      <c r="NY440"/>
      <c r="NZ440"/>
      <c r="OA440"/>
      <c r="OB440"/>
      <c r="OC440"/>
      <c r="OD440"/>
      <c r="OE440"/>
      <c r="OF440"/>
      <c r="OG440"/>
      <c r="OH440"/>
      <c r="OI440"/>
      <c r="OJ440"/>
      <c r="OK440"/>
      <c r="OL440"/>
      <c r="OM440"/>
      <c r="ON440"/>
      <c r="OO440"/>
      <c r="OP440"/>
      <c r="OQ440"/>
      <c r="OR440"/>
      <c r="OS440"/>
      <c r="OT440"/>
      <c r="OU440"/>
      <c r="OV440"/>
      <c r="OW440"/>
      <c r="OX440"/>
      <c r="OY440"/>
      <c r="OZ440"/>
      <c r="PA440"/>
      <c r="PB440"/>
      <c r="PC440"/>
      <c r="PD440"/>
      <c r="PE440"/>
      <c r="PF440"/>
      <c r="PG440"/>
      <c r="PH440"/>
      <c r="PI440"/>
      <c r="PJ440"/>
      <c r="PK440"/>
      <c r="PL440"/>
      <c r="PM440"/>
      <c r="PN440"/>
      <c r="PO440"/>
      <c r="PP440"/>
      <c r="PQ440"/>
      <c r="PR440"/>
      <c r="PS440"/>
      <c r="PT440"/>
      <c r="PU440"/>
      <c r="PV440"/>
      <c r="PW440"/>
      <c r="PX440"/>
      <c r="PY440"/>
      <c r="PZ440"/>
      <c r="QA440"/>
      <c r="QB440"/>
      <c r="QC440"/>
      <c r="QD440"/>
      <c r="QE440"/>
      <c r="QF440"/>
      <c r="QG440"/>
      <c r="QH440"/>
      <c r="QI440"/>
      <c r="QJ440"/>
      <c r="QK440"/>
      <c r="QL440"/>
      <c r="QM440"/>
      <c r="QN440"/>
      <c r="QO440"/>
      <c r="QP440"/>
      <c r="QQ440"/>
      <c r="QR440"/>
      <c r="QS440"/>
      <c r="QT440"/>
      <c r="QU440"/>
      <c r="QV440"/>
      <c r="QW440"/>
      <c r="QX440"/>
      <c r="QY440"/>
      <c r="QZ440"/>
      <c r="RA440"/>
      <c r="RB440"/>
      <c r="RC440"/>
      <c r="RD440"/>
      <c r="RE440"/>
      <c r="RF440"/>
      <c r="RG440"/>
      <c r="RH440"/>
      <c r="RI440"/>
      <c r="RJ440"/>
      <c r="RK440"/>
      <c r="RL440"/>
      <c r="RM440"/>
      <c r="RN440"/>
      <c r="RO440"/>
      <c r="RP440"/>
      <c r="RQ440"/>
      <c r="RR440"/>
      <c r="RS440"/>
      <c r="RT440"/>
      <c r="RU440"/>
      <c r="RV440"/>
      <c r="RW440"/>
      <c r="RX440"/>
      <c r="RY440"/>
      <c r="RZ440"/>
      <c r="SA440"/>
      <c r="SB440"/>
      <c r="SC440"/>
      <c r="SD440"/>
      <c r="SE440"/>
      <c r="SF440"/>
      <c r="SG440"/>
      <c r="SH440"/>
      <c r="SI440"/>
      <c r="SJ440"/>
      <c r="SK440"/>
      <c r="SL440"/>
      <c r="SM440"/>
      <c r="SN440"/>
      <c r="SO440"/>
      <c r="SP440"/>
      <c r="SQ440"/>
      <c r="SR440"/>
      <c r="SS440"/>
      <c r="ST440"/>
      <c r="SU440"/>
      <c r="SV440"/>
      <c r="SW440"/>
      <c r="SX440"/>
      <c r="SY440"/>
      <c r="SZ440"/>
      <c r="TA440"/>
      <c r="TB440"/>
      <c r="TC440"/>
      <c r="TD440"/>
      <c r="TE440"/>
      <c r="TF440"/>
      <c r="TG440"/>
      <c r="TH440"/>
    </row>
    <row r="441" spans="3:528" x14ac:dyDescent="0.25">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c r="KT441"/>
      <c r="KU441"/>
      <c r="KV441"/>
      <c r="KW441"/>
      <c r="KX441"/>
      <c r="KY441"/>
      <c r="KZ441"/>
      <c r="LA441"/>
      <c r="LB441"/>
      <c r="LC441"/>
      <c r="LD441"/>
      <c r="LE441"/>
      <c r="LF441"/>
      <c r="LG441"/>
      <c r="LH441"/>
      <c r="LI441"/>
      <c r="LJ441"/>
      <c r="LK441"/>
      <c r="LL441"/>
      <c r="LM441"/>
      <c r="LN441"/>
      <c r="LO441"/>
      <c r="LP441"/>
      <c r="LQ441"/>
      <c r="LR441"/>
      <c r="LS441"/>
      <c r="LT441"/>
      <c r="LU441"/>
      <c r="LV441"/>
      <c r="LW441"/>
      <c r="LX441"/>
      <c r="LY441"/>
      <c r="LZ441"/>
      <c r="MA441"/>
      <c r="MB441"/>
      <c r="MC441"/>
      <c r="MD441"/>
      <c r="ME441"/>
      <c r="MF441"/>
      <c r="MG441"/>
      <c r="MH441"/>
      <c r="MI441"/>
      <c r="MJ441"/>
      <c r="MK441"/>
      <c r="ML441"/>
      <c r="MM441"/>
      <c r="MN441"/>
      <c r="MO441"/>
      <c r="MP441"/>
      <c r="MQ441"/>
      <c r="MR441"/>
      <c r="MS441"/>
      <c r="MT441"/>
      <c r="MU441"/>
      <c r="MV441"/>
      <c r="MW441"/>
      <c r="MX441"/>
      <c r="MY441"/>
      <c r="MZ441"/>
      <c r="NA441"/>
      <c r="NB441"/>
      <c r="NC441"/>
      <c r="ND441"/>
      <c r="NE441"/>
      <c r="NF441"/>
      <c r="NG441"/>
      <c r="NH441"/>
      <c r="NI441"/>
      <c r="NJ441"/>
      <c r="NK441"/>
      <c r="NL441"/>
      <c r="NM441"/>
      <c r="NN441"/>
      <c r="NO441"/>
      <c r="NP441"/>
      <c r="NQ441"/>
      <c r="NR441"/>
      <c r="NS441"/>
      <c r="NT441"/>
      <c r="NU441"/>
      <c r="NV441"/>
      <c r="NW441"/>
      <c r="NX441"/>
      <c r="NY441"/>
      <c r="NZ441"/>
      <c r="OA441"/>
      <c r="OB441"/>
      <c r="OC441"/>
      <c r="OD441"/>
      <c r="OE441"/>
      <c r="OF441"/>
      <c r="OG441"/>
      <c r="OH441"/>
      <c r="OI441"/>
      <c r="OJ441"/>
      <c r="OK441"/>
      <c r="OL441"/>
      <c r="OM441"/>
      <c r="ON441"/>
      <c r="OO441"/>
      <c r="OP441"/>
      <c r="OQ441"/>
      <c r="OR441"/>
      <c r="OS441"/>
      <c r="OT441"/>
      <c r="OU441"/>
      <c r="OV441"/>
      <c r="OW441"/>
      <c r="OX441"/>
      <c r="OY441"/>
      <c r="OZ441"/>
      <c r="PA441"/>
      <c r="PB441"/>
      <c r="PC441"/>
      <c r="PD441"/>
      <c r="PE441"/>
      <c r="PF441"/>
      <c r="PG441"/>
      <c r="PH441"/>
      <c r="PI441"/>
      <c r="PJ441"/>
      <c r="PK441"/>
      <c r="PL441"/>
      <c r="PM441"/>
      <c r="PN441"/>
      <c r="PO441"/>
      <c r="PP441"/>
      <c r="PQ441"/>
      <c r="PR441"/>
      <c r="PS441"/>
      <c r="PT441"/>
      <c r="PU441"/>
      <c r="PV441"/>
      <c r="PW441"/>
      <c r="PX441"/>
      <c r="PY441"/>
      <c r="PZ441"/>
      <c r="QA441"/>
      <c r="QB441"/>
      <c r="QC441"/>
      <c r="QD441"/>
      <c r="QE441"/>
      <c r="QF441"/>
      <c r="QG441"/>
      <c r="QH441"/>
      <c r="QI441"/>
      <c r="QJ441"/>
      <c r="QK441"/>
      <c r="QL441"/>
      <c r="QM441"/>
      <c r="QN441"/>
      <c r="QO441"/>
      <c r="QP441"/>
      <c r="QQ441"/>
      <c r="QR441"/>
      <c r="QS441"/>
      <c r="QT441"/>
      <c r="QU441"/>
      <c r="QV441"/>
      <c r="QW441"/>
      <c r="QX441"/>
      <c r="QY441"/>
      <c r="QZ441"/>
      <c r="RA441"/>
      <c r="RB441"/>
      <c r="RC441"/>
      <c r="RD441"/>
      <c r="RE441"/>
      <c r="RF441"/>
      <c r="RG441"/>
      <c r="RH441"/>
      <c r="RI441"/>
      <c r="RJ441"/>
      <c r="RK441"/>
      <c r="RL441"/>
      <c r="RM441"/>
      <c r="RN441"/>
      <c r="RO441"/>
      <c r="RP441"/>
      <c r="RQ441"/>
      <c r="RR441"/>
      <c r="RS441"/>
      <c r="RT441"/>
      <c r="RU441"/>
      <c r="RV441"/>
      <c r="RW441"/>
      <c r="RX441"/>
      <c r="RY441"/>
      <c r="RZ441"/>
      <c r="SA441"/>
      <c r="SB441"/>
      <c r="SC441"/>
      <c r="SD441"/>
      <c r="SE441"/>
      <c r="SF441"/>
      <c r="SG441"/>
      <c r="SH441"/>
      <c r="SI441"/>
      <c r="SJ441"/>
      <c r="SK441"/>
      <c r="SL441"/>
      <c r="SM441"/>
      <c r="SN441"/>
      <c r="SO441"/>
      <c r="SP441"/>
      <c r="SQ441"/>
      <c r="SR441"/>
      <c r="SS441"/>
      <c r="ST441"/>
      <c r="SU441"/>
      <c r="SV441"/>
      <c r="SW441"/>
      <c r="SX441"/>
      <c r="SY441"/>
      <c r="SZ441"/>
      <c r="TA441"/>
      <c r="TB441"/>
      <c r="TC441"/>
      <c r="TD441"/>
      <c r="TE441"/>
      <c r="TF441"/>
      <c r="TG441"/>
      <c r="TH441"/>
    </row>
    <row r="442" spans="3:528" x14ac:dyDescent="0.25">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c r="KT442"/>
      <c r="KU442"/>
      <c r="KV442"/>
      <c r="KW442"/>
      <c r="KX442"/>
      <c r="KY442"/>
      <c r="KZ442"/>
      <c r="LA442"/>
      <c r="LB442"/>
      <c r="LC442"/>
      <c r="LD442"/>
      <c r="LE442"/>
      <c r="LF442"/>
      <c r="LG442"/>
      <c r="LH442"/>
      <c r="LI442"/>
      <c r="LJ442"/>
      <c r="LK442"/>
      <c r="LL442"/>
      <c r="LM442"/>
      <c r="LN442"/>
      <c r="LO442"/>
      <c r="LP442"/>
      <c r="LQ442"/>
      <c r="LR442"/>
      <c r="LS442"/>
      <c r="LT442"/>
      <c r="LU442"/>
      <c r="LV442"/>
      <c r="LW442"/>
      <c r="LX442"/>
      <c r="LY442"/>
      <c r="LZ442"/>
      <c r="MA442"/>
      <c r="MB442"/>
      <c r="MC442"/>
      <c r="MD442"/>
      <c r="ME442"/>
      <c r="MF442"/>
      <c r="MG442"/>
      <c r="MH442"/>
      <c r="MI442"/>
      <c r="MJ442"/>
      <c r="MK442"/>
      <c r="ML442"/>
      <c r="MM442"/>
      <c r="MN442"/>
      <c r="MO442"/>
      <c r="MP442"/>
      <c r="MQ442"/>
      <c r="MR442"/>
      <c r="MS442"/>
      <c r="MT442"/>
      <c r="MU442"/>
      <c r="MV442"/>
      <c r="MW442"/>
      <c r="MX442"/>
      <c r="MY442"/>
      <c r="MZ442"/>
      <c r="NA442"/>
      <c r="NB442"/>
      <c r="NC442"/>
      <c r="ND442"/>
      <c r="NE442"/>
      <c r="NF442"/>
      <c r="NG442"/>
      <c r="NH442"/>
      <c r="NI442"/>
      <c r="NJ442"/>
      <c r="NK442"/>
      <c r="NL442"/>
      <c r="NM442"/>
      <c r="NN442"/>
      <c r="NO442"/>
      <c r="NP442"/>
      <c r="NQ442"/>
      <c r="NR442"/>
      <c r="NS442"/>
      <c r="NT442"/>
      <c r="NU442"/>
      <c r="NV442"/>
      <c r="NW442"/>
      <c r="NX442"/>
      <c r="NY442"/>
      <c r="NZ442"/>
      <c r="OA442"/>
      <c r="OB442"/>
      <c r="OC442"/>
      <c r="OD442"/>
      <c r="OE442"/>
      <c r="OF442"/>
      <c r="OG442"/>
      <c r="OH442"/>
      <c r="OI442"/>
      <c r="OJ442"/>
      <c r="OK442"/>
      <c r="OL442"/>
      <c r="OM442"/>
      <c r="ON442"/>
      <c r="OO442"/>
      <c r="OP442"/>
      <c r="OQ442"/>
      <c r="OR442"/>
      <c r="OS442"/>
      <c r="OT442"/>
      <c r="OU442"/>
      <c r="OV442"/>
      <c r="OW442"/>
      <c r="OX442"/>
      <c r="OY442"/>
      <c r="OZ442"/>
      <c r="PA442"/>
      <c r="PB442"/>
      <c r="PC442"/>
      <c r="PD442"/>
      <c r="PE442"/>
      <c r="PF442"/>
      <c r="PG442"/>
      <c r="PH442"/>
      <c r="PI442"/>
      <c r="PJ442"/>
      <c r="PK442"/>
      <c r="PL442"/>
      <c r="PM442"/>
      <c r="PN442"/>
      <c r="PO442"/>
      <c r="PP442"/>
      <c r="PQ442"/>
      <c r="PR442"/>
      <c r="PS442"/>
      <c r="PT442"/>
      <c r="PU442"/>
      <c r="PV442"/>
      <c r="PW442"/>
      <c r="PX442"/>
      <c r="PY442"/>
      <c r="PZ442"/>
      <c r="QA442"/>
      <c r="QB442"/>
      <c r="QC442"/>
      <c r="QD442"/>
      <c r="QE442"/>
      <c r="QF442"/>
      <c r="QG442"/>
      <c r="QH442"/>
      <c r="QI442"/>
      <c r="QJ442"/>
      <c r="QK442"/>
      <c r="QL442"/>
      <c r="QM442"/>
      <c r="QN442"/>
      <c r="QO442"/>
      <c r="QP442"/>
      <c r="QQ442"/>
      <c r="QR442"/>
      <c r="QS442"/>
      <c r="QT442"/>
      <c r="QU442"/>
      <c r="QV442"/>
      <c r="QW442"/>
      <c r="QX442"/>
      <c r="QY442"/>
      <c r="QZ442"/>
      <c r="RA442"/>
      <c r="RB442"/>
      <c r="RC442"/>
      <c r="RD442"/>
      <c r="RE442"/>
      <c r="RF442"/>
      <c r="RG442"/>
      <c r="RH442"/>
      <c r="RI442"/>
      <c r="RJ442"/>
      <c r="RK442"/>
      <c r="RL442"/>
      <c r="RM442"/>
      <c r="RN442"/>
      <c r="RO442"/>
      <c r="RP442"/>
      <c r="RQ442"/>
      <c r="RR442"/>
      <c r="RS442"/>
      <c r="RT442"/>
      <c r="RU442"/>
      <c r="RV442"/>
      <c r="RW442"/>
      <c r="RX442"/>
      <c r="RY442"/>
      <c r="RZ442"/>
      <c r="SA442"/>
      <c r="SB442"/>
      <c r="SC442"/>
      <c r="SD442"/>
      <c r="SE442"/>
      <c r="SF442"/>
      <c r="SG442"/>
      <c r="SH442"/>
      <c r="SI442"/>
      <c r="SJ442"/>
      <c r="SK442"/>
      <c r="SL442"/>
      <c r="SM442"/>
      <c r="SN442"/>
      <c r="SO442"/>
      <c r="SP442"/>
      <c r="SQ442"/>
      <c r="SR442"/>
      <c r="SS442"/>
      <c r="ST442"/>
      <c r="SU442"/>
      <c r="SV442"/>
      <c r="SW442"/>
      <c r="SX442"/>
      <c r="SY442"/>
      <c r="SZ442"/>
      <c r="TA442"/>
      <c r="TB442"/>
      <c r="TC442"/>
      <c r="TD442"/>
      <c r="TE442"/>
      <c r="TF442"/>
      <c r="TG442"/>
      <c r="TH442"/>
    </row>
    <row r="443" spans="3:528" x14ac:dyDescent="0.25">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c r="KT443"/>
      <c r="KU443"/>
      <c r="KV443"/>
      <c r="KW443"/>
      <c r="KX443"/>
      <c r="KY443"/>
      <c r="KZ443"/>
      <c r="LA443"/>
      <c r="LB443"/>
      <c r="LC443"/>
      <c r="LD443"/>
      <c r="LE443"/>
      <c r="LF443"/>
      <c r="LG443"/>
      <c r="LH443"/>
      <c r="LI443"/>
      <c r="LJ443"/>
      <c r="LK443"/>
      <c r="LL443"/>
      <c r="LM443"/>
      <c r="LN443"/>
      <c r="LO443"/>
      <c r="LP443"/>
      <c r="LQ443"/>
      <c r="LR443"/>
      <c r="LS443"/>
      <c r="LT443"/>
      <c r="LU443"/>
      <c r="LV443"/>
      <c r="LW443"/>
      <c r="LX443"/>
      <c r="LY443"/>
      <c r="LZ443"/>
      <c r="MA443"/>
      <c r="MB443"/>
      <c r="MC443"/>
      <c r="MD443"/>
      <c r="ME443"/>
      <c r="MF443"/>
      <c r="MG443"/>
      <c r="MH443"/>
      <c r="MI443"/>
      <c r="MJ443"/>
      <c r="MK443"/>
      <c r="ML443"/>
      <c r="MM443"/>
      <c r="MN443"/>
      <c r="MO443"/>
      <c r="MP443"/>
      <c r="MQ443"/>
      <c r="MR443"/>
      <c r="MS443"/>
      <c r="MT443"/>
      <c r="MU443"/>
      <c r="MV443"/>
      <c r="MW443"/>
      <c r="MX443"/>
      <c r="MY443"/>
      <c r="MZ443"/>
      <c r="NA443"/>
      <c r="NB443"/>
      <c r="NC443"/>
      <c r="ND443"/>
      <c r="NE443"/>
      <c r="NF443"/>
      <c r="NG443"/>
      <c r="NH443"/>
      <c r="NI443"/>
      <c r="NJ443"/>
      <c r="NK443"/>
      <c r="NL443"/>
      <c r="NM443"/>
      <c r="NN443"/>
      <c r="NO443"/>
      <c r="NP443"/>
      <c r="NQ443"/>
      <c r="NR443"/>
      <c r="NS443"/>
      <c r="NT443"/>
      <c r="NU443"/>
      <c r="NV443"/>
      <c r="NW443"/>
      <c r="NX443"/>
      <c r="NY443"/>
      <c r="NZ443"/>
      <c r="OA443"/>
      <c r="OB443"/>
      <c r="OC443"/>
      <c r="OD443"/>
      <c r="OE443"/>
      <c r="OF443"/>
      <c r="OG443"/>
      <c r="OH443"/>
      <c r="OI443"/>
      <c r="OJ443"/>
      <c r="OK443"/>
      <c r="OL443"/>
      <c r="OM443"/>
      <c r="ON443"/>
      <c r="OO443"/>
      <c r="OP443"/>
      <c r="OQ443"/>
      <c r="OR443"/>
      <c r="OS443"/>
      <c r="OT443"/>
      <c r="OU443"/>
      <c r="OV443"/>
      <c r="OW443"/>
      <c r="OX443"/>
      <c r="OY443"/>
      <c r="OZ443"/>
      <c r="PA443"/>
      <c r="PB443"/>
      <c r="PC443"/>
      <c r="PD443"/>
      <c r="PE443"/>
      <c r="PF443"/>
      <c r="PG443"/>
      <c r="PH443"/>
      <c r="PI443"/>
      <c r="PJ443"/>
      <c r="PK443"/>
      <c r="PL443"/>
      <c r="PM443"/>
      <c r="PN443"/>
      <c r="PO443"/>
      <c r="PP443"/>
      <c r="PQ443"/>
      <c r="PR443"/>
      <c r="PS443"/>
      <c r="PT443"/>
      <c r="PU443"/>
      <c r="PV443"/>
      <c r="PW443"/>
      <c r="PX443"/>
      <c r="PY443"/>
      <c r="PZ443"/>
      <c r="QA443"/>
      <c r="QB443"/>
      <c r="QC443"/>
      <c r="QD443"/>
      <c r="QE443"/>
      <c r="QF443"/>
      <c r="QG443"/>
      <c r="QH443"/>
      <c r="QI443"/>
      <c r="QJ443"/>
      <c r="QK443"/>
      <c r="QL443"/>
      <c r="QM443"/>
      <c r="QN443"/>
      <c r="QO443"/>
      <c r="QP443"/>
      <c r="QQ443"/>
      <c r="QR443"/>
      <c r="QS443"/>
      <c r="QT443"/>
      <c r="QU443"/>
      <c r="QV443"/>
      <c r="QW443"/>
      <c r="QX443"/>
      <c r="QY443"/>
      <c r="QZ443"/>
      <c r="RA443"/>
      <c r="RB443"/>
      <c r="RC443"/>
      <c r="RD443"/>
      <c r="RE443"/>
      <c r="RF443"/>
      <c r="RG443"/>
      <c r="RH443"/>
      <c r="RI443"/>
      <c r="RJ443"/>
      <c r="RK443"/>
      <c r="RL443"/>
      <c r="RM443"/>
      <c r="RN443"/>
      <c r="RO443"/>
      <c r="RP443"/>
      <c r="RQ443"/>
      <c r="RR443"/>
      <c r="RS443"/>
      <c r="RT443"/>
      <c r="RU443"/>
      <c r="RV443"/>
      <c r="RW443"/>
      <c r="RX443"/>
      <c r="RY443"/>
      <c r="RZ443"/>
      <c r="SA443"/>
      <c r="SB443"/>
      <c r="SC443"/>
      <c r="SD443"/>
      <c r="SE443"/>
      <c r="SF443"/>
      <c r="SG443"/>
      <c r="SH443"/>
      <c r="SI443"/>
      <c r="SJ443"/>
      <c r="SK443"/>
      <c r="SL443"/>
      <c r="SM443"/>
      <c r="SN443"/>
      <c r="SO443"/>
      <c r="SP443"/>
      <c r="SQ443"/>
      <c r="SR443"/>
      <c r="SS443"/>
      <c r="ST443"/>
      <c r="SU443"/>
      <c r="SV443"/>
      <c r="SW443"/>
      <c r="SX443"/>
      <c r="SY443"/>
      <c r="SZ443"/>
      <c r="TA443"/>
      <c r="TB443"/>
      <c r="TC443"/>
      <c r="TD443"/>
      <c r="TE443"/>
      <c r="TF443"/>
      <c r="TG443"/>
      <c r="TH443"/>
    </row>
    <row r="444" spans="3:528" x14ac:dyDescent="0.25">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c r="KT444"/>
      <c r="KU444"/>
      <c r="KV444"/>
      <c r="KW444"/>
      <c r="KX444"/>
      <c r="KY444"/>
      <c r="KZ444"/>
      <c r="LA444"/>
      <c r="LB444"/>
      <c r="LC444"/>
      <c r="LD444"/>
      <c r="LE444"/>
      <c r="LF444"/>
      <c r="LG444"/>
      <c r="LH444"/>
      <c r="LI444"/>
      <c r="LJ444"/>
      <c r="LK444"/>
      <c r="LL444"/>
      <c r="LM444"/>
      <c r="LN444"/>
      <c r="LO444"/>
      <c r="LP444"/>
      <c r="LQ444"/>
      <c r="LR444"/>
      <c r="LS444"/>
      <c r="LT444"/>
      <c r="LU444"/>
      <c r="LV444"/>
      <c r="LW444"/>
      <c r="LX444"/>
      <c r="LY444"/>
      <c r="LZ444"/>
      <c r="MA444"/>
      <c r="MB444"/>
      <c r="MC444"/>
      <c r="MD444"/>
      <c r="ME444"/>
      <c r="MF444"/>
      <c r="MG444"/>
      <c r="MH444"/>
      <c r="MI444"/>
      <c r="MJ444"/>
      <c r="MK444"/>
      <c r="ML444"/>
      <c r="MM444"/>
      <c r="MN444"/>
      <c r="MO444"/>
      <c r="MP444"/>
      <c r="MQ444"/>
      <c r="MR444"/>
      <c r="MS444"/>
      <c r="MT444"/>
      <c r="MU444"/>
      <c r="MV444"/>
      <c r="MW444"/>
      <c r="MX444"/>
      <c r="MY444"/>
      <c r="MZ444"/>
      <c r="NA444"/>
      <c r="NB444"/>
      <c r="NC444"/>
      <c r="ND444"/>
      <c r="NE444"/>
      <c r="NF444"/>
      <c r="NG444"/>
      <c r="NH444"/>
      <c r="NI444"/>
      <c r="NJ444"/>
      <c r="NK444"/>
      <c r="NL444"/>
      <c r="NM444"/>
      <c r="NN444"/>
      <c r="NO444"/>
      <c r="NP444"/>
      <c r="NQ444"/>
      <c r="NR444"/>
      <c r="NS444"/>
      <c r="NT444"/>
      <c r="NU444"/>
      <c r="NV444"/>
      <c r="NW444"/>
      <c r="NX444"/>
      <c r="NY444"/>
      <c r="NZ444"/>
      <c r="OA444"/>
      <c r="OB444"/>
      <c r="OC444"/>
      <c r="OD444"/>
      <c r="OE444"/>
      <c r="OF444"/>
      <c r="OG444"/>
      <c r="OH444"/>
      <c r="OI444"/>
      <c r="OJ444"/>
      <c r="OK444"/>
      <c r="OL444"/>
      <c r="OM444"/>
      <c r="ON444"/>
      <c r="OO444"/>
      <c r="OP444"/>
      <c r="OQ444"/>
      <c r="OR444"/>
      <c r="OS444"/>
      <c r="OT444"/>
      <c r="OU444"/>
      <c r="OV444"/>
      <c r="OW444"/>
      <c r="OX444"/>
      <c r="OY444"/>
      <c r="OZ444"/>
      <c r="PA444"/>
      <c r="PB444"/>
      <c r="PC444"/>
      <c r="PD444"/>
      <c r="PE444"/>
      <c r="PF444"/>
      <c r="PG444"/>
      <c r="PH444"/>
      <c r="PI444"/>
      <c r="PJ444"/>
      <c r="PK444"/>
      <c r="PL444"/>
      <c r="PM444"/>
      <c r="PN444"/>
      <c r="PO444"/>
      <c r="PP444"/>
      <c r="PQ444"/>
      <c r="PR444"/>
      <c r="PS444"/>
      <c r="PT444"/>
      <c r="PU444"/>
      <c r="PV444"/>
      <c r="PW444"/>
      <c r="PX444"/>
      <c r="PY444"/>
      <c r="PZ444"/>
      <c r="QA444"/>
      <c r="QB444"/>
      <c r="QC444"/>
      <c r="QD444"/>
      <c r="QE444"/>
      <c r="QF444"/>
      <c r="QG444"/>
      <c r="QH444"/>
      <c r="QI444"/>
      <c r="QJ444"/>
      <c r="QK444"/>
      <c r="QL444"/>
      <c r="QM444"/>
      <c r="QN444"/>
      <c r="QO444"/>
      <c r="QP444"/>
      <c r="QQ444"/>
      <c r="QR444"/>
      <c r="QS444"/>
      <c r="QT444"/>
      <c r="QU444"/>
      <c r="QV444"/>
      <c r="QW444"/>
      <c r="QX444"/>
      <c r="QY444"/>
      <c r="QZ444"/>
      <c r="RA444"/>
      <c r="RB444"/>
      <c r="RC444"/>
      <c r="RD444"/>
      <c r="RE444"/>
      <c r="RF444"/>
      <c r="RG444"/>
      <c r="RH444"/>
      <c r="RI444"/>
      <c r="RJ444"/>
      <c r="RK444"/>
      <c r="RL444"/>
      <c r="RM444"/>
      <c r="RN444"/>
      <c r="RO444"/>
      <c r="RP444"/>
      <c r="RQ444"/>
      <c r="RR444"/>
      <c r="RS444"/>
      <c r="RT444"/>
      <c r="RU444"/>
      <c r="RV444"/>
      <c r="RW444"/>
      <c r="RX444"/>
      <c r="RY444"/>
      <c r="RZ444"/>
      <c r="SA444"/>
      <c r="SB444"/>
      <c r="SC444"/>
      <c r="SD444"/>
      <c r="SE444"/>
      <c r="SF444"/>
      <c r="SG444"/>
      <c r="SH444"/>
      <c r="SI444"/>
      <c r="SJ444"/>
      <c r="SK444"/>
      <c r="SL444"/>
      <c r="SM444"/>
      <c r="SN444"/>
      <c r="SO444"/>
      <c r="SP444"/>
      <c r="SQ444"/>
      <c r="SR444"/>
      <c r="SS444"/>
      <c r="ST444"/>
      <c r="SU444"/>
      <c r="SV444"/>
      <c r="SW444"/>
      <c r="SX444"/>
      <c r="SY444"/>
      <c r="SZ444"/>
      <c r="TA444"/>
      <c r="TB444"/>
      <c r="TC444"/>
      <c r="TD444"/>
      <c r="TE444"/>
      <c r="TF444"/>
      <c r="TG444"/>
      <c r="TH444"/>
    </row>
    <row r="445" spans="3:528" x14ac:dyDescent="0.2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c r="KT445"/>
      <c r="KU445"/>
      <c r="KV445"/>
      <c r="KW445"/>
      <c r="KX445"/>
      <c r="KY445"/>
      <c r="KZ445"/>
      <c r="LA445"/>
      <c r="LB445"/>
      <c r="LC445"/>
      <c r="LD445"/>
      <c r="LE445"/>
      <c r="LF445"/>
      <c r="LG445"/>
      <c r="LH445"/>
      <c r="LI445"/>
      <c r="LJ445"/>
      <c r="LK445"/>
      <c r="LL445"/>
      <c r="LM445"/>
      <c r="LN445"/>
      <c r="LO445"/>
      <c r="LP445"/>
      <c r="LQ445"/>
      <c r="LR445"/>
      <c r="LS445"/>
      <c r="LT445"/>
      <c r="LU445"/>
      <c r="LV445"/>
      <c r="LW445"/>
      <c r="LX445"/>
      <c r="LY445"/>
      <c r="LZ445"/>
      <c r="MA445"/>
      <c r="MB445"/>
      <c r="MC445"/>
      <c r="MD445"/>
      <c r="ME445"/>
      <c r="MF445"/>
      <c r="MG445"/>
      <c r="MH445"/>
      <c r="MI445"/>
      <c r="MJ445"/>
      <c r="MK445"/>
      <c r="ML445"/>
      <c r="MM445"/>
      <c r="MN445"/>
      <c r="MO445"/>
      <c r="MP445"/>
      <c r="MQ445"/>
      <c r="MR445"/>
      <c r="MS445"/>
      <c r="MT445"/>
      <c r="MU445"/>
      <c r="MV445"/>
      <c r="MW445"/>
      <c r="MX445"/>
      <c r="MY445"/>
      <c r="MZ445"/>
      <c r="NA445"/>
      <c r="NB445"/>
      <c r="NC445"/>
      <c r="ND445"/>
      <c r="NE445"/>
      <c r="NF445"/>
      <c r="NG445"/>
      <c r="NH445"/>
      <c r="NI445"/>
      <c r="NJ445"/>
      <c r="NK445"/>
      <c r="NL445"/>
      <c r="NM445"/>
      <c r="NN445"/>
      <c r="NO445"/>
      <c r="NP445"/>
      <c r="NQ445"/>
      <c r="NR445"/>
      <c r="NS445"/>
      <c r="NT445"/>
      <c r="NU445"/>
      <c r="NV445"/>
      <c r="NW445"/>
      <c r="NX445"/>
      <c r="NY445"/>
      <c r="NZ445"/>
      <c r="OA445"/>
      <c r="OB445"/>
      <c r="OC445"/>
      <c r="OD445"/>
      <c r="OE445"/>
      <c r="OF445"/>
      <c r="OG445"/>
      <c r="OH445"/>
      <c r="OI445"/>
      <c r="OJ445"/>
      <c r="OK445"/>
      <c r="OL445"/>
      <c r="OM445"/>
      <c r="ON445"/>
      <c r="OO445"/>
      <c r="OP445"/>
      <c r="OQ445"/>
      <c r="OR445"/>
      <c r="OS445"/>
      <c r="OT445"/>
      <c r="OU445"/>
      <c r="OV445"/>
      <c r="OW445"/>
      <c r="OX445"/>
      <c r="OY445"/>
      <c r="OZ445"/>
      <c r="PA445"/>
      <c r="PB445"/>
      <c r="PC445"/>
      <c r="PD445"/>
      <c r="PE445"/>
      <c r="PF445"/>
      <c r="PG445"/>
      <c r="PH445"/>
      <c r="PI445"/>
      <c r="PJ445"/>
      <c r="PK445"/>
      <c r="PL445"/>
      <c r="PM445"/>
      <c r="PN445"/>
      <c r="PO445"/>
      <c r="PP445"/>
      <c r="PQ445"/>
      <c r="PR445"/>
      <c r="PS445"/>
      <c r="PT445"/>
      <c r="PU445"/>
      <c r="PV445"/>
      <c r="PW445"/>
      <c r="PX445"/>
      <c r="PY445"/>
      <c r="PZ445"/>
      <c r="QA445"/>
      <c r="QB445"/>
      <c r="QC445"/>
      <c r="QD445"/>
      <c r="QE445"/>
      <c r="QF445"/>
      <c r="QG445"/>
      <c r="QH445"/>
      <c r="QI445"/>
      <c r="QJ445"/>
      <c r="QK445"/>
      <c r="QL445"/>
      <c r="QM445"/>
      <c r="QN445"/>
      <c r="QO445"/>
      <c r="QP445"/>
      <c r="QQ445"/>
      <c r="QR445"/>
      <c r="QS445"/>
      <c r="QT445"/>
      <c r="QU445"/>
      <c r="QV445"/>
      <c r="QW445"/>
      <c r="QX445"/>
      <c r="QY445"/>
      <c r="QZ445"/>
      <c r="RA445"/>
      <c r="RB445"/>
      <c r="RC445"/>
      <c r="RD445"/>
      <c r="RE445"/>
      <c r="RF445"/>
      <c r="RG445"/>
      <c r="RH445"/>
      <c r="RI445"/>
      <c r="RJ445"/>
      <c r="RK445"/>
      <c r="RL445"/>
      <c r="RM445"/>
      <c r="RN445"/>
      <c r="RO445"/>
      <c r="RP445"/>
      <c r="RQ445"/>
      <c r="RR445"/>
      <c r="RS445"/>
      <c r="RT445"/>
      <c r="RU445"/>
      <c r="RV445"/>
      <c r="RW445"/>
      <c r="RX445"/>
      <c r="RY445"/>
      <c r="RZ445"/>
      <c r="SA445"/>
      <c r="SB445"/>
      <c r="SC445"/>
      <c r="SD445"/>
      <c r="SE445"/>
      <c r="SF445"/>
      <c r="SG445"/>
      <c r="SH445"/>
      <c r="SI445"/>
      <c r="SJ445"/>
      <c r="SK445"/>
      <c r="SL445"/>
      <c r="SM445"/>
      <c r="SN445"/>
      <c r="SO445"/>
      <c r="SP445"/>
      <c r="SQ445"/>
      <c r="SR445"/>
      <c r="SS445"/>
      <c r="ST445"/>
      <c r="SU445"/>
      <c r="SV445"/>
      <c r="SW445"/>
      <c r="SX445"/>
      <c r="SY445"/>
      <c r="SZ445"/>
      <c r="TA445"/>
      <c r="TB445"/>
      <c r="TC445"/>
      <c r="TD445"/>
      <c r="TE445"/>
      <c r="TF445"/>
      <c r="TG445"/>
      <c r="TH445"/>
    </row>
    <row r="446" spans="3:528" x14ac:dyDescent="0.25">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c r="KT446"/>
      <c r="KU446"/>
      <c r="KV446"/>
      <c r="KW446"/>
      <c r="KX446"/>
      <c r="KY446"/>
      <c r="KZ446"/>
      <c r="LA446"/>
      <c r="LB446"/>
      <c r="LC446"/>
      <c r="LD446"/>
      <c r="LE446"/>
      <c r="LF446"/>
      <c r="LG446"/>
      <c r="LH446"/>
      <c r="LI446"/>
      <c r="LJ446"/>
      <c r="LK446"/>
      <c r="LL446"/>
      <c r="LM446"/>
      <c r="LN446"/>
      <c r="LO446"/>
      <c r="LP446"/>
      <c r="LQ446"/>
      <c r="LR446"/>
      <c r="LS446"/>
      <c r="LT446"/>
      <c r="LU446"/>
      <c r="LV446"/>
      <c r="LW446"/>
      <c r="LX446"/>
      <c r="LY446"/>
      <c r="LZ446"/>
      <c r="MA446"/>
      <c r="MB446"/>
      <c r="MC446"/>
      <c r="MD446"/>
      <c r="ME446"/>
      <c r="MF446"/>
      <c r="MG446"/>
      <c r="MH446"/>
      <c r="MI446"/>
      <c r="MJ446"/>
      <c r="MK446"/>
      <c r="ML446"/>
      <c r="MM446"/>
      <c r="MN446"/>
      <c r="MO446"/>
      <c r="MP446"/>
      <c r="MQ446"/>
      <c r="MR446"/>
      <c r="MS446"/>
      <c r="MT446"/>
      <c r="MU446"/>
      <c r="MV446"/>
      <c r="MW446"/>
      <c r="MX446"/>
      <c r="MY446"/>
      <c r="MZ446"/>
      <c r="NA446"/>
      <c r="NB446"/>
      <c r="NC446"/>
      <c r="ND446"/>
      <c r="NE446"/>
      <c r="NF446"/>
      <c r="NG446"/>
      <c r="NH446"/>
      <c r="NI446"/>
      <c r="NJ446"/>
      <c r="NK446"/>
      <c r="NL446"/>
      <c r="NM446"/>
      <c r="NN446"/>
      <c r="NO446"/>
      <c r="NP446"/>
      <c r="NQ446"/>
      <c r="NR446"/>
      <c r="NS446"/>
      <c r="NT446"/>
      <c r="NU446"/>
      <c r="NV446"/>
      <c r="NW446"/>
      <c r="NX446"/>
      <c r="NY446"/>
      <c r="NZ446"/>
      <c r="OA446"/>
      <c r="OB446"/>
      <c r="OC446"/>
      <c r="OD446"/>
      <c r="OE446"/>
      <c r="OF446"/>
      <c r="OG446"/>
      <c r="OH446"/>
      <c r="OI446"/>
      <c r="OJ446"/>
      <c r="OK446"/>
      <c r="OL446"/>
      <c r="OM446"/>
      <c r="ON446"/>
      <c r="OO446"/>
      <c r="OP446"/>
      <c r="OQ446"/>
      <c r="OR446"/>
      <c r="OS446"/>
      <c r="OT446"/>
      <c r="OU446"/>
      <c r="OV446"/>
      <c r="OW446"/>
      <c r="OX446"/>
      <c r="OY446"/>
      <c r="OZ446"/>
      <c r="PA446"/>
      <c r="PB446"/>
      <c r="PC446"/>
      <c r="PD446"/>
      <c r="PE446"/>
      <c r="PF446"/>
      <c r="PG446"/>
      <c r="PH446"/>
      <c r="PI446"/>
      <c r="PJ446"/>
      <c r="PK446"/>
      <c r="PL446"/>
      <c r="PM446"/>
      <c r="PN446"/>
      <c r="PO446"/>
      <c r="PP446"/>
      <c r="PQ446"/>
      <c r="PR446"/>
      <c r="PS446"/>
      <c r="PT446"/>
      <c r="PU446"/>
      <c r="PV446"/>
      <c r="PW446"/>
      <c r="PX446"/>
      <c r="PY446"/>
      <c r="PZ446"/>
      <c r="QA446"/>
      <c r="QB446"/>
      <c r="QC446"/>
      <c r="QD446"/>
      <c r="QE446"/>
      <c r="QF446"/>
      <c r="QG446"/>
      <c r="QH446"/>
      <c r="QI446"/>
      <c r="QJ446"/>
      <c r="QK446"/>
      <c r="QL446"/>
      <c r="QM446"/>
      <c r="QN446"/>
      <c r="QO446"/>
      <c r="QP446"/>
      <c r="QQ446"/>
      <c r="QR446"/>
      <c r="QS446"/>
      <c r="QT446"/>
      <c r="QU446"/>
      <c r="QV446"/>
      <c r="QW446"/>
      <c r="QX446"/>
      <c r="QY446"/>
      <c r="QZ446"/>
      <c r="RA446"/>
      <c r="RB446"/>
      <c r="RC446"/>
      <c r="RD446"/>
      <c r="RE446"/>
      <c r="RF446"/>
      <c r="RG446"/>
      <c r="RH446"/>
      <c r="RI446"/>
      <c r="RJ446"/>
      <c r="RK446"/>
      <c r="RL446"/>
      <c r="RM446"/>
      <c r="RN446"/>
      <c r="RO446"/>
      <c r="RP446"/>
      <c r="RQ446"/>
      <c r="RR446"/>
      <c r="RS446"/>
      <c r="RT446"/>
      <c r="RU446"/>
      <c r="RV446"/>
      <c r="RW446"/>
      <c r="RX446"/>
      <c r="RY446"/>
      <c r="RZ446"/>
      <c r="SA446"/>
      <c r="SB446"/>
      <c r="SC446"/>
      <c r="SD446"/>
      <c r="SE446"/>
      <c r="SF446"/>
      <c r="SG446"/>
      <c r="SH446"/>
      <c r="SI446"/>
      <c r="SJ446"/>
      <c r="SK446"/>
      <c r="SL446"/>
      <c r="SM446"/>
      <c r="SN446"/>
      <c r="SO446"/>
      <c r="SP446"/>
      <c r="SQ446"/>
      <c r="SR446"/>
      <c r="SS446"/>
      <c r="ST446"/>
      <c r="SU446"/>
      <c r="SV446"/>
      <c r="SW446"/>
      <c r="SX446"/>
      <c r="SY446"/>
      <c r="SZ446"/>
      <c r="TA446"/>
      <c r="TB446"/>
      <c r="TC446"/>
      <c r="TD446"/>
      <c r="TE446"/>
      <c r="TF446"/>
      <c r="TG446"/>
      <c r="TH446"/>
    </row>
    <row r="447" spans="3:528" x14ac:dyDescent="0.25">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c r="KT447"/>
      <c r="KU447"/>
      <c r="KV447"/>
      <c r="KW447"/>
      <c r="KX447"/>
      <c r="KY447"/>
      <c r="KZ447"/>
      <c r="LA447"/>
      <c r="LB447"/>
      <c r="LC447"/>
      <c r="LD447"/>
      <c r="LE447"/>
      <c r="LF447"/>
      <c r="LG447"/>
      <c r="LH447"/>
      <c r="LI447"/>
      <c r="LJ447"/>
      <c r="LK447"/>
      <c r="LL447"/>
      <c r="LM447"/>
      <c r="LN447"/>
      <c r="LO447"/>
      <c r="LP447"/>
      <c r="LQ447"/>
      <c r="LR447"/>
      <c r="LS447"/>
      <c r="LT447"/>
      <c r="LU447"/>
      <c r="LV447"/>
      <c r="LW447"/>
      <c r="LX447"/>
      <c r="LY447"/>
      <c r="LZ447"/>
      <c r="MA447"/>
      <c r="MB447"/>
      <c r="MC447"/>
      <c r="MD447"/>
      <c r="ME447"/>
      <c r="MF447"/>
      <c r="MG447"/>
      <c r="MH447"/>
      <c r="MI447"/>
      <c r="MJ447"/>
      <c r="MK447"/>
      <c r="ML447"/>
      <c r="MM447"/>
      <c r="MN447"/>
      <c r="MO447"/>
      <c r="MP447"/>
      <c r="MQ447"/>
      <c r="MR447"/>
      <c r="MS447"/>
      <c r="MT447"/>
      <c r="MU447"/>
      <c r="MV447"/>
      <c r="MW447"/>
      <c r="MX447"/>
      <c r="MY447"/>
      <c r="MZ447"/>
      <c r="NA447"/>
      <c r="NB447"/>
      <c r="NC447"/>
      <c r="ND447"/>
      <c r="NE447"/>
      <c r="NF447"/>
      <c r="NG447"/>
      <c r="NH447"/>
      <c r="NI447"/>
      <c r="NJ447"/>
      <c r="NK447"/>
      <c r="NL447"/>
      <c r="NM447"/>
      <c r="NN447"/>
      <c r="NO447"/>
      <c r="NP447"/>
      <c r="NQ447"/>
      <c r="NR447"/>
      <c r="NS447"/>
      <c r="NT447"/>
      <c r="NU447"/>
      <c r="NV447"/>
      <c r="NW447"/>
      <c r="NX447"/>
      <c r="NY447"/>
      <c r="NZ447"/>
      <c r="OA447"/>
      <c r="OB447"/>
      <c r="OC447"/>
      <c r="OD447"/>
      <c r="OE447"/>
      <c r="OF447"/>
      <c r="OG447"/>
      <c r="OH447"/>
      <c r="OI447"/>
      <c r="OJ447"/>
      <c r="OK447"/>
      <c r="OL447"/>
      <c r="OM447"/>
      <c r="ON447"/>
      <c r="OO447"/>
      <c r="OP447"/>
      <c r="OQ447"/>
      <c r="OR447"/>
      <c r="OS447"/>
      <c r="OT447"/>
      <c r="OU447"/>
      <c r="OV447"/>
      <c r="OW447"/>
      <c r="OX447"/>
      <c r="OY447"/>
      <c r="OZ447"/>
      <c r="PA447"/>
      <c r="PB447"/>
      <c r="PC447"/>
      <c r="PD447"/>
      <c r="PE447"/>
      <c r="PF447"/>
      <c r="PG447"/>
      <c r="PH447"/>
      <c r="PI447"/>
      <c r="PJ447"/>
      <c r="PK447"/>
      <c r="PL447"/>
      <c r="PM447"/>
      <c r="PN447"/>
      <c r="PO447"/>
      <c r="PP447"/>
      <c r="PQ447"/>
      <c r="PR447"/>
      <c r="PS447"/>
      <c r="PT447"/>
      <c r="PU447"/>
      <c r="PV447"/>
      <c r="PW447"/>
      <c r="PX447"/>
      <c r="PY447"/>
      <c r="PZ447"/>
      <c r="QA447"/>
      <c r="QB447"/>
      <c r="QC447"/>
      <c r="QD447"/>
      <c r="QE447"/>
      <c r="QF447"/>
      <c r="QG447"/>
      <c r="QH447"/>
      <c r="QI447"/>
      <c r="QJ447"/>
      <c r="QK447"/>
      <c r="QL447"/>
      <c r="QM447"/>
      <c r="QN447"/>
      <c r="QO447"/>
      <c r="QP447"/>
      <c r="QQ447"/>
      <c r="QR447"/>
      <c r="QS447"/>
      <c r="QT447"/>
      <c r="QU447"/>
      <c r="QV447"/>
      <c r="QW447"/>
      <c r="QX447"/>
      <c r="QY447"/>
      <c r="QZ447"/>
      <c r="RA447"/>
      <c r="RB447"/>
      <c r="RC447"/>
      <c r="RD447"/>
      <c r="RE447"/>
      <c r="RF447"/>
      <c r="RG447"/>
      <c r="RH447"/>
      <c r="RI447"/>
      <c r="RJ447"/>
      <c r="RK447"/>
      <c r="RL447"/>
      <c r="RM447"/>
      <c r="RN447"/>
      <c r="RO447"/>
      <c r="RP447"/>
      <c r="RQ447"/>
      <c r="RR447"/>
      <c r="RS447"/>
      <c r="RT447"/>
      <c r="RU447"/>
      <c r="RV447"/>
      <c r="RW447"/>
      <c r="RX447"/>
      <c r="RY447"/>
      <c r="RZ447"/>
      <c r="SA447"/>
      <c r="SB447"/>
      <c r="SC447"/>
      <c r="SD447"/>
      <c r="SE447"/>
      <c r="SF447"/>
      <c r="SG447"/>
      <c r="SH447"/>
      <c r="SI447"/>
      <c r="SJ447"/>
      <c r="SK447"/>
      <c r="SL447"/>
      <c r="SM447"/>
      <c r="SN447"/>
      <c r="SO447"/>
      <c r="SP447"/>
      <c r="SQ447"/>
      <c r="SR447"/>
      <c r="SS447"/>
      <c r="ST447"/>
      <c r="SU447"/>
      <c r="SV447"/>
      <c r="SW447"/>
      <c r="SX447"/>
      <c r="SY447"/>
      <c r="SZ447"/>
      <c r="TA447"/>
      <c r="TB447"/>
      <c r="TC447"/>
      <c r="TD447"/>
      <c r="TE447"/>
      <c r="TF447"/>
      <c r="TG447"/>
      <c r="TH447"/>
    </row>
    <row r="448" spans="3:528" x14ac:dyDescent="0.25">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c r="KT448"/>
      <c r="KU448"/>
      <c r="KV448"/>
      <c r="KW448"/>
      <c r="KX448"/>
      <c r="KY448"/>
      <c r="KZ448"/>
      <c r="LA448"/>
      <c r="LB448"/>
      <c r="LC448"/>
      <c r="LD448"/>
      <c r="LE448"/>
      <c r="LF448"/>
      <c r="LG448"/>
      <c r="LH448"/>
      <c r="LI448"/>
      <c r="LJ448"/>
      <c r="LK448"/>
      <c r="LL448"/>
      <c r="LM448"/>
      <c r="LN448"/>
      <c r="LO448"/>
      <c r="LP448"/>
      <c r="LQ448"/>
      <c r="LR448"/>
      <c r="LS448"/>
      <c r="LT448"/>
      <c r="LU448"/>
      <c r="LV448"/>
      <c r="LW448"/>
      <c r="LX448"/>
      <c r="LY448"/>
      <c r="LZ448"/>
      <c r="MA448"/>
      <c r="MB448"/>
      <c r="MC448"/>
      <c r="MD448"/>
      <c r="ME448"/>
      <c r="MF448"/>
      <c r="MG448"/>
      <c r="MH448"/>
      <c r="MI448"/>
      <c r="MJ448"/>
      <c r="MK448"/>
      <c r="ML448"/>
      <c r="MM448"/>
      <c r="MN448"/>
      <c r="MO448"/>
      <c r="MP448"/>
      <c r="MQ448"/>
      <c r="MR448"/>
      <c r="MS448"/>
      <c r="MT448"/>
      <c r="MU448"/>
      <c r="MV448"/>
      <c r="MW448"/>
      <c r="MX448"/>
      <c r="MY448"/>
      <c r="MZ448"/>
      <c r="NA448"/>
      <c r="NB448"/>
      <c r="NC448"/>
      <c r="ND448"/>
      <c r="NE448"/>
      <c r="NF448"/>
      <c r="NG448"/>
      <c r="NH448"/>
      <c r="NI448"/>
      <c r="NJ448"/>
      <c r="NK448"/>
      <c r="NL448"/>
      <c r="NM448"/>
      <c r="NN448"/>
      <c r="NO448"/>
      <c r="NP448"/>
      <c r="NQ448"/>
      <c r="NR448"/>
      <c r="NS448"/>
      <c r="NT448"/>
      <c r="NU448"/>
      <c r="NV448"/>
      <c r="NW448"/>
      <c r="NX448"/>
      <c r="NY448"/>
      <c r="NZ448"/>
      <c r="OA448"/>
      <c r="OB448"/>
      <c r="OC448"/>
      <c r="OD448"/>
      <c r="OE448"/>
      <c r="OF448"/>
      <c r="OG448"/>
      <c r="OH448"/>
      <c r="OI448"/>
      <c r="OJ448"/>
      <c r="OK448"/>
      <c r="OL448"/>
      <c r="OM448"/>
      <c r="ON448"/>
      <c r="OO448"/>
      <c r="OP448"/>
      <c r="OQ448"/>
      <c r="OR448"/>
      <c r="OS448"/>
      <c r="OT448"/>
      <c r="OU448"/>
      <c r="OV448"/>
      <c r="OW448"/>
      <c r="OX448"/>
      <c r="OY448"/>
      <c r="OZ448"/>
      <c r="PA448"/>
      <c r="PB448"/>
      <c r="PC448"/>
      <c r="PD448"/>
      <c r="PE448"/>
      <c r="PF448"/>
      <c r="PG448"/>
      <c r="PH448"/>
      <c r="PI448"/>
      <c r="PJ448"/>
      <c r="PK448"/>
      <c r="PL448"/>
      <c r="PM448"/>
      <c r="PN448"/>
      <c r="PO448"/>
      <c r="PP448"/>
      <c r="PQ448"/>
      <c r="PR448"/>
      <c r="PS448"/>
      <c r="PT448"/>
      <c r="PU448"/>
      <c r="PV448"/>
      <c r="PW448"/>
      <c r="PX448"/>
      <c r="PY448"/>
      <c r="PZ448"/>
      <c r="QA448"/>
      <c r="QB448"/>
      <c r="QC448"/>
      <c r="QD448"/>
      <c r="QE448"/>
      <c r="QF448"/>
      <c r="QG448"/>
      <c r="QH448"/>
      <c r="QI448"/>
      <c r="QJ448"/>
      <c r="QK448"/>
      <c r="QL448"/>
      <c r="QM448"/>
      <c r="QN448"/>
      <c r="QO448"/>
      <c r="QP448"/>
      <c r="QQ448"/>
      <c r="QR448"/>
      <c r="QS448"/>
      <c r="QT448"/>
      <c r="QU448"/>
      <c r="QV448"/>
      <c r="QW448"/>
      <c r="QX448"/>
      <c r="QY448"/>
      <c r="QZ448"/>
      <c r="RA448"/>
      <c r="RB448"/>
      <c r="RC448"/>
      <c r="RD448"/>
      <c r="RE448"/>
      <c r="RF448"/>
      <c r="RG448"/>
      <c r="RH448"/>
      <c r="RI448"/>
      <c r="RJ448"/>
      <c r="RK448"/>
      <c r="RL448"/>
      <c r="RM448"/>
      <c r="RN448"/>
      <c r="RO448"/>
      <c r="RP448"/>
      <c r="RQ448"/>
      <c r="RR448"/>
      <c r="RS448"/>
      <c r="RT448"/>
      <c r="RU448"/>
      <c r="RV448"/>
      <c r="RW448"/>
      <c r="RX448"/>
      <c r="RY448"/>
      <c r="RZ448"/>
      <c r="SA448"/>
      <c r="SB448"/>
      <c r="SC448"/>
      <c r="SD448"/>
      <c r="SE448"/>
      <c r="SF448"/>
      <c r="SG448"/>
      <c r="SH448"/>
      <c r="SI448"/>
      <c r="SJ448"/>
      <c r="SK448"/>
      <c r="SL448"/>
      <c r="SM448"/>
      <c r="SN448"/>
      <c r="SO448"/>
      <c r="SP448"/>
      <c r="SQ448"/>
      <c r="SR448"/>
      <c r="SS448"/>
      <c r="ST448"/>
      <c r="SU448"/>
      <c r="SV448"/>
      <c r="SW448"/>
      <c r="SX448"/>
      <c r="SY448"/>
      <c r="SZ448"/>
      <c r="TA448"/>
      <c r="TB448"/>
      <c r="TC448"/>
      <c r="TD448"/>
      <c r="TE448"/>
      <c r="TF448"/>
      <c r="TG448"/>
      <c r="TH448"/>
    </row>
    <row r="449" spans="3:528" x14ac:dyDescent="0.25">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c r="KT449"/>
      <c r="KU449"/>
      <c r="KV449"/>
      <c r="KW449"/>
      <c r="KX449"/>
      <c r="KY449"/>
      <c r="KZ449"/>
      <c r="LA449"/>
      <c r="LB449"/>
      <c r="LC449"/>
      <c r="LD449"/>
      <c r="LE449"/>
      <c r="LF449"/>
      <c r="LG449"/>
      <c r="LH449"/>
      <c r="LI449"/>
      <c r="LJ449"/>
      <c r="LK449"/>
      <c r="LL449"/>
      <c r="LM449"/>
      <c r="LN449"/>
      <c r="LO449"/>
      <c r="LP449"/>
      <c r="LQ449"/>
      <c r="LR449"/>
      <c r="LS449"/>
      <c r="LT449"/>
      <c r="LU449"/>
      <c r="LV449"/>
      <c r="LW449"/>
      <c r="LX449"/>
      <c r="LY449"/>
      <c r="LZ449"/>
      <c r="MA449"/>
      <c r="MB449"/>
      <c r="MC449"/>
      <c r="MD449"/>
      <c r="ME449"/>
      <c r="MF449"/>
      <c r="MG449"/>
      <c r="MH449"/>
      <c r="MI449"/>
      <c r="MJ449"/>
      <c r="MK449"/>
      <c r="ML449"/>
      <c r="MM449"/>
      <c r="MN449"/>
      <c r="MO449"/>
      <c r="MP449"/>
      <c r="MQ449"/>
      <c r="MR449"/>
      <c r="MS449"/>
      <c r="MT449"/>
      <c r="MU449"/>
      <c r="MV449"/>
      <c r="MW449"/>
      <c r="MX449"/>
      <c r="MY449"/>
      <c r="MZ449"/>
      <c r="NA449"/>
      <c r="NB449"/>
      <c r="NC449"/>
      <c r="ND449"/>
      <c r="NE449"/>
      <c r="NF449"/>
      <c r="NG449"/>
      <c r="NH449"/>
      <c r="NI449"/>
      <c r="NJ449"/>
      <c r="NK449"/>
      <c r="NL449"/>
      <c r="NM449"/>
      <c r="NN449"/>
      <c r="NO449"/>
      <c r="NP449"/>
      <c r="NQ449"/>
      <c r="NR449"/>
      <c r="NS449"/>
      <c r="NT449"/>
      <c r="NU449"/>
      <c r="NV449"/>
      <c r="NW449"/>
      <c r="NX449"/>
      <c r="NY449"/>
      <c r="NZ449"/>
      <c r="OA449"/>
      <c r="OB449"/>
      <c r="OC449"/>
      <c r="OD449"/>
      <c r="OE449"/>
      <c r="OF449"/>
      <c r="OG449"/>
      <c r="OH449"/>
      <c r="OI449"/>
      <c r="OJ449"/>
      <c r="OK449"/>
      <c r="OL449"/>
      <c r="OM449"/>
      <c r="ON449"/>
      <c r="OO449"/>
      <c r="OP449"/>
      <c r="OQ449"/>
      <c r="OR449"/>
      <c r="OS449"/>
      <c r="OT449"/>
      <c r="OU449"/>
      <c r="OV449"/>
      <c r="OW449"/>
      <c r="OX449"/>
      <c r="OY449"/>
      <c r="OZ449"/>
      <c r="PA449"/>
      <c r="PB449"/>
      <c r="PC449"/>
      <c r="PD449"/>
      <c r="PE449"/>
      <c r="PF449"/>
      <c r="PG449"/>
      <c r="PH449"/>
      <c r="PI449"/>
      <c r="PJ449"/>
      <c r="PK449"/>
      <c r="PL449"/>
      <c r="PM449"/>
      <c r="PN449"/>
      <c r="PO449"/>
      <c r="PP449"/>
      <c r="PQ449"/>
      <c r="PR449"/>
      <c r="PS449"/>
      <c r="PT449"/>
      <c r="PU449"/>
      <c r="PV449"/>
      <c r="PW449"/>
      <c r="PX449"/>
      <c r="PY449"/>
      <c r="PZ449"/>
      <c r="QA449"/>
      <c r="QB449"/>
      <c r="QC449"/>
      <c r="QD449"/>
      <c r="QE449"/>
      <c r="QF449"/>
      <c r="QG449"/>
      <c r="QH449"/>
      <c r="QI449"/>
      <c r="QJ449"/>
      <c r="QK449"/>
      <c r="QL449"/>
      <c r="QM449"/>
      <c r="QN449"/>
      <c r="QO449"/>
      <c r="QP449"/>
      <c r="QQ449"/>
      <c r="QR449"/>
      <c r="QS449"/>
      <c r="QT449"/>
      <c r="QU449"/>
      <c r="QV449"/>
      <c r="QW449"/>
      <c r="QX449"/>
      <c r="QY449"/>
      <c r="QZ449"/>
      <c r="RA449"/>
      <c r="RB449"/>
      <c r="RC449"/>
      <c r="RD449"/>
      <c r="RE449"/>
      <c r="RF449"/>
      <c r="RG449"/>
      <c r="RH449"/>
      <c r="RI449"/>
      <c r="RJ449"/>
      <c r="RK449"/>
      <c r="RL449"/>
      <c r="RM449"/>
      <c r="RN449"/>
      <c r="RO449"/>
      <c r="RP449"/>
      <c r="RQ449"/>
      <c r="RR449"/>
      <c r="RS449"/>
      <c r="RT449"/>
      <c r="RU449"/>
      <c r="RV449"/>
      <c r="RW449"/>
      <c r="RX449"/>
      <c r="RY449"/>
      <c r="RZ449"/>
      <c r="SA449"/>
      <c r="SB449"/>
      <c r="SC449"/>
      <c r="SD449"/>
      <c r="SE449"/>
      <c r="SF449"/>
      <c r="SG449"/>
      <c r="SH449"/>
      <c r="SI449"/>
      <c r="SJ449"/>
      <c r="SK449"/>
      <c r="SL449"/>
      <c r="SM449"/>
      <c r="SN449"/>
      <c r="SO449"/>
      <c r="SP449"/>
      <c r="SQ449"/>
      <c r="SR449"/>
      <c r="SS449"/>
      <c r="ST449"/>
      <c r="SU449"/>
      <c r="SV449"/>
      <c r="SW449"/>
      <c r="SX449"/>
      <c r="SY449"/>
      <c r="SZ449"/>
      <c r="TA449"/>
      <c r="TB449"/>
      <c r="TC449"/>
      <c r="TD449"/>
      <c r="TE449"/>
      <c r="TF449"/>
      <c r="TG449"/>
      <c r="TH449"/>
    </row>
    <row r="450" spans="3:528" x14ac:dyDescent="0.25">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c r="KT450"/>
      <c r="KU450"/>
      <c r="KV450"/>
      <c r="KW450"/>
      <c r="KX450"/>
      <c r="KY450"/>
      <c r="KZ450"/>
      <c r="LA450"/>
      <c r="LB450"/>
      <c r="LC450"/>
      <c r="LD450"/>
      <c r="LE450"/>
      <c r="LF450"/>
      <c r="LG450"/>
      <c r="LH450"/>
      <c r="LI450"/>
      <c r="LJ450"/>
      <c r="LK450"/>
      <c r="LL450"/>
      <c r="LM450"/>
      <c r="LN450"/>
      <c r="LO450"/>
      <c r="LP450"/>
      <c r="LQ450"/>
      <c r="LR450"/>
      <c r="LS450"/>
      <c r="LT450"/>
      <c r="LU450"/>
      <c r="LV450"/>
      <c r="LW450"/>
      <c r="LX450"/>
      <c r="LY450"/>
      <c r="LZ450"/>
      <c r="MA450"/>
      <c r="MB450"/>
      <c r="MC450"/>
      <c r="MD450"/>
      <c r="ME450"/>
      <c r="MF450"/>
      <c r="MG450"/>
      <c r="MH450"/>
      <c r="MI450"/>
      <c r="MJ450"/>
      <c r="MK450"/>
      <c r="ML450"/>
      <c r="MM450"/>
      <c r="MN450"/>
      <c r="MO450"/>
      <c r="MP450"/>
      <c r="MQ450"/>
      <c r="MR450"/>
      <c r="MS450"/>
      <c r="MT450"/>
      <c r="MU450"/>
      <c r="MV450"/>
      <c r="MW450"/>
      <c r="MX450"/>
      <c r="MY450"/>
      <c r="MZ450"/>
      <c r="NA450"/>
      <c r="NB450"/>
      <c r="NC450"/>
      <c r="ND450"/>
      <c r="NE450"/>
      <c r="NF450"/>
      <c r="NG450"/>
      <c r="NH450"/>
      <c r="NI450"/>
      <c r="NJ450"/>
      <c r="NK450"/>
      <c r="NL450"/>
      <c r="NM450"/>
      <c r="NN450"/>
      <c r="NO450"/>
      <c r="NP450"/>
      <c r="NQ450"/>
      <c r="NR450"/>
      <c r="NS450"/>
      <c r="NT450"/>
      <c r="NU450"/>
      <c r="NV450"/>
      <c r="NW450"/>
      <c r="NX450"/>
      <c r="NY450"/>
      <c r="NZ450"/>
      <c r="OA450"/>
      <c r="OB450"/>
      <c r="OC450"/>
      <c r="OD450"/>
      <c r="OE450"/>
      <c r="OF450"/>
      <c r="OG450"/>
      <c r="OH450"/>
      <c r="OI450"/>
      <c r="OJ450"/>
      <c r="OK450"/>
      <c r="OL450"/>
      <c r="OM450"/>
      <c r="ON450"/>
      <c r="OO450"/>
      <c r="OP450"/>
      <c r="OQ450"/>
      <c r="OR450"/>
      <c r="OS450"/>
      <c r="OT450"/>
      <c r="OU450"/>
      <c r="OV450"/>
      <c r="OW450"/>
      <c r="OX450"/>
      <c r="OY450"/>
      <c r="OZ450"/>
      <c r="PA450"/>
      <c r="PB450"/>
      <c r="PC450"/>
      <c r="PD450"/>
      <c r="PE450"/>
      <c r="PF450"/>
      <c r="PG450"/>
      <c r="PH450"/>
      <c r="PI450"/>
      <c r="PJ450"/>
      <c r="PK450"/>
      <c r="PL450"/>
      <c r="PM450"/>
      <c r="PN450"/>
      <c r="PO450"/>
      <c r="PP450"/>
      <c r="PQ450"/>
      <c r="PR450"/>
      <c r="PS450"/>
      <c r="PT450"/>
      <c r="PU450"/>
      <c r="PV450"/>
      <c r="PW450"/>
      <c r="PX450"/>
      <c r="PY450"/>
      <c r="PZ450"/>
      <c r="QA450"/>
      <c r="QB450"/>
      <c r="QC450"/>
      <c r="QD450"/>
      <c r="QE450"/>
      <c r="QF450"/>
      <c r="QG450"/>
      <c r="QH450"/>
      <c r="QI450"/>
      <c r="QJ450"/>
      <c r="QK450"/>
      <c r="QL450"/>
      <c r="QM450"/>
      <c r="QN450"/>
      <c r="QO450"/>
      <c r="QP450"/>
      <c r="QQ450"/>
      <c r="QR450"/>
      <c r="QS450"/>
      <c r="QT450"/>
      <c r="QU450"/>
      <c r="QV450"/>
      <c r="QW450"/>
      <c r="QX450"/>
      <c r="QY450"/>
      <c r="QZ450"/>
      <c r="RA450"/>
      <c r="RB450"/>
      <c r="RC450"/>
      <c r="RD450"/>
      <c r="RE450"/>
      <c r="RF450"/>
      <c r="RG450"/>
      <c r="RH450"/>
      <c r="RI450"/>
      <c r="RJ450"/>
      <c r="RK450"/>
      <c r="RL450"/>
      <c r="RM450"/>
      <c r="RN450"/>
      <c r="RO450"/>
      <c r="RP450"/>
      <c r="RQ450"/>
      <c r="RR450"/>
      <c r="RS450"/>
      <c r="RT450"/>
      <c r="RU450"/>
      <c r="RV450"/>
      <c r="RW450"/>
      <c r="RX450"/>
      <c r="RY450"/>
      <c r="RZ450"/>
      <c r="SA450"/>
      <c r="SB450"/>
      <c r="SC450"/>
      <c r="SD450"/>
      <c r="SE450"/>
      <c r="SF450"/>
      <c r="SG450"/>
      <c r="SH450"/>
      <c r="SI450"/>
      <c r="SJ450"/>
      <c r="SK450"/>
      <c r="SL450"/>
      <c r="SM450"/>
      <c r="SN450"/>
      <c r="SO450"/>
      <c r="SP450"/>
      <c r="SQ450"/>
      <c r="SR450"/>
      <c r="SS450"/>
      <c r="ST450"/>
      <c r="SU450"/>
      <c r="SV450"/>
      <c r="SW450"/>
      <c r="SX450"/>
      <c r="SY450"/>
      <c r="SZ450"/>
      <c r="TA450"/>
      <c r="TB450"/>
      <c r="TC450"/>
      <c r="TD450"/>
      <c r="TE450"/>
      <c r="TF450"/>
      <c r="TG450"/>
      <c r="TH450"/>
    </row>
    <row r="451" spans="3:528" x14ac:dyDescent="0.25">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c r="KT451"/>
      <c r="KU451"/>
      <c r="KV451"/>
      <c r="KW451"/>
      <c r="KX451"/>
      <c r="KY451"/>
      <c r="KZ451"/>
      <c r="LA451"/>
      <c r="LB451"/>
      <c r="LC451"/>
      <c r="LD451"/>
      <c r="LE451"/>
      <c r="LF451"/>
      <c r="LG451"/>
      <c r="LH451"/>
      <c r="LI451"/>
      <c r="LJ451"/>
      <c r="LK451"/>
      <c r="LL451"/>
      <c r="LM451"/>
      <c r="LN451"/>
      <c r="LO451"/>
      <c r="LP451"/>
      <c r="LQ451"/>
      <c r="LR451"/>
      <c r="LS451"/>
      <c r="LT451"/>
      <c r="LU451"/>
      <c r="LV451"/>
      <c r="LW451"/>
      <c r="LX451"/>
      <c r="LY451"/>
      <c r="LZ451"/>
      <c r="MA451"/>
      <c r="MB451"/>
      <c r="MC451"/>
      <c r="MD451"/>
      <c r="ME451"/>
      <c r="MF451"/>
      <c r="MG451"/>
      <c r="MH451"/>
      <c r="MI451"/>
      <c r="MJ451"/>
      <c r="MK451"/>
      <c r="ML451"/>
      <c r="MM451"/>
      <c r="MN451"/>
      <c r="MO451"/>
      <c r="MP451"/>
      <c r="MQ451"/>
      <c r="MR451"/>
      <c r="MS451"/>
      <c r="MT451"/>
      <c r="MU451"/>
      <c r="MV451"/>
      <c r="MW451"/>
      <c r="MX451"/>
      <c r="MY451"/>
      <c r="MZ451"/>
      <c r="NA451"/>
      <c r="NB451"/>
      <c r="NC451"/>
      <c r="ND451"/>
      <c r="NE451"/>
      <c r="NF451"/>
      <c r="NG451"/>
      <c r="NH451"/>
      <c r="NI451"/>
      <c r="NJ451"/>
      <c r="NK451"/>
      <c r="NL451"/>
      <c r="NM451"/>
      <c r="NN451"/>
      <c r="NO451"/>
      <c r="NP451"/>
      <c r="NQ451"/>
      <c r="NR451"/>
      <c r="NS451"/>
      <c r="NT451"/>
      <c r="NU451"/>
      <c r="NV451"/>
      <c r="NW451"/>
      <c r="NX451"/>
      <c r="NY451"/>
      <c r="NZ451"/>
      <c r="OA451"/>
      <c r="OB451"/>
      <c r="OC451"/>
      <c r="OD451"/>
      <c r="OE451"/>
      <c r="OF451"/>
      <c r="OG451"/>
      <c r="OH451"/>
      <c r="OI451"/>
      <c r="OJ451"/>
      <c r="OK451"/>
      <c r="OL451"/>
      <c r="OM451"/>
      <c r="ON451"/>
      <c r="OO451"/>
      <c r="OP451"/>
      <c r="OQ451"/>
      <c r="OR451"/>
      <c r="OS451"/>
      <c r="OT451"/>
      <c r="OU451"/>
      <c r="OV451"/>
      <c r="OW451"/>
      <c r="OX451"/>
      <c r="OY451"/>
      <c r="OZ451"/>
      <c r="PA451"/>
      <c r="PB451"/>
      <c r="PC451"/>
      <c r="PD451"/>
      <c r="PE451"/>
      <c r="PF451"/>
      <c r="PG451"/>
      <c r="PH451"/>
      <c r="PI451"/>
      <c r="PJ451"/>
      <c r="PK451"/>
      <c r="PL451"/>
      <c r="PM451"/>
      <c r="PN451"/>
      <c r="PO451"/>
      <c r="PP451"/>
      <c r="PQ451"/>
      <c r="PR451"/>
      <c r="PS451"/>
      <c r="PT451"/>
      <c r="PU451"/>
      <c r="PV451"/>
      <c r="PW451"/>
      <c r="PX451"/>
      <c r="PY451"/>
      <c r="PZ451"/>
      <c r="QA451"/>
      <c r="QB451"/>
      <c r="QC451"/>
      <c r="QD451"/>
      <c r="QE451"/>
      <c r="QF451"/>
      <c r="QG451"/>
      <c r="QH451"/>
      <c r="QI451"/>
      <c r="QJ451"/>
      <c r="QK451"/>
      <c r="QL451"/>
      <c r="QM451"/>
      <c r="QN451"/>
      <c r="QO451"/>
      <c r="QP451"/>
      <c r="QQ451"/>
      <c r="QR451"/>
      <c r="QS451"/>
      <c r="QT451"/>
      <c r="QU451"/>
      <c r="QV451"/>
      <c r="QW451"/>
      <c r="QX451"/>
      <c r="QY451"/>
      <c r="QZ451"/>
      <c r="RA451"/>
      <c r="RB451"/>
      <c r="RC451"/>
      <c r="RD451"/>
      <c r="RE451"/>
      <c r="RF451"/>
      <c r="RG451"/>
      <c r="RH451"/>
      <c r="RI451"/>
      <c r="RJ451"/>
      <c r="RK451"/>
      <c r="RL451"/>
      <c r="RM451"/>
      <c r="RN451"/>
      <c r="RO451"/>
      <c r="RP451"/>
      <c r="RQ451"/>
      <c r="RR451"/>
      <c r="RS451"/>
      <c r="RT451"/>
      <c r="RU451"/>
      <c r="RV451"/>
      <c r="RW451"/>
      <c r="RX451"/>
      <c r="RY451"/>
      <c r="RZ451"/>
      <c r="SA451"/>
      <c r="SB451"/>
      <c r="SC451"/>
      <c r="SD451"/>
      <c r="SE451"/>
      <c r="SF451"/>
      <c r="SG451"/>
      <c r="SH451"/>
      <c r="SI451"/>
      <c r="SJ451"/>
      <c r="SK451"/>
      <c r="SL451"/>
      <c r="SM451"/>
      <c r="SN451"/>
      <c r="SO451"/>
      <c r="SP451"/>
      <c r="SQ451"/>
      <c r="SR451"/>
      <c r="SS451"/>
      <c r="ST451"/>
      <c r="SU451"/>
      <c r="SV451"/>
      <c r="SW451"/>
      <c r="SX451"/>
      <c r="SY451"/>
      <c r="SZ451"/>
      <c r="TA451"/>
      <c r="TB451"/>
      <c r="TC451"/>
      <c r="TD451"/>
      <c r="TE451"/>
      <c r="TF451"/>
      <c r="TG451"/>
      <c r="TH451"/>
    </row>
    <row r="452" spans="3:528" x14ac:dyDescent="0.25">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c r="KT452"/>
      <c r="KU452"/>
      <c r="KV452"/>
      <c r="KW452"/>
      <c r="KX452"/>
      <c r="KY452"/>
      <c r="KZ452"/>
      <c r="LA452"/>
      <c r="LB452"/>
      <c r="LC452"/>
      <c r="LD452"/>
      <c r="LE452"/>
      <c r="LF452"/>
      <c r="LG452"/>
      <c r="LH452"/>
      <c r="LI452"/>
      <c r="LJ452"/>
      <c r="LK452"/>
      <c r="LL452"/>
      <c r="LM452"/>
      <c r="LN452"/>
      <c r="LO452"/>
      <c r="LP452"/>
      <c r="LQ452"/>
      <c r="LR452"/>
      <c r="LS452"/>
      <c r="LT452"/>
      <c r="LU452"/>
      <c r="LV452"/>
      <c r="LW452"/>
      <c r="LX452"/>
      <c r="LY452"/>
      <c r="LZ452"/>
      <c r="MA452"/>
      <c r="MB452"/>
      <c r="MC452"/>
      <c r="MD452"/>
      <c r="ME452"/>
      <c r="MF452"/>
      <c r="MG452"/>
      <c r="MH452"/>
      <c r="MI452"/>
      <c r="MJ452"/>
      <c r="MK452"/>
      <c r="ML452"/>
      <c r="MM452"/>
      <c r="MN452"/>
      <c r="MO452"/>
      <c r="MP452"/>
      <c r="MQ452"/>
      <c r="MR452"/>
      <c r="MS452"/>
      <c r="MT452"/>
      <c r="MU452"/>
      <c r="MV452"/>
      <c r="MW452"/>
      <c r="MX452"/>
      <c r="MY452"/>
      <c r="MZ452"/>
      <c r="NA452"/>
      <c r="NB452"/>
      <c r="NC452"/>
      <c r="ND452"/>
      <c r="NE452"/>
      <c r="NF452"/>
      <c r="NG452"/>
      <c r="NH452"/>
      <c r="NI452"/>
      <c r="NJ452"/>
      <c r="NK452"/>
      <c r="NL452"/>
      <c r="NM452"/>
      <c r="NN452"/>
      <c r="NO452"/>
      <c r="NP452"/>
      <c r="NQ452"/>
      <c r="NR452"/>
      <c r="NS452"/>
      <c r="NT452"/>
      <c r="NU452"/>
      <c r="NV452"/>
      <c r="NW452"/>
      <c r="NX452"/>
      <c r="NY452"/>
      <c r="NZ452"/>
      <c r="OA452"/>
      <c r="OB452"/>
      <c r="OC452"/>
      <c r="OD452"/>
      <c r="OE452"/>
      <c r="OF452"/>
      <c r="OG452"/>
      <c r="OH452"/>
      <c r="OI452"/>
      <c r="OJ452"/>
      <c r="OK452"/>
      <c r="OL452"/>
      <c r="OM452"/>
      <c r="ON452"/>
      <c r="OO452"/>
      <c r="OP452"/>
      <c r="OQ452"/>
      <c r="OR452"/>
      <c r="OS452"/>
      <c r="OT452"/>
      <c r="OU452"/>
      <c r="OV452"/>
      <c r="OW452"/>
      <c r="OX452"/>
      <c r="OY452"/>
      <c r="OZ452"/>
      <c r="PA452"/>
      <c r="PB452"/>
      <c r="PC452"/>
      <c r="PD452"/>
      <c r="PE452"/>
      <c r="PF452"/>
      <c r="PG452"/>
      <c r="PH452"/>
      <c r="PI452"/>
      <c r="PJ452"/>
      <c r="PK452"/>
      <c r="PL452"/>
      <c r="PM452"/>
      <c r="PN452"/>
      <c r="PO452"/>
      <c r="PP452"/>
      <c r="PQ452"/>
      <c r="PR452"/>
      <c r="PS452"/>
      <c r="PT452"/>
      <c r="PU452"/>
      <c r="PV452"/>
      <c r="PW452"/>
      <c r="PX452"/>
      <c r="PY452"/>
      <c r="PZ452"/>
      <c r="QA452"/>
      <c r="QB452"/>
      <c r="QC452"/>
      <c r="QD452"/>
      <c r="QE452"/>
      <c r="QF452"/>
      <c r="QG452"/>
      <c r="QH452"/>
      <c r="QI452"/>
      <c r="QJ452"/>
      <c r="QK452"/>
      <c r="QL452"/>
      <c r="QM452"/>
      <c r="QN452"/>
      <c r="QO452"/>
      <c r="QP452"/>
      <c r="QQ452"/>
      <c r="QR452"/>
      <c r="QS452"/>
      <c r="QT452"/>
      <c r="QU452"/>
      <c r="QV452"/>
      <c r="QW452"/>
      <c r="QX452"/>
      <c r="QY452"/>
      <c r="QZ452"/>
      <c r="RA452"/>
      <c r="RB452"/>
      <c r="RC452"/>
      <c r="RD452"/>
      <c r="RE452"/>
      <c r="RF452"/>
      <c r="RG452"/>
      <c r="RH452"/>
      <c r="RI452"/>
      <c r="RJ452"/>
      <c r="RK452"/>
      <c r="RL452"/>
      <c r="RM452"/>
      <c r="RN452"/>
      <c r="RO452"/>
      <c r="RP452"/>
      <c r="RQ452"/>
      <c r="RR452"/>
      <c r="RS452"/>
      <c r="RT452"/>
      <c r="RU452"/>
      <c r="RV452"/>
      <c r="RW452"/>
      <c r="RX452"/>
      <c r="RY452"/>
      <c r="RZ452"/>
      <c r="SA452"/>
      <c r="SB452"/>
      <c r="SC452"/>
      <c r="SD452"/>
      <c r="SE452"/>
      <c r="SF452"/>
      <c r="SG452"/>
      <c r="SH452"/>
      <c r="SI452"/>
      <c r="SJ452"/>
      <c r="SK452"/>
      <c r="SL452"/>
      <c r="SM452"/>
      <c r="SN452"/>
      <c r="SO452"/>
      <c r="SP452"/>
      <c r="SQ452"/>
      <c r="SR452"/>
      <c r="SS452"/>
      <c r="ST452"/>
      <c r="SU452"/>
      <c r="SV452"/>
      <c r="SW452"/>
      <c r="SX452"/>
      <c r="SY452"/>
      <c r="SZ452"/>
      <c r="TA452"/>
      <c r="TB452"/>
      <c r="TC452"/>
      <c r="TD452"/>
      <c r="TE452"/>
      <c r="TF452"/>
      <c r="TG452"/>
      <c r="TH452"/>
    </row>
    <row r="453" spans="3:528" x14ac:dyDescent="0.25">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c r="KT453"/>
      <c r="KU453"/>
      <c r="KV453"/>
      <c r="KW453"/>
      <c r="KX453"/>
      <c r="KY453"/>
      <c r="KZ453"/>
      <c r="LA453"/>
      <c r="LB453"/>
      <c r="LC453"/>
      <c r="LD453"/>
      <c r="LE453"/>
      <c r="LF453"/>
      <c r="LG453"/>
      <c r="LH453"/>
      <c r="LI453"/>
      <c r="LJ453"/>
      <c r="LK453"/>
      <c r="LL453"/>
      <c r="LM453"/>
      <c r="LN453"/>
      <c r="LO453"/>
      <c r="LP453"/>
      <c r="LQ453"/>
      <c r="LR453"/>
      <c r="LS453"/>
      <c r="LT453"/>
      <c r="LU453"/>
      <c r="LV453"/>
      <c r="LW453"/>
      <c r="LX453"/>
      <c r="LY453"/>
      <c r="LZ453"/>
      <c r="MA453"/>
      <c r="MB453"/>
      <c r="MC453"/>
      <c r="MD453"/>
      <c r="ME453"/>
      <c r="MF453"/>
      <c r="MG453"/>
      <c r="MH453"/>
      <c r="MI453"/>
      <c r="MJ453"/>
      <c r="MK453"/>
      <c r="ML453"/>
      <c r="MM453"/>
      <c r="MN453"/>
      <c r="MO453"/>
      <c r="MP453"/>
      <c r="MQ453"/>
      <c r="MR453"/>
      <c r="MS453"/>
      <c r="MT453"/>
      <c r="MU453"/>
      <c r="MV453"/>
      <c r="MW453"/>
      <c r="MX453"/>
      <c r="MY453"/>
      <c r="MZ453"/>
      <c r="NA453"/>
      <c r="NB453"/>
      <c r="NC453"/>
      <c r="ND453"/>
      <c r="NE453"/>
      <c r="NF453"/>
      <c r="NG453"/>
      <c r="NH453"/>
      <c r="NI453"/>
      <c r="NJ453"/>
      <c r="NK453"/>
      <c r="NL453"/>
      <c r="NM453"/>
      <c r="NN453"/>
      <c r="NO453"/>
      <c r="NP453"/>
      <c r="NQ453"/>
      <c r="NR453"/>
      <c r="NS453"/>
      <c r="NT453"/>
      <c r="NU453"/>
      <c r="NV453"/>
      <c r="NW453"/>
      <c r="NX453"/>
      <c r="NY453"/>
      <c r="NZ453"/>
      <c r="OA453"/>
      <c r="OB453"/>
      <c r="OC453"/>
      <c r="OD453"/>
      <c r="OE453"/>
      <c r="OF453"/>
      <c r="OG453"/>
      <c r="OH453"/>
      <c r="OI453"/>
      <c r="OJ453"/>
      <c r="OK453"/>
      <c r="OL453"/>
      <c r="OM453"/>
      <c r="ON453"/>
      <c r="OO453"/>
      <c r="OP453"/>
      <c r="OQ453"/>
      <c r="OR453"/>
      <c r="OS453"/>
      <c r="OT453"/>
      <c r="OU453"/>
      <c r="OV453"/>
      <c r="OW453"/>
      <c r="OX453"/>
      <c r="OY453"/>
      <c r="OZ453"/>
      <c r="PA453"/>
      <c r="PB453"/>
      <c r="PC453"/>
      <c r="PD453"/>
      <c r="PE453"/>
      <c r="PF453"/>
      <c r="PG453"/>
      <c r="PH453"/>
      <c r="PI453"/>
      <c r="PJ453"/>
      <c r="PK453"/>
      <c r="PL453"/>
      <c r="PM453"/>
      <c r="PN453"/>
      <c r="PO453"/>
      <c r="PP453"/>
      <c r="PQ453"/>
      <c r="PR453"/>
      <c r="PS453"/>
      <c r="PT453"/>
      <c r="PU453"/>
      <c r="PV453"/>
      <c r="PW453"/>
      <c r="PX453"/>
      <c r="PY453"/>
      <c r="PZ453"/>
      <c r="QA453"/>
      <c r="QB453"/>
      <c r="QC453"/>
      <c r="QD453"/>
      <c r="QE453"/>
      <c r="QF453"/>
      <c r="QG453"/>
      <c r="QH453"/>
      <c r="QI453"/>
      <c r="QJ453"/>
      <c r="QK453"/>
      <c r="QL453"/>
      <c r="QM453"/>
      <c r="QN453"/>
      <c r="QO453"/>
      <c r="QP453"/>
      <c r="QQ453"/>
      <c r="QR453"/>
      <c r="QS453"/>
      <c r="QT453"/>
      <c r="QU453"/>
      <c r="QV453"/>
      <c r="QW453"/>
      <c r="QX453"/>
      <c r="QY453"/>
      <c r="QZ453"/>
      <c r="RA453"/>
      <c r="RB453"/>
      <c r="RC453"/>
      <c r="RD453"/>
      <c r="RE453"/>
      <c r="RF453"/>
      <c r="RG453"/>
      <c r="RH453"/>
      <c r="RI453"/>
      <c r="RJ453"/>
      <c r="RK453"/>
      <c r="RL453"/>
      <c r="RM453"/>
      <c r="RN453"/>
      <c r="RO453"/>
      <c r="RP453"/>
      <c r="RQ453"/>
      <c r="RR453"/>
      <c r="RS453"/>
      <c r="RT453"/>
      <c r="RU453"/>
      <c r="RV453"/>
      <c r="RW453"/>
      <c r="RX453"/>
      <c r="RY453"/>
      <c r="RZ453"/>
      <c r="SA453"/>
      <c r="SB453"/>
      <c r="SC453"/>
      <c r="SD453"/>
      <c r="SE453"/>
      <c r="SF453"/>
      <c r="SG453"/>
      <c r="SH453"/>
      <c r="SI453"/>
      <c r="SJ453"/>
      <c r="SK453"/>
      <c r="SL453"/>
      <c r="SM453"/>
      <c r="SN453"/>
      <c r="SO453"/>
      <c r="SP453"/>
      <c r="SQ453"/>
      <c r="SR453"/>
      <c r="SS453"/>
      <c r="ST453"/>
      <c r="SU453"/>
      <c r="SV453"/>
      <c r="SW453"/>
      <c r="SX453"/>
      <c r="SY453"/>
      <c r="SZ453"/>
      <c r="TA453"/>
      <c r="TB453"/>
      <c r="TC453"/>
      <c r="TD453"/>
      <c r="TE453"/>
      <c r="TF453"/>
      <c r="TG453"/>
      <c r="TH453"/>
    </row>
    <row r="454" spans="3:528" x14ac:dyDescent="0.25">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c r="KT454"/>
      <c r="KU454"/>
      <c r="KV454"/>
      <c r="KW454"/>
      <c r="KX454"/>
      <c r="KY454"/>
      <c r="KZ454"/>
      <c r="LA454"/>
      <c r="LB454"/>
      <c r="LC454"/>
      <c r="LD454"/>
      <c r="LE454"/>
      <c r="LF454"/>
      <c r="LG454"/>
      <c r="LH454"/>
      <c r="LI454"/>
      <c r="LJ454"/>
      <c r="LK454"/>
      <c r="LL454"/>
      <c r="LM454"/>
      <c r="LN454"/>
      <c r="LO454"/>
      <c r="LP454"/>
      <c r="LQ454"/>
      <c r="LR454"/>
      <c r="LS454"/>
      <c r="LT454"/>
      <c r="LU454"/>
      <c r="LV454"/>
      <c r="LW454"/>
      <c r="LX454"/>
      <c r="LY454"/>
      <c r="LZ454"/>
      <c r="MA454"/>
      <c r="MB454"/>
      <c r="MC454"/>
      <c r="MD454"/>
      <c r="ME454"/>
      <c r="MF454"/>
      <c r="MG454"/>
      <c r="MH454"/>
      <c r="MI454"/>
      <c r="MJ454"/>
      <c r="MK454"/>
      <c r="ML454"/>
      <c r="MM454"/>
      <c r="MN454"/>
      <c r="MO454"/>
      <c r="MP454"/>
      <c r="MQ454"/>
      <c r="MR454"/>
      <c r="MS454"/>
      <c r="MT454"/>
      <c r="MU454"/>
      <c r="MV454"/>
      <c r="MW454"/>
      <c r="MX454"/>
      <c r="MY454"/>
      <c r="MZ454"/>
      <c r="NA454"/>
      <c r="NB454"/>
      <c r="NC454"/>
      <c r="ND454"/>
      <c r="NE454"/>
      <c r="NF454"/>
      <c r="NG454"/>
      <c r="NH454"/>
      <c r="NI454"/>
      <c r="NJ454"/>
      <c r="NK454"/>
      <c r="NL454"/>
      <c r="NM454"/>
      <c r="NN454"/>
      <c r="NO454"/>
      <c r="NP454"/>
      <c r="NQ454"/>
      <c r="NR454"/>
      <c r="NS454"/>
      <c r="NT454"/>
      <c r="NU454"/>
      <c r="NV454"/>
      <c r="NW454"/>
      <c r="NX454"/>
      <c r="NY454"/>
      <c r="NZ454"/>
      <c r="OA454"/>
      <c r="OB454"/>
      <c r="OC454"/>
      <c r="OD454"/>
      <c r="OE454"/>
      <c r="OF454"/>
      <c r="OG454"/>
      <c r="OH454"/>
      <c r="OI454"/>
      <c r="OJ454"/>
      <c r="OK454"/>
      <c r="OL454"/>
      <c r="OM454"/>
      <c r="ON454"/>
      <c r="OO454"/>
      <c r="OP454"/>
      <c r="OQ454"/>
      <c r="OR454"/>
      <c r="OS454"/>
      <c r="OT454"/>
      <c r="OU454"/>
      <c r="OV454"/>
      <c r="OW454"/>
      <c r="OX454"/>
      <c r="OY454"/>
      <c r="OZ454"/>
      <c r="PA454"/>
      <c r="PB454"/>
      <c r="PC454"/>
      <c r="PD454"/>
      <c r="PE454"/>
      <c r="PF454"/>
      <c r="PG454"/>
      <c r="PH454"/>
      <c r="PI454"/>
      <c r="PJ454"/>
      <c r="PK454"/>
      <c r="PL454"/>
      <c r="PM454"/>
      <c r="PN454"/>
      <c r="PO454"/>
      <c r="PP454"/>
      <c r="PQ454"/>
      <c r="PR454"/>
      <c r="PS454"/>
      <c r="PT454"/>
      <c r="PU454"/>
      <c r="PV454"/>
      <c r="PW454"/>
      <c r="PX454"/>
      <c r="PY454"/>
      <c r="PZ454"/>
      <c r="QA454"/>
      <c r="QB454"/>
      <c r="QC454"/>
      <c r="QD454"/>
      <c r="QE454"/>
      <c r="QF454"/>
      <c r="QG454"/>
      <c r="QH454"/>
      <c r="QI454"/>
      <c r="QJ454"/>
      <c r="QK454"/>
      <c r="QL454"/>
      <c r="QM454"/>
      <c r="QN454"/>
      <c r="QO454"/>
      <c r="QP454"/>
      <c r="QQ454"/>
      <c r="QR454"/>
      <c r="QS454"/>
      <c r="QT454"/>
      <c r="QU454"/>
      <c r="QV454"/>
      <c r="QW454"/>
      <c r="QX454"/>
      <c r="QY454"/>
      <c r="QZ454"/>
      <c r="RA454"/>
      <c r="RB454"/>
      <c r="RC454"/>
      <c r="RD454"/>
      <c r="RE454"/>
      <c r="RF454"/>
      <c r="RG454"/>
      <c r="RH454"/>
      <c r="RI454"/>
      <c r="RJ454"/>
      <c r="RK454"/>
      <c r="RL454"/>
      <c r="RM454"/>
      <c r="RN454"/>
      <c r="RO454"/>
      <c r="RP454"/>
      <c r="RQ454"/>
      <c r="RR454"/>
      <c r="RS454"/>
      <c r="RT454"/>
      <c r="RU454"/>
      <c r="RV454"/>
      <c r="RW454"/>
      <c r="RX454"/>
      <c r="RY454"/>
      <c r="RZ454"/>
      <c r="SA454"/>
      <c r="SB454"/>
      <c r="SC454"/>
      <c r="SD454"/>
      <c r="SE454"/>
      <c r="SF454"/>
      <c r="SG454"/>
      <c r="SH454"/>
      <c r="SI454"/>
      <c r="SJ454"/>
      <c r="SK454"/>
      <c r="SL454"/>
      <c r="SM454"/>
      <c r="SN454"/>
      <c r="SO454"/>
      <c r="SP454"/>
      <c r="SQ454"/>
      <c r="SR454"/>
      <c r="SS454"/>
      <c r="ST454"/>
      <c r="SU454"/>
      <c r="SV454"/>
      <c r="SW454"/>
      <c r="SX454"/>
      <c r="SY454"/>
      <c r="SZ454"/>
      <c r="TA454"/>
      <c r="TB454"/>
      <c r="TC454"/>
      <c r="TD454"/>
      <c r="TE454"/>
      <c r="TF454"/>
      <c r="TG454"/>
      <c r="TH454"/>
    </row>
    <row r="455" spans="3:528" x14ac:dyDescent="0.2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c r="KT455"/>
      <c r="KU455"/>
      <c r="KV455"/>
      <c r="KW455"/>
      <c r="KX455"/>
      <c r="KY455"/>
      <c r="KZ455"/>
      <c r="LA455"/>
      <c r="LB455"/>
      <c r="LC455"/>
      <c r="LD455"/>
      <c r="LE455"/>
      <c r="LF455"/>
      <c r="LG455"/>
      <c r="LH455"/>
      <c r="LI455"/>
      <c r="LJ455"/>
      <c r="LK455"/>
      <c r="LL455"/>
      <c r="LM455"/>
      <c r="LN455"/>
      <c r="LO455"/>
      <c r="LP455"/>
      <c r="LQ455"/>
      <c r="LR455"/>
      <c r="LS455"/>
      <c r="LT455"/>
      <c r="LU455"/>
      <c r="LV455"/>
      <c r="LW455"/>
      <c r="LX455"/>
      <c r="LY455"/>
      <c r="LZ455"/>
      <c r="MA455"/>
      <c r="MB455"/>
      <c r="MC455"/>
      <c r="MD455"/>
      <c r="ME455"/>
      <c r="MF455"/>
      <c r="MG455"/>
      <c r="MH455"/>
      <c r="MI455"/>
      <c r="MJ455"/>
      <c r="MK455"/>
      <c r="ML455"/>
      <c r="MM455"/>
      <c r="MN455"/>
      <c r="MO455"/>
      <c r="MP455"/>
      <c r="MQ455"/>
      <c r="MR455"/>
      <c r="MS455"/>
      <c r="MT455"/>
      <c r="MU455"/>
      <c r="MV455"/>
      <c r="MW455"/>
      <c r="MX455"/>
      <c r="MY455"/>
      <c r="MZ455"/>
      <c r="NA455"/>
      <c r="NB455"/>
      <c r="NC455"/>
      <c r="ND455"/>
      <c r="NE455"/>
      <c r="NF455"/>
      <c r="NG455"/>
      <c r="NH455"/>
      <c r="NI455"/>
      <c r="NJ455"/>
      <c r="NK455"/>
      <c r="NL455"/>
      <c r="NM455"/>
      <c r="NN455"/>
      <c r="NO455"/>
      <c r="NP455"/>
      <c r="NQ455"/>
      <c r="NR455"/>
      <c r="NS455"/>
      <c r="NT455"/>
      <c r="NU455"/>
      <c r="NV455"/>
      <c r="NW455"/>
      <c r="NX455"/>
      <c r="NY455"/>
      <c r="NZ455"/>
      <c r="OA455"/>
      <c r="OB455"/>
      <c r="OC455"/>
      <c r="OD455"/>
      <c r="OE455"/>
      <c r="OF455"/>
      <c r="OG455"/>
      <c r="OH455"/>
      <c r="OI455"/>
      <c r="OJ455"/>
      <c r="OK455"/>
      <c r="OL455"/>
      <c r="OM455"/>
      <c r="ON455"/>
      <c r="OO455"/>
      <c r="OP455"/>
      <c r="OQ455"/>
      <c r="OR455"/>
      <c r="OS455"/>
      <c r="OT455"/>
      <c r="OU455"/>
      <c r="OV455"/>
      <c r="OW455"/>
      <c r="OX455"/>
      <c r="OY455"/>
      <c r="OZ455"/>
      <c r="PA455"/>
      <c r="PB455"/>
      <c r="PC455"/>
      <c r="PD455"/>
      <c r="PE455"/>
      <c r="PF455"/>
      <c r="PG455"/>
      <c r="PH455"/>
      <c r="PI455"/>
      <c r="PJ455"/>
      <c r="PK455"/>
      <c r="PL455"/>
      <c r="PM455"/>
      <c r="PN455"/>
      <c r="PO455"/>
      <c r="PP455"/>
      <c r="PQ455"/>
      <c r="PR455"/>
      <c r="PS455"/>
      <c r="PT455"/>
      <c r="PU455"/>
      <c r="PV455"/>
      <c r="PW455"/>
      <c r="PX455"/>
      <c r="PY455"/>
      <c r="PZ455"/>
      <c r="QA455"/>
      <c r="QB455"/>
      <c r="QC455"/>
      <c r="QD455"/>
      <c r="QE455"/>
      <c r="QF455"/>
      <c r="QG455"/>
      <c r="QH455"/>
      <c r="QI455"/>
      <c r="QJ455"/>
      <c r="QK455"/>
      <c r="QL455"/>
      <c r="QM455"/>
      <c r="QN455"/>
      <c r="QO455"/>
      <c r="QP455"/>
      <c r="QQ455"/>
      <c r="QR455"/>
      <c r="QS455"/>
      <c r="QT455"/>
      <c r="QU455"/>
      <c r="QV455"/>
      <c r="QW455"/>
      <c r="QX455"/>
      <c r="QY455"/>
      <c r="QZ455"/>
      <c r="RA455"/>
      <c r="RB455"/>
      <c r="RC455"/>
      <c r="RD455"/>
      <c r="RE455"/>
      <c r="RF455"/>
      <c r="RG455"/>
      <c r="RH455"/>
      <c r="RI455"/>
      <c r="RJ455"/>
      <c r="RK455"/>
      <c r="RL455"/>
      <c r="RM455"/>
      <c r="RN455"/>
      <c r="RO455"/>
      <c r="RP455"/>
      <c r="RQ455"/>
      <c r="RR455"/>
      <c r="RS455"/>
      <c r="RT455"/>
      <c r="RU455"/>
      <c r="RV455"/>
      <c r="RW455"/>
      <c r="RX455"/>
      <c r="RY455"/>
      <c r="RZ455"/>
      <c r="SA455"/>
      <c r="SB455"/>
      <c r="SC455"/>
      <c r="SD455"/>
      <c r="SE455"/>
      <c r="SF455"/>
      <c r="SG455"/>
      <c r="SH455"/>
      <c r="SI455"/>
      <c r="SJ455"/>
      <c r="SK455"/>
      <c r="SL455"/>
      <c r="SM455"/>
      <c r="SN455"/>
      <c r="SO455"/>
      <c r="SP455"/>
      <c r="SQ455"/>
      <c r="SR455"/>
      <c r="SS455"/>
      <c r="ST455"/>
      <c r="SU455"/>
      <c r="SV455"/>
      <c r="SW455"/>
      <c r="SX455"/>
      <c r="SY455"/>
      <c r="SZ455"/>
      <c r="TA455"/>
      <c r="TB455"/>
      <c r="TC455"/>
      <c r="TD455"/>
      <c r="TE455"/>
      <c r="TF455"/>
      <c r="TG455"/>
      <c r="TH455"/>
    </row>
    <row r="456" spans="3:528" x14ac:dyDescent="0.25">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c r="KT456"/>
      <c r="KU456"/>
      <c r="KV456"/>
      <c r="KW456"/>
      <c r="KX456"/>
      <c r="KY456"/>
      <c r="KZ456"/>
      <c r="LA456"/>
      <c r="LB456"/>
      <c r="LC456"/>
      <c r="LD456"/>
      <c r="LE456"/>
      <c r="LF456"/>
      <c r="LG456"/>
      <c r="LH456"/>
      <c r="LI456"/>
      <c r="LJ456"/>
      <c r="LK456"/>
      <c r="LL456"/>
      <c r="LM456"/>
      <c r="LN456"/>
      <c r="LO456"/>
      <c r="LP456"/>
      <c r="LQ456"/>
      <c r="LR456"/>
      <c r="LS456"/>
      <c r="LT456"/>
      <c r="LU456"/>
      <c r="LV456"/>
      <c r="LW456"/>
      <c r="LX456"/>
      <c r="LY456"/>
      <c r="LZ456"/>
      <c r="MA456"/>
      <c r="MB456"/>
      <c r="MC456"/>
      <c r="MD456"/>
      <c r="ME456"/>
      <c r="MF456"/>
      <c r="MG456"/>
      <c r="MH456"/>
      <c r="MI456"/>
      <c r="MJ456"/>
      <c r="MK456"/>
      <c r="ML456"/>
      <c r="MM456"/>
      <c r="MN456"/>
      <c r="MO456"/>
      <c r="MP456"/>
      <c r="MQ456"/>
      <c r="MR456"/>
      <c r="MS456"/>
      <c r="MT456"/>
      <c r="MU456"/>
      <c r="MV456"/>
      <c r="MW456"/>
      <c r="MX456"/>
      <c r="MY456"/>
      <c r="MZ456"/>
      <c r="NA456"/>
      <c r="NB456"/>
      <c r="NC456"/>
      <c r="ND456"/>
      <c r="NE456"/>
      <c r="NF456"/>
      <c r="NG456"/>
      <c r="NH456"/>
      <c r="NI456"/>
      <c r="NJ456"/>
      <c r="NK456"/>
      <c r="NL456"/>
      <c r="NM456"/>
      <c r="NN456"/>
      <c r="NO456"/>
      <c r="NP456"/>
      <c r="NQ456"/>
      <c r="NR456"/>
      <c r="NS456"/>
      <c r="NT456"/>
      <c r="NU456"/>
      <c r="NV456"/>
      <c r="NW456"/>
      <c r="NX456"/>
      <c r="NY456"/>
      <c r="NZ456"/>
      <c r="OA456"/>
      <c r="OB456"/>
      <c r="OC456"/>
      <c r="OD456"/>
      <c r="OE456"/>
      <c r="OF456"/>
      <c r="OG456"/>
      <c r="OH456"/>
      <c r="OI456"/>
      <c r="OJ456"/>
      <c r="OK456"/>
      <c r="OL456"/>
      <c r="OM456"/>
      <c r="ON456"/>
      <c r="OO456"/>
      <c r="OP456"/>
      <c r="OQ456"/>
      <c r="OR456"/>
      <c r="OS456"/>
      <c r="OT456"/>
      <c r="OU456"/>
      <c r="OV456"/>
      <c r="OW456"/>
      <c r="OX456"/>
      <c r="OY456"/>
      <c r="OZ456"/>
      <c r="PA456"/>
      <c r="PB456"/>
      <c r="PC456"/>
      <c r="PD456"/>
      <c r="PE456"/>
      <c r="PF456"/>
      <c r="PG456"/>
      <c r="PH456"/>
      <c r="PI456"/>
      <c r="PJ456"/>
      <c r="PK456"/>
      <c r="PL456"/>
      <c r="PM456"/>
      <c r="PN456"/>
      <c r="PO456"/>
      <c r="PP456"/>
      <c r="PQ456"/>
      <c r="PR456"/>
      <c r="PS456"/>
      <c r="PT456"/>
      <c r="PU456"/>
      <c r="PV456"/>
      <c r="PW456"/>
      <c r="PX456"/>
      <c r="PY456"/>
      <c r="PZ456"/>
      <c r="QA456"/>
      <c r="QB456"/>
      <c r="QC456"/>
      <c r="QD456"/>
      <c r="QE456"/>
      <c r="QF456"/>
      <c r="QG456"/>
      <c r="QH456"/>
      <c r="QI456"/>
      <c r="QJ456"/>
      <c r="QK456"/>
      <c r="QL456"/>
      <c r="QM456"/>
      <c r="QN456"/>
      <c r="QO456"/>
      <c r="QP456"/>
      <c r="QQ456"/>
      <c r="QR456"/>
      <c r="QS456"/>
      <c r="QT456"/>
      <c r="QU456"/>
      <c r="QV456"/>
      <c r="QW456"/>
      <c r="QX456"/>
      <c r="QY456"/>
      <c r="QZ456"/>
      <c r="RA456"/>
      <c r="RB456"/>
      <c r="RC456"/>
      <c r="RD456"/>
      <c r="RE456"/>
      <c r="RF456"/>
      <c r="RG456"/>
      <c r="RH456"/>
      <c r="RI456"/>
      <c r="RJ456"/>
      <c r="RK456"/>
      <c r="RL456"/>
      <c r="RM456"/>
      <c r="RN456"/>
      <c r="RO456"/>
      <c r="RP456"/>
      <c r="RQ456"/>
      <c r="RR456"/>
      <c r="RS456"/>
      <c r="RT456"/>
      <c r="RU456"/>
      <c r="RV456"/>
      <c r="RW456"/>
      <c r="RX456"/>
      <c r="RY456"/>
      <c r="RZ456"/>
      <c r="SA456"/>
      <c r="SB456"/>
      <c r="SC456"/>
      <c r="SD456"/>
      <c r="SE456"/>
      <c r="SF456"/>
      <c r="SG456"/>
      <c r="SH456"/>
      <c r="SI456"/>
      <c r="SJ456"/>
      <c r="SK456"/>
      <c r="SL456"/>
      <c r="SM456"/>
      <c r="SN456"/>
      <c r="SO456"/>
      <c r="SP456"/>
      <c r="SQ456"/>
      <c r="SR456"/>
      <c r="SS456"/>
      <c r="ST456"/>
      <c r="SU456"/>
      <c r="SV456"/>
      <c r="SW456"/>
      <c r="SX456"/>
      <c r="SY456"/>
      <c r="SZ456"/>
      <c r="TA456"/>
      <c r="TB456"/>
      <c r="TC456"/>
      <c r="TD456"/>
      <c r="TE456"/>
      <c r="TF456"/>
      <c r="TG456"/>
      <c r="TH456"/>
    </row>
    <row r="457" spans="3:528" x14ac:dyDescent="0.25">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c r="KT457"/>
      <c r="KU457"/>
      <c r="KV457"/>
      <c r="KW457"/>
      <c r="KX457"/>
      <c r="KY457"/>
      <c r="KZ457"/>
      <c r="LA457"/>
      <c r="LB457"/>
      <c r="LC457"/>
      <c r="LD457"/>
      <c r="LE457"/>
      <c r="LF457"/>
      <c r="LG457"/>
      <c r="LH457"/>
      <c r="LI457"/>
      <c r="LJ457"/>
      <c r="LK457"/>
      <c r="LL457"/>
      <c r="LM457"/>
      <c r="LN457"/>
      <c r="LO457"/>
      <c r="LP457"/>
      <c r="LQ457"/>
      <c r="LR457"/>
      <c r="LS457"/>
      <c r="LT457"/>
      <c r="LU457"/>
      <c r="LV457"/>
      <c r="LW457"/>
      <c r="LX457"/>
      <c r="LY457"/>
      <c r="LZ457"/>
      <c r="MA457"/>
      <c r="MB457"/>
      <c r="MC457"/>
      <c r="MD457"/>
      <c r="ME457"/>
      <c r="MF457"/>
      <c r="MG457"/>
      <c r="MH457"/>
      <c r="MI457"/>
      <c r="MJ457"/>
      <c r="MK457"/>
      <c r="ML457"/>
      <c r="MM457"/>
      <c r="MN457"/>
      <c r="MO457"/>
      <c r="MP457"/>
      <c r="MQ457"/>
      <c r="MR457"/>
      <c r="MS457"/>
      <c r="MT457"/>
      <c r="MU457"/>
      <c r="MV457"/>
      <c r="MW457"/>
      <c r="MX457"/>
      <c r="MY457"/>
      <c r="MZ457"/>
      <c r="NA457"/>
      <c r="NB457"/>
      <c r="NC457"/>
      <c r="ND457"/>
      <c r="NE457"/>
      <c r="NF457"/>
      <c r="NG457"/>
      <c r="NH457"/>
      <c r="NI457"/>
      <c r="NJ457"/>
      <c r="NK457"/>
      <c r="NL457"/>
      <c r="NM457"/>
      <c r="NN457"/>
      <c r="NO457"/>
      <c r="NP457"/>
      <c r="NQ457"/>
      <c r="NR457"/>
      <c r="NS457"/>
      <c r="NT457"/>
      <c r="NU457"/>
      <c r="NV457"/>
      <c r="NW457"/>
      <c r="NX457"/>
      <c r="NY457"/>
      <c r="NZ457"/>
      <c r="OA457"/>
      <c r="OB457"/>
      <c r="OC457"/>
      <c r="OD457"/>
      <c r="OE457"/>
      <c r="OF457"/>
      <c r="OG457"/>
      <c r="OH457"/>
      <c r="OI457"/>
      <c r="OJ457"/>
      <c r="OK457"/>
      <c r="OL457"/>
      <c r="OM457"/>
      <c r="ON457"/>
      <c r="OO457"/>
      <c r="OP457"/>
      <c r="OQ457"/>
      <c r="OR457"/>
      <c r="OS457"/>
      <c r="OT457"/>
      <c r="OU457"/>
      <c r="OV457"/>
      <c r="OW457"/>
      <c r="OX457"/>
      <c r="OY457"/>
      <c r="OZ457"/>
      <c r="PA457"/>
      <c r="PB457"/>
      <c r="PC457"/>
      <c r="PD457"/>
      <c r="PE457"/>
      <c r="PF457"/>
      <c r="PG457"/>
      <c r="PH457"/>
      <c r="PI457"/>
      <c r="PJ457"/>
      <c r="PK457"/>
      <c r="PL457"/>
      <c r="PM457"/>
      <c r="PN457"/>
      <c r="PO457"/>
      <c r="PP457"/>
      <c r="PQ457"/>
      <c r="PR457"/>
      <c r="PS457"/>
      <c r="PT457"/>
      <c r="PU457"/>
      <c r="PV457"/>
      <c r="PW457"/>
      <c r="PX457"/>
      <c r="PY457"/>
      <c r="PZ457"/>
      <c r="QA457"/>
      <c r="QB457"/>
      <c r="QC457"/>
      <c r="QD457"/>
      <c r="QE457"/>
      <c r="QF457"/>
      <c r="QG457"/>
      <c r="QH457"/>
      <c r="QI457"/>
      <c r="QJ457"/>
      <c r="QK457"/>
      <c r="QL457"/>
      <c r="QM457"/>
      <c r="QN457"/>
      <c r="QO457"/>
      <c r="QP457"/>
      <c r="QQ457"/>
      <c r="QR457"/>
      <c r="QS457"/>
      <c r="QT457"/>
      <c r="QU457"/>
      <c r="QV457"/>
      <c r="QW457"/>
      <c r="QX457"/>
      <c r="QY457"/>
      <c r="QZ457"/>
      <c r="RA457"/>
      <c r="RB457"/>
      <c r="RC457"/>
      <c r="RD457"/>
      <c r="RE457"/>
      <c r="RF457"/>
      <c r="RG457"/>
      <c r="RH457"/>
      <c r="RI457"/>
      <c r="RJ457"/>
      <c r="RK457"/>
      <c r="RL457"/>
      <c r="RM457"/>
      <c r="RN457"/>
      <c r="RO457"/>
      <c r="RP457"/>
      <c r="RQ457"/>
      <c r="RR457"/>
      <c r="RS457"/>
      <c r="RT457"/>
      <c r="RU457"/>
      <c r="RV457"/>
      <c r="RW457"/>
      <c r="RX457"/>
      <c r="RY457"/>
      <c r="RZ457"/>
      <c r="SA457"/>
      <c r="SB457"/>
      <c r="SC457"/>
      <c r="SD457"/>
      <c r="SE457"/>
      <c r="SF457"/>
      <c r="SG457"/>
      <c r="SH457"/>
      <c r="SI457"/>
      <c r="SJ457"/>
      <c r="SK457"/>
      <c r="SL457"/>
      <c r="SM457"/>
      <c r="SN457"/>
      <c r="SO457"/>
      <c r="SP457"/>
      <c r="SQ457"/>
      <c r="SR457"/>
      <c r="SS457"/>
      <c r="ST457"/>
      <c r="SU457"/>
      <c r="SV457"/>
      <c r="SW457"/>
      <c r="SX457"/>
      <c r="SY457"/>
      <c r="SZ457"/>
      <c r="TA457"/>
      <c r="TB457"/>
      <c r="TC457"/>
      <c r="TD457"/>
      <c r="TE457"/>
      <c r="TF457"/>
      <c r="TG457"/>
      <c r="TH457"/>
    </row>
    <row r="458" spans="3:528" x14ac:dyDescent="0.25">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c r="KT458"/>
      <c r="KU458"/>
      <c r="KV458"/>
      <c r="KW458"/>
      <c r="KX458"/>
      <c r="KY458"/>
      <c r="KZ458"/>
      <c r="LA458"/>
      <c r="LB458"/>
      <c r="LC458"/>
      <c r="LD458"/>
      <c r="LE458"/>
      <c r="LF458"/>
      <c r="LG458"/>
      <c r="LH458"/>
      <c r="LI458"/>
      <c r="LJ458"/>
      <c r="LK458"/>
      <c r="LL458"/>
      <c r="LM458"/>
      <c r="LN458"/>
      <c r="LO458"/>
      <c r="LP458"/>
      <c r="LQ458"/>
      <c r="LR458"/>
      <c r="LS458"/>
      <c r="LT458"/>
      <c r="LU458"/>
      <c r="LV458"/>
      <c r="LW458"/>
      <c r="LX458"/>
      <c r="LY458"/>
      <c r="LZ458"/>
      <c r="MA458"/>
      <c r="MB458"/>
      <c r="MC458"/>
      <c r="MD458"/>
      <c r="ME458"/>
      <c r="MF458"/>
      <c r="MG458"/>
      <c r="MH458"/>
      <c r="MI458"/>
      <c r="MJ458"/>
      <c r="MK458"/>
      <c r="ML458"/>
      <c r="MM458"/>
      <c r="MN458"/>
      <c r="MO458"/>
      <c r="MP458"/>
      <c r="MQ458"/>
      <c r="MR458"/>
      <c r="MS458"/>
      <c r="MT458"/>
      <c r="MU458"/>
      <c r="MV458"/>
      <c r="MW458"/>
      <c r="MX458"/>
      <c r="MY458"/>
      <c r="MZ458"/>
      <c r="NA458"/>
      <c r="NB458"/>
      <c r="NC458"/>
      <c r="ND458"/>
      <c r="NE458"/>
      <c r="NF458"/>
      <c r="NG458"/>
      <c r="NH458"/>
      <c r="NI458"/>
      <c r="NJ458"/>
      <c r="NK458"/>
      <c r="NL458"/>
      <c r="NM458"/>
      <c r="NN458"/>
      <c r="NO458"/>
      <c r="NP458"/>
      <c r="NQ458"/>
      <c r="NR458"/>
      <c r="NS458"/>
      <c r="NT458"/>
      <c r="NU458"/>
      <c r="NV458"/>
      <c r="NW458"/>
      <c r="NX458"/>
      <c r="NY458"/>
      <c r="NZ458"/>
      <c r="OA458"/>
      <c r="OB458"/>
      <c r="OC458"/>
      <c r="OD458"/>
      <c r="OE458"/>
      <c r="OF458"/>
      <c r="OG458"/>
      <c r="OH458"/>
      <c r="OI458"/>
      <c r="OJ458"/>
      <c r="OK458"/>
      <c r="OL458"/>
      <c r="OM458"/>
      <c r="ON458"/>
      <c r="OO458"/>
      <c r="OP458"/>
      <c r="OQ458"/>
      <c r="OR458"/>
      <c r="OS458"/>
      <c r="OT458"/>
      <c r="OU458"/>
      <c r="OV458"/>
      <c r="OW458"/>
      <c r="OX458"/>
      <c r="OY458"/>
      <c r="OZ458"/>
      <c r="PA458"/>
      <c r="PB458"/>
      <c r="PC458"/>
      <c r="PD458"/>
      <c r="PE458"/>
      <c r="PF458"/>
      <c r="PG458"/>
      <c r="PH458"/>
      <c r="PI458"/>
      <c r="PJ458"/>
      <c r="PK458"/>
      <c r="PL458"/>
      <c r="PM458"/>
      <c r="PN458"/>
      <c r="PO458"/>
      <c r="PP458"/>
      <c r="PQ458"/>
      <c r="PR458"/>
      <c r="PS458"/>
      <c r="PT458"/>
      <c r="PU458"/>
      <c r="PV458"/>
      <c r="PW458"/>
      <c r="PX458"/>
      <c r="PY458"/>
      <c r="PZ458"/>
      <c r="QA458"/>
      <c r="QB458"/>
      <c r="QC458"/>
      <c r="QD458"/>
      <c r="QE458"/>
      <c r="QF458"/>
      <c r="QG458"/>
      <c r="QH458"/>
      <c r="QI458"/>
      <c r="QJ458"/>
      <c r="QK458"/>
      <c r="QL458"/>
      <c r="QM458"/>
      <c r="QN458"/>
      <c r="QO458"/>
      <c r="QP458"/>
      <c r="QQ458"/>
      <c r="QR458"/>
      <c r="QS458"/>
      <c r="QT458"/>
      <c r="QU458"/>
      <c r="QV458"/>
      <c r="QW458"/>
      <c r="QX458"/>
      <c r="QY458"/>
      <c r="QZ458"/>
      <c r="RA458"/>
      <c r="RB458"/>
      <c r="RC458"/>
      <c r="RD458"/>
      <c r="RE458"/>
      <c r="RF458"/>
      <c r="RG458"/>
      <c r="RH458"/>
      <c r="RI458"/>
      <c r="RJ458"/>
      <c r="RK458"/>
      <c r="RL458"/>
      <c r="RM458"/>
      <c r="RN458"/>
      <c r="RO458"/>
      <c r="RP458"/>
      <c r="RQ458"/>
      <c r="RR458"/>
      <c r="RS458"/>
      <c r="RT458"/>
      <c r="RU458"/>
      <c r="RV458"/>
      <c r="RW458"/>
      <c r="RX458"/>
      <c r="RY458"/>
      <c r="RZ458"/>
      <c r="SA458"/>
      <c r="SB458"/>
      <c r="SC458"/>
      <c r="SD458"/>
      <c r="SE458"/>
      <c r="SF458"/>
      <c r="SG458"/>
      <c r="SH458"/>
      <c r="SI458"/>
      <c r="SJ458"/>
      <c r="SK458"/>
      <c r="SL458"/>
      <c r="SM458"/>
      <c r="SN458"/>
      <c r="SO458"/>
      <c r="SP458"/>
      <c r="SQ458"/>
      <c r="SR458"/>
      <c r="SS458"/>
      <c r="ST458"/>
      <c r="SU458"/>
      <c r="SV458"/>
      <c r="SW458"/>
      <c r="SX458"/>
      <c r="SY458"/>
      <c r="SZ458"/>
      <c r="TA458"/>
      <c r="TB458"/>
      <c r="TC458"/>
      <c r="TD458"/>
      <c r="TE458"/>
      <c r="TF458"/>
      <c r="TG458"/>
      <c r="TH458"/>
    </row>
    <row r="459" spans="3:528" x14ac:dyDescent="0.25">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c r="KT459"/>
      <c r="KU459"/>
      <c r="KV459"/>
      <c r="KW459"/>
      <c r="KX459"/>
      <c r="KY459"/>
      <c r="KZ459"/>
      <c r="LA459"/>
      <c r="LB459"/>
      <c r="LC459"/>
      <c r="LD459"/>
      <c r="LE459"/>
      <c r="LF459"/>
      <c r="LG459"/>
      <c r="LH459"/>
      <c r="LI459"/>
      <c r="LJ459"/>
      <c r="LK459"/>
      <c r="LL459"/>
      <c r="LM459"/>
      <c r="LN459"/>
      <c r="LO459"/>
      <c r="LP459"/>
      <c r="LQ459"/>
      <c r="LR459"/>
      <c r="LS459"/>
      <c r="LT459"/>
      <c r="LU459"/>
      <c r="LV459"/>
      <c r="LW459"/>
      <c r="LX459"/>
      <c r="LY459"/>
      <c r="LZ459"/>
      <c r="MA459"/>
      <c r="MB459"/>
      <c r="MC459"/>
      <c r="MD459"/>
      <c r="ME459"/>
      <c r="MF459"/>
      <c r="MG459"/>
      <c r="MH459"/>
      <c r="MI459"/>
      <c r="MJ459"/>
      <c r="MK459"/>
      <c r="ML459"/>
      <c r="MM459"/>
      <c r="MN459"/>
      <c r="MO459"/>
      <c r="MP459"/>
      <c r="MQ459"/>
      <c r="MR459"/>
      <c r="MS459"/>
      <c r="MT459"/>
      <c r="MU459"/>
      <c r="MV459"/>
      <c r="MW459"/>
      <c r="MX459"/>
      <c r="MY459"/>
      <c r="MZ459"/>
      <c r="NA459"/>
      <c r="NB459"/>
      <c r="NC459"/>
      <c r="ND459"/>
      <c r="NE459"/>
      <c r="NF459"/>
      <c r="NG459"/>
      <c r="NH459"/>
      <c r="NI459"/>
      <c r="NJ459"/>
      <c r="NK459"/>
      <c r="NL459"/>
      <c r="NM459"/>
      <c r="NN459"/>
      <c r="NO459"/>
      <c r="NP459"/>
      <c r="NQ459"/>
      <c r="NR459"/>
      <c r="NS459"/>
      <c r="NT459"/>
      <c r="NU459"/>
      <c r="NV459"/>
      <c r="NW459"/>
      <c r="NX459"/>
      <c r="NY459"/>
      <c r="NZ459"/>
      <c r="OA459"/>
      <c r="OB459"/>
      <c r="OC459"/>
      <c r="OD459"/>
      <c r="OE459"/>
      <c r="OF459"/>
      <c r="OG459"/>
      <c r="OH459"/>
      <c r="OI459"/>
      <c r="OJ459"/>
      <c r="OK459"/>
      <c r="OL459"/>
      <c r="OM459"/>
      <c r="ON459"/>
      <c r="OO459"/>
      <c r="OP459"/>
      <c r="OQ459"/>
      <c r="OR459"/>
      <c r="OS459"/>
      <c r="OT459"/>
      <c r="OU459"/>
      <c r="OV459"/>
      <c r="OW459"/>
      <c r="OX459"/>
      <c r="OY459"/>
      <c r="OZ459"/>
      <c r="PA459"/>
      <c r="PB459"/>
      <c r="PC459"/>
      <c r="PD459"/>
      <c r="PE459"/>
      <c r="PF459"/>
      <c r="PG459"/>
      <c r="PH459"/>
      <c r="PI459"/>
      <c r="PJ459"/>
      <c r="PK459"/>
      <c r="PL459"/>
      <c r="PM459"/>
      <c r="PN459"/>
      <c r="PO459"/>
      <c r="PP459"/>
      <c r="PQ459"/>
      <c r="PR459"/>
      <c r="PS459"/>
      <c r="PT459"/>
      <c r="PU459"/>
      <c r="PV459"/>
      <c r="PW459"/>
      <c r="PX459"/>
      <c r="PY459"/>
      <c r="PZ459"/>
      <c r="QA459"/>
      <c r="QB459"/>
      <c r="QC459"/>
      <c r="QD459"/>
      <c r="QE459"/>
      <c r="QF459"/>
      <c r="QG459"/>
      <c r="QH459"/>
      <c r="QI459"/>
      <c r="QJ459"/>
      <c r="QK459"/>
      <c r="QL459"/>
      <c r="QM459"/>
      <c r="QN459"/>
      <c r="QO459"/>
      <c r="QP459"/>
      <c r="QQ459"/>
      <c r="QR459"/>
      <c r="QS459"/>
      <c r="QT459"/>
      <c r="QU459"/>
      <c r="QV459"/>
      <c r="QW459"/>
      <c r="QX459"/>
      <c r="QY459"/>
      <c r="QZ459"/>
      <c r="RA459"/>
      <c r="RB459"/>
      <c r="RC459"/>
      <c r="RD459"/>
      <c r="RE459"/>
      <c r="RF459"/>
      <c r="RG459"/>
      <c r="RH459"/>
      <c r="RI459"/>
      <c r="RJ459"/>
      <c r="RK459"/>
      <c r="RL459"/>
      <c r="RM459"/>
      <c r="RN459"/>
      <c r="RO459"/>
      <c r="RP459"/>
      <c r="RQ459"/>
      <c r="RR459"/>
      <c r="RS459"/>
      <c r="RT459"/>
      <c r="RU459"/>
      <c r="RV459"/>
      <c r="RW459"/>
      <c r="RX459"/>
      <c r="RY459"/>
      <c r="RZ459"/>
      <c r="SA459"/>
      <c r="SB459"/>
      <c r="SC459"/>
      <c r="SD459"/>
      <c r="SE459"/>
      <c r="SF459"/>
      <c r="SG459"/>
      <c r="SH459"/>
      <c r="SI459"/>
      <c r="SJ459"/>
      <c r="SK459"/>
      <c r="SL459"/>
      <c r="SM459"/>
      <c r="SN459"/>
      <c r="SO459"/>
      <c r="SP459"/>
      <c r="SQ459"/>
      <c r="SR459"/>
      <c r="SS459"/>
      <c r="ST459"/>
      <c r="SU459"/>
      <c r="SV459"/>
      <c r="SW459"/>
      <c r="SX459"/>
      <c r="SY459"/>
      <c r="SZ459"/>
      <c r="TA459"/>
      <c r="TB459"/>
      <c r="TC459"/>
      <c r="TD459"/>
      <c r="TE459"/>
      <c r="TF459"/>
      <c r="TG459"/>
      <c r="TH459"/>
    </row>
    <row r="460" spans="3:528" x14ac:dyDescent="0.25">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c r="KT460"/>
      <c r="KU460"/>
      <c r="KV460"/>
      <c r="KW460"/>
      <c r="KX460"/>
      <c r="KY460"/>
      <c r="KZ460"/>
      <c r="LA460"/>
      <c r="LB460"/>
      <c r="LC460"/>
      <c r="LD460"/>
      <c r="LE460"/>
      <c r="LF460"/>
      <c r="LG460"/>
      <c r="LH460"/>
      <c r="LI460"/>
      <c r="LJ460"/>
      <c r="LK460"/>
      <c r="LL460"/>
      <c r="LM460"/>
      <c r="LN460"/>
      <c r="LO460"/>
      <c r="LP460"/>
      <c r="LQ460"/>
      <c r="LR460"/>
      <c r="LS460"/>
      <c r="LT460"/>
      <c r="LU460"/>
      <c r="LV460"/>
      <c r="LW460"/>
      <c r="LX460"/>
      <c r="LY460"/>
      <c r="LZ460"/>
      <c r="MA460"/>
      <c r="MB460"/>
      <c r="MC460"/>
      <c r="MD460"/>
      <c r="ME460"/>
      <c r="MF460"/>
      <c r="MG460"/>
      <c r="MH460"/>
      <c r="MI460"/>
      <c r="MJ460"/>
      <c r="MK460"/>
      <c r="ML460"/>
      <c r="MM460"/>
      <c r="MN460"/>
      <c r="MO460"/>
      <c r="MP460"/>
      <c r="MQ460"/>
      <c r="MR460"/>
      <c r="MS460"/>
      <c r="MT460"/>
      <c r="MU460"/>
      <c r="MV460"/>
      <c r="MW460"/>
      <c r="MX460"/>
      <c r="MY460"/>
      <c r="MZ460"/>
      <c r="NA460"/>
      <c r="NB460"/>
      <c r="NC460"/>
      <c r="ND460"/>
      <c r="NE460"/>
      <c r="NF460"/>
      <c r="NG460"/>
      <c r="NH460"/>
      <c r="NI460"/>
      <c r="NJ460"/>
      <c r="NK460"/>
      <c r="NL460"/>
      <c r="NM460"/>
      <c r="NN460"/>
      <c r="NO460"/>
      <c r="NP460"/>
      <c r="NQ460"/>
      <c r="NR460"/>
      <c r="NS460"/>
      <c r="NT460"/>
      <c r="NU460"/>
      <c r="NV460"/>
      <c r="NW460"/>
      <c r="NX460"/>
      <c r="NY460"/>
      <c r="NZ460"/>
      <c r="OA460"/>
      <c r="OB460"/>
      <c r="OC460"/>
      <c r="OD460"/>
      <c r="OE460"/>
      <c r="OF460"/>
      <c r="OG460"/>
      <c r="OH460"/>
      <c r="OI460"/>
      <c r="OJ460"/>
      <c r="OK460"/>
      <c r="OL460"/>
      <c r="OM460"/>
      <c r="ON460"/>
      <c r="OO460"/>
      <c r="OP460"/>
      <c r="OQ460"/>
      <c r="OR460"/>
      <c r="OS460"/>
      <c r="OT460"/>
      <c r="OU460"/>
      <c r="OV460"/>
      <c r="OW460"/>
      <c r="OX460"/>
      <c r="OY460"/>
      <c r="OZ460"/>
      <c r="PA460"/>
      <c r="PB460"/>
      <c r="PC460"/>
      <c r="PD460"/>
      <c r="PE460"/>
      <c r="PF460"/>
      <c r="PG460"/>
      <c r="PH460"/>
      <c r="PI460"/>
      <c r="PJ460"/>
      <c r="PK460"/>
      <c r="PL460"/>
      <c r="PM460"/>
      <c r="PN460"/>
      <c r="PO460"/>
      <c r="PP460"/>
      <c r="PQ460"/>
      <c r="PR460"/>
      <c r="PS460"/>
      <c r="PT460"/>
      <c r="PU460"/>
      <c r="PV460"/>
      <c r="PW460"/>
      <c r="PX460"/>
      <c r="PY460"/>
      <c r="PZ460"/>
      <c r="QA460"/>
      <c r="QB460"/>
      <c r="QC460"/>
      <c r="QD460"/>
      <c r="QE460"/>
      <c r="QF460"/>
      <c r="QG460"/>
      <c r="QH460"/>
      <c r="QI460"/>
      <c r="QJ460"/>
      <c r="QK460"/>
      <c r="QL460"/>
      <c r="QM460"/>
      <c r="QN460"/>
      <c r="QO460"/>
      <c r="QP460"/>
      <c r="QQ460"/>
      <c r="QR460"/>
      <c r="QS460"/>
      <c r="QT460"/>
      <c r="QU460"/>
      <c r="QV460"/>
      <c r="QW460"/>
      <c r="QX460"/>
      <c r="QY460"/>
      <c r="QZ460"/>
      <c r="RA460"/>
      <c r="RB460"/>
      <c r="RC460"/>
      <c r="RD460"/>
      <c r="RE460"/>
      <c r="RF460"/>
      <c r="RG460"/>
      <c r="RH460"/>
      <c r="RI460"/>
      <c r="RJ460"/>
      <c r="RK460"/>
      <c r="RL460"/>
      <c r="RM460"/>
      <c r="RN460"/>
      <c r="RO460"/>
      <c r="RP460"/>
      <c r="RQ460"/>
      <c r="RR460"/>
      <c r="RS460"/>
      <c r="RT460"/>
      <c r="RU460"/>
      <c r="RV460"/>
      <c r="RW460"/>
      <c r="RX460"/>
      <c r="RY460"/>
      <c r="RZ460"/>
      <c r="SA460"/>
      <c r="SB460"/>
      <c r="SC460"/>
      <c r="SD460"/>
      <c r="SE460"/>
      <c r="SF460"/>
      <c r="SG460"/>
      <c r="SH460"/>
      <c r="SI460"/>
      <c r="SJ460"/>
      <c r="SK460"/>
      <c r="SL460"/>
      <c r="SM460"/>
      <c r="SN460"/>
      <c r="SO460"/>
      <c r="SP460"/>
      <c r="SQ460"/>
      <c r="SR460"/>
      <c r="SS460"/>
      <c r="ST460"/>
      <c r="SU460"/>
      <c r="SV460"/>
      <c r="SW460"/>
      <c r="SX460"/>
      <c r="SY460"/>
      <c r="SZ460"/>
      <c r="TA460"/>
      <c r="TB460"/>
      <c r="TC460"/>
      <c r="TD460"/>
      <c r="TE460"/>
      <c r="TF460"/>
      <c r="TG460"/>
      <c r="TH460"/>
    </row>
    <row r="461" spans="3:528" x14ac:dyDescent="0.25">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c r="KT461"/>
      <c r="KU461"/>
      <c r="KV461"/>
      <c r="KW461"/>
      <c r="KX461"/>
      <c r="KY461"/>
      <c r="KZ461"/>
      <c r="LA461"/>
      <c r="LB461"/>
      <c r="LC461"/>
      <c r="LD461"/>
      <c r="LE461"/>
      <c r="LF461"/>
      <c r="LG461"/>
      <c r="LH461"/>
      <c r="LI461"/>
      <c r="LJ461"/>
      <c r="LK461"/>
      <c r="LL461"/>
      <c r="LM461"/>
      <c r="LN461"/>
      <c r="LO461"/>
      <c r="LP461"/>
      <c r="LQ461"/>
      <c r="LR461"/>
      <c r="LS461"/>
      <c r="LT461"/>
      <c r="LU461"/>
      <c r="LV461"/>
      <c r="LW461"/>
      <c r="LX461"/>
      <c r="LY461"/>
      <c r="LZ461"/>
      <c r="MA461"/>
      <c r="MB461"/>
      <c r="MC461"/>
      <c r="MD461"/>
      <c r="ME461"/>
      <c r="MF461"/>
      <c r="MG461"/>
      <c r="MH461"/>
      <c r="MI461"/>
      <c r="MJ461"/>
      <c r="MK461"/>
      <c r="ML461"/>
      <c r="MM461"/>
      <c r="MN461"/>
      <c r="MO461"/>
      <c r="MP461"/>
      <c r="MQ461"/>
      <c r="MR461"/>
      <c r="MS461"/>
      <c r="MT461"/>
      <c r="MU461"/>
      <c r="MV461"/>
      <c r="MW461"/>
      <c r="MX461"/>
      <c r="MY461"/>
      <c r="MZ461"/>
      <c r="NA461"/>
      <c r="NB461"/>
      <c r="NC461"/>
      <c r="ND461"/>
      <c r="NE461"/>
      <c r="NF461"/>
      <c r="NG461"/>
      <c r="NH461"/>
      <c r="NI461"/>
      <c r="NJ461"/>
      <c r="NK461"/>
      <c r="NL461"/>
      <c r="NM461"/>
      <c r="NN461"/>
      <c r="NO461"/>
      <c r="NP461"/>
      <c r="NQ461"/>
      <c r="NR461"/>
      <c r="NS461"/>
      <c r="NT461"/>
      <c r="NU461"/>
      <c r="NV461"/>
      <c r="NW461"/>
      <c r="NX461"/>
      <c r="NY461"/>
      <c r="NZ461"/>
      <c r="OA461"/>
      <c r="OB461"/>
      <c r="OC461"/>
      <c r="OD461"/>
      <c r="OE461"/>
      <c r="OF461"/>
      <c r="OG461"/>
      <c r="OH461"/>
      <c r="OI461"/>
      <c r="OJ461"/>
      <c r="OK461"/>
      <c r="OL461"/>
      <c r="OM461"/>
      <c r="ON461"/>
      <c r="OO461"/>
      <c r="OP461"/>
      <c r="OQ461"/>
      <c r="OR461"/>
      <c r="OS461"/>
      <c r="OT461"/>
      <c r="OU461"/>
      <c r="OV461"/>
      <c r="OW461"/>
      <c r="OX461"/>
      <c r="OY461"/>
      <c r="OZ461"/>
      <c r="PA461"/>
      <c r="PB461"/>
      <c r="PC461"/>
      <c r="PD461"/>
      <c r="PE461"/>
      <c r="PF461"/>
      <c r="PG461"/>
      <c r="PH461"/>
      <c r="PI461"/>
      <c r="PJ461"/>
      <c r="PK461"/>
      <c r="PL461"/>
      <c r="PM461"/>
      <c r="PN461"/>
      <c r="PO461"/>
      <c r="PP461"/>
      <c r="PQ461"/>
      <c r="PR461"/>
      <c r="PS461"/>
      <c r="PT461"/>
      <c r="PU461"/>
      <c r="PV461"/>
      <c r="PW461"/>
      <c r="PX461"/>
      <c r="PY461"/>
      <c r="PZ461"/>
      <c r="QA461"/>
      <c r="QB461"/>
      <c r="QC461"/>
      <c r="QD461"/>
      <c r="QE461"/>
      <c r="QF461"/>
      <c r="QG461"/>
      <c r="QH461"/>
      <c r="QI461"/>
      <c r="QJ461"/>
      <c r="QK461"/>
      <c r="QL461"/>
      <c r="QM461"/>
      <c r="QN461"/>
      <c r="QO461"/>
      <c r="QP461"/>
      <c r="QQ461"/>
      <c r="QR461"/>
      <c r="QS461"/>
      <c r="QT461"/>
      <c r="QU461"/>
      <c r="QV461"/>
      <c r="QW461"/>
      <c r="QX461"/>
      <c r="QY461"/>
      <c r="QZ461"/>
      <c r="RA461"/>
      <c r="RB461"/>
      <c r="RC461"/>
      <c r="RD461"/>
      <c r="RE461"/>
      <c r="RF461"/>
      <c r="RG461"/>
      <c r="RH461"/>
      <c r="RI461"/>
      <c r="RJ461"/>
      <c r="RK461"/>
      <c r="RL461"/>
      <c r="RM461"/>
      <c r="RN461"/>
      <c r="RO461"/>
      <c r="RP461"/>
      <c r="RQ461"/>
      <c r="RR461"/>
      <c r="RS461"/>
      <c r="RT461"/>
      <c r="RU461"/>
      <c r="RV461"/>
      <c r="RW461"/>
      <c r="RX461"/>
      <c r="RY461"/>
      <c r="RZ461"/>
      <c r="SA461"/>
      <c r="SB461"/>
      <c r="SC461"/>
      <c r="SD461"/>
      <c r="SE461"/>
      <c r="SF461"/>
      <c r="SG461"/>
      <c r="SH461"/>
      <c r="SI461"/>
      <c r="SJ461"/>
      <c r="SK461"/>
      <c r="SL461"/>
      <c r="SM461"/>
      <c r="SN461"/>
      <c r="SO461"/>
      <c r="SP461"/>
      <c r="SQ461"/>
      <c r="SR461"/>
      <c r="SS461"/>
      <c r="ST461"/>
      <c r="SU461"/>
      <c r="SV461"/>
      <c r="SW461"/>
      <c r="SX461"/>
      <c r="SY461"/>
      <c r="SZ461"/>
      <c r="TA461"/>
      <c r="TB461"/>
      <c r="TC461"/>
      <c r="TD461"/>
      <c r="TE461"/>
      <c r="TF461"/>
      <c r="TG461"/>
      <c r="TH461"/>
    </row>
    <row r="462" spans="3:528" x14ac:dyDescent="0.25">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c r="KT462"/>
      <c r="KU462"/>
      <c r="KV462"/>
      <c r="KW462"/>
      <c r="KX462"/>
      <c r="KY462"/>
      <c r="KZ462"/>
      <c r="LA462"/>
      <c r="LB462"/>
      <c r="LC462"/>
      <c r="LD462"/>
      <c r="LE462"/>
      <c r="LF462"/>
      <c r="LG462"/>
      <c r="LH462"/>
      <c r="LI462"/>
      <c r="LJ462"/>
      <c r="LK462"/>
      <c r="LL462"/>
      <c r="LM462"/>
      <c r="LN462"/>
      <c r="LO462"/>
      <c r="LP462"/>
      <c r="LQ462"/>
      <c r="LR462"/>
      <c r="LS462"/>
      <c r="LT462"/>
      <c r="LU462"/>
      <c r="LV462"/>
      <c r="LW462"/>
      <c r="LX462"/>
      <c r="LY462"/>
      <c r="LZ462"/>
      <c r="MA462"/>
      <c r="MB462"/>
      <c r="MC462"/>
      <c r="MD462"/>
      <c r="ME462"/>
      <c r="MF462"/>
      <c r="MG462"/>
      <c r="MH462"/>
      <c r="MI462"/>
      <c r="MJ462"/>
      <c r="MK462"/>
      <c r="ML462"/>
      <c r="MM462"/>
      <c r="MN462"/>
      <c r="MO462"/>
      <c r="MP462"/>
      <c r="MQ462"/>
      <c r="MR462"/>
      <c r="MS462"/>
      <c r="MT462"/>
      <c r="MU462"/>
      <c r="MV462"/>
      <c r="MW462"/>
      <c r="MX462"/>
      <c r="MY462"/>
      <c r="MZ462"/>
      <c r="NA462"/>
      <c r="NB462"/>
      <c r="NC462"/>
      <c r="ND462"/>
      <c r="NE462"/>
      <c r="NF462"/>
      <c r="NG462"/>
      <c r="NH462"/>
      <c r="NI462"/>
      <c r="NJ462"/>
      <c r="NK462"/>
      <c r="NL462"/>
      <c r="NM462"/>
      <c r="NN462"/>
      <c r="NO462"/>
      <c r="NP462"/>
      <c r="NQ462"/>
      <c r="NR462"/>
      <c r="NS462"/>
      <c r="NT462"/>
      <c r="NU462"/>
      <c r="NV462"/>
      <c r="NW462"/>
      <c r="NX462"/>
      <c r="NY462"/>
      <c r="NZ462"/>
      <c r="OA462"/>
      <c r="OB462"/>
      <c r="OC462"/>
      <c r="OD462"/>
      <c r="OE462"/>
      <c r="OF462"/>
      <c r="OG462"/>
      <c r="OH462"/>
      <c r="OI462"/>
      <c r="OJ462"/>
      <c r="OK462"/>
      <c r="OL462"/>
      <c r="OM462"/>
      <c r="ON462"/>
      <c r="OO462"/>
      <c r="OP462"/>
      <c r="OQ462"/>
      <c r="OR462"/>
      <c r="OS462"/>
      <c r="OT462"/>
      <c r="OU462"/>
      <c r="OV462"/>
      <c r="OW462"/>
      <c r="OX462"/>
      <c r="OY462"/>
      <c r="OZ462"/>
      <c r="PA462"/>
      <c r="PB462"/>
      <c r="PC462"/>
      <c r="PD462"/>
      <c r="PE462"/>
      <c r="PF462"/>
      <c r="PG462"/>
      <c r="PH462"/>
      <c r="PI462"/>
      <c r="PJ462"/>
      <c r="PK462"/>
      <c r="PL462"/>
      <c r="PM462"/>
      <c r="PN462"/>
      <c r="PO462"/>
      <c r="PP462"/>
      <c r="PQ462"/>
      <c r="PR462"/>
      <c r="PS462"/>
      <c r="PT462"/>
      <c r="PU462"/>
      <c r="PV462"/>
      <c r="PW462"/>
      <c r="PX462"/>
      <c r="PY462"/>
      <c r="PZ462"/>
      <c r="QA462"/>
      <c r="QB462"/>
      <c r="QC462"/>
      <c r="QD462"/>
      <c r="QE462"/>
      <c r="QF462"/>
      <c r="QG462"/>
      <c r="QH462"/>
      <c r="QI462"/>
      <c r="QJ462"/>
      <c r="QK462"/>
      <c r="QL462"/>
      <c r="QM462"/>
      <c r="QN462"/>
      <c r="QO462"/>
      <c r="QP462"/>
      <c r="QQ462"/>
      <c r="QR462"/>
      <c r="QS462"/>
      <c r="QT462"/>
      <c r="QU462"/>
      <c r="QV462"/>
      <c r="QW462"/>
      <c r="QX462"/>
      <c r="QY462"/>
      <c r="QZ462"/>
      <c r="RA462"/>
      <c r="RB462"/>
      <c r="RC462"/>
      <c r="RD462"/>
      <c r="RE462"/>
      <c r="RF462"/>
      <c r="RG462"/>
      <c r="RH462"/>
      <c r="RI462"/>
      <c r="RJ462"/>
      <c r="RK462"/>
      <c r="RL462"/>
      <c r="RM462"/>
      <c r="RN462"/>
      <c r="RO462"/>
      <c r="RP462"/>
      <c r="RQ462"/>
      <c r="RR462"/>
      <c r="RS462"/>
      <c r="RT462"/>
      <c r="RU462"/>
      <c r="RV462"/>
      <c r="RW462"/>
      <c r="RX462"/>
      <c r="RY462"/>
      <c r="RZ462"/>
      <c r="SA462"/>
      <c r="SB462"/>
      <c r="SC462"/>
      <c r="SD462"/>
      <c r="SE462"/>
      <c r="SF462"/>
      <c r="SG462"/>
      <c r="SH462"/>
      <c r="SI462"/>
      <c r="SJ462"/>
      <c r="SK462"/>
      <c r="SL462"/>
      <c r="SM462"/>
      <c r="SN462"/>
      <c r="SO462"/>
      <c r="SP462"/>
      <c r="SQ462"/>
      <c r="SR462"/>
      <c r="SS462"/>
      <c r="ST462"/>
      <c r="SU462"/>
      <c r="SV462"/>
      <c r="SW462"/>
      <c r="SX462"/>
      <c r="SY462"/>
      <c r="SZ462"/>
      <c r="TA462"/>
      <c r="TB462"/>
      <c r="TC462"/>
      <c r="TD462"/>
      <c r="TE462"/>
      <c r="TF462"/>
      <c r="TG462"/>
      <c r="TH462"/>
    </row>
    <row r="463" spans="3:528" x14ac:dyDescent="0.25">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c r="KT463"/>
      <c r="KU463"/>
      <c r="KV463"/>
      <c r="KW463"/>
      <c r="KX463"/>
      <c r="KY463"/>
      <c r="KZ463"/>
      <c r="LA463"/>
      <c r="LB463"/>
      <c r="LC463"/>
      <c r="LD463"/>
      <c r="LE463"/>
      <c r="LF463"/>
      <c r="LG463"/>
      <c r="LH463"/>
      <c r="LI463"/>
      <c r="LJ463"/>
      <c r="LK463"/>
      <c r="LL463"/>
      <c r="LM463"/>
      <c r="LN463"/>
      <c r="LO463"/>
      <c r="LP463"/>
      <c r="LQ463"/>
      <c r="LR463"/>
      <c r="LS463"/>
      <c r="LT463"/>
      <c r="LU463"/>
      <c r="LV463"/>
      <c r="LW463"/>
      <c r="LX463"/>
      <c r="LY463"/>
      <c r="LZ463"/>
      <c r="MA463"/>
      <c r="MB463"/>
      <c r="MC463"/>
      <c r="MD463"/>
      <c r="ME463"/>
      <c r="MF463"/>
      <c r="MG463"/>
      <c r="MH463"/>
      <c r="MI463"/>
      <c r="MJ463"/>
      <c r="MK463"/>
      <c r="ML463"/>
      <c r="MM463"/>
      <c r="MN463"/>
      <c r="MO463"/>
      <c r="MP463"/>
      <c r="MQ463"/>
      <c r="MR463"/>
      <c r="MS463"/>
      <c r="MT463"/>
      <c r="MU463"/>
      <c r="MV463"/>
      <c r="MW463"/>
      <c r="MX463"/>
      <c r="MY463"/>
      <c r="MZ463"/>
      <c r="NA463"/>
      <c r="NB463"/>
      <c r="NC463"/>
      <c r="ND463"/>
      <c r="NE463"/>
      <c r="NF463"/>
      <c r="NG463"/>
      <c r="NH463"/>
      <c r="NI463"/>
      <c r="NJ463"/>
      <c r="NK463"/>
      <c r="NL463"/>
      <c r="NM463"/>
      <c r="NN463"/>
      <c r="NO463"/>
      <c r="NP463"/>
      <c r="NQ463"/>
      <c r="NR463"/>
      <c r="NS463"/>
      <c r="NT463"/>
      <c r="NU463"/>
      <c r="NV463"/>
      <c r="NW463"/>
      <c r="NX463"/>
      <c r="NY463"/>
      <c r="NZ463"/>
      <c r="OA463"/>
      <c r="OB463"/>
      <c r="OC463"/>
      <c r="OD463"/>
      <c r="OE463"/>
      <c r="OF463"/>
      <c r="OG463"/>
      <c r="OH463"/>
      <c r="OI463"/>
      <c r="OJ463"/>
      <c r="OK463"/>
      <c r="OL463"/>
      <c r="OM463"/>
      <c r="ON463"/>
      <c r="OO463"/>
      <c r="OP463"/>
      <c r="OQ463"/>
      <c r="OR463"/>
      <c r="OS463"/>
      <c r="OT463"/>
      <c r="OU463"/>
      <c r="OV463"/>
      <c r="OW463"/>
      <c r="OX463"/>
      <c r="OY463"/>
      <c r="OZ463"/>
      <c r="PA463"/>
      <c r="PB463"/>
      <c r="PC463"/>
      <c r="PD463"/>
      <c r="PE463"/>
      <c r="PF463"/>
      <c r="PG463"/>
      <c r="PH463"/>
      <c r="PI463"/>
      <c r="PJ463"/>
      <c r="PK463"/>
      <c r="PL463"/>
      <c r="PM463"/>
      <c r="PN463"/>
      <c r="PO463"/>
      <c r="PP463"/>
      <c r="PQ463"/>
      <c r="PR463"/>
      <c r="PS463"/>
      <c r="PT463"/>
      <c r="PU463"/>
      <c r="PV463"/>
      <c r="PW463"/>
      <c r="PX463"/>
      <c r="PY463"/>
      <c r="PZ463"/>
      <c r="QA463"/>
      <c r="QB463"/>
      <c r="QC463"/>
      <c r="QD463"/>
      <c r="QE463"/>
      <c r="QF463"/>
      <c r="QG463"/>
      <c r="QH463"/>
      <c r="QI463"/>
      <c r="QJ463"/>
      <c r="QK463"/>
      <c r="QL463"/>
      <c r="QM463"/>
      <c r="QN463"/>
      <c r="QO463"/>
      <c r="QP463"/>
      <c r="QQ463"/>
      <c r="QR463"/>
      <c r="QS463"/>
      <c r="QT463"/>
      <c r="QU463"/>
      <c r="QV463"/>
      <c r="QW463"/>
      <c r="QX463"/>
      <c r="QY463"/>
      <c r="QZ463"/>
      <c r="RA463"/>
      <c r="RB463"/>
      <c r="RC463"/>
      <c r="RD463"/>
      <c r="RE463"/>
      <c r="RF463"/>
      <c r="RG463"/>
      <c r="RH463"/>
      <c r="RI463"/>
      <c r="RJ463"/>
      <c r="RK463"/>
      <c r="RL463"/>
      <c r="RM463"/>
      <c r="RN463"/>
      <c r="RO463"/>
      <c r="RP463"/>
      <c r="RQ463"/>
      <c r="RR463"/>
      <c r="RS463"/>
      <c r="RT463"/>
      <c r="RU463"/>
      <c r="RV463"/>
      <c r="RW463"/>
      <c r="RX463"/>
      <c r="RY463"/>
      <c r="RZ463"/>
      <c r="SA463"/>
      <c r="SB463"/>
      <c r="SC463"/>
      <c r="SD463"/>
      <c r="SE463"/>
      <c r="SF463"/>
      <c r="SG463"/>
      <c r="SH463"/>
      <c r="SI463"/>
      <c r="SJ463"/>
      <c r="SK463"/>
      <c r="SL463"/>
      <c r="SM463"/>
      <c r="SN463"/>
      <c r="SO463"/>
      <c r="SP463"/>
      <c r="SQ463"/>
      <c r="SR463"/>
      <c r="SS463"/>
      <c r="ST463"/>
      <c r="SU463"/>
      <c r="SV463"/>
      <c r="SW463"/>
      <c r="SX463"/>
      <c r="SY463"/>
      <c r="SZ463"/>
      <c r="TA463"/>
      <c r="TB463"/>
      <c r="TC463"/>
      <c r="TD463"/>
      <c r="TE463"/>
      <c r="TF463"/>
      <c r="TG463"/>
      <c r="TH463"/>
    </row>
    <row r="464" spans="3:528" x14ac:dyDescent="0.25">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c r="KT464"/>
      <c r="KU464"/>
      <c r="KV464"/>
      <c r="KW464"/>
      <c r="KX464"/>
      <c r="KY464"/>
      <c r="KZ464"/>
      <c r="LA464"/>
      <c r="LB464"/>
      <c r="LC464"/>
      <c r="LD464"/>
      <c r="LE464"/>
      <c r="LF464"/>
      <c r="LG464"/>
      <c r="LH464"/>
      <c r="LI464"/>
      <c r="LJ464"/>
      <c r="LK464"/>
      <c r="LL464"/>
      <c r="LM464"/>
      <c r="LN464"/>
      <c r="LO464"/>
      <c r="LP464"/>
      <c r="LQ464"/>
      <c r="LR464"/>
      <c r="LS464"/>
      <c r="LT464"/>
      <c r="LU464"/>
      <c r="LV464"/>
      <c r="LW464"/>
      <c r="LX464"/>
      <c r="LY464"/>
      <c r="LZ464"/>
      <c r="MA464"/>
      <c r="MB464"/>
      <c r="MC464"/>
      <c r="MD464"/>
      <c r="ME464"/>
      <c r="MF464"/>
      <c r="MG464"/>
      <c r="MH464"/>
      <c r="MI464"/>
      <c r="MJ464"/>
      <c r="MK464"/>
      <c r="ML464"/>
      <c r="MM464"/>
      <c r="MN464"/>
      <c r="MO464"/>
      <c r="MP464"/>
      <c r="MQ464"/>
      <c r="MR464"/>
      <c r="MS464"/>
      <c r="MT464"/>
      <c r="MU464"/>
      <c r="MV464"/>
      <c r="MW464"/>
      <c r="MX464"/>
      <c r="MY464"/>
      <c r="MZ464"/>
      <c r="NA464"/>
      <c r="NB464"/>
      <c r="NC464"/>
      <c r="ND464"/>
      <c r="NE464"/>
      <c r="NF464"/>
      <c r="NG464"/>
      <c r="NH464"/>
      <c r="NI464"/>
      <c r="NJ464"/>
      <c r="NK464"/>
      <c r="NL464"/>
      <c r="NM464"/>
      <c r="NN464"/>
      <c r="NO464"/>
      <c r="NP464"/>
      <c r="NQ464"/>
      <c r="NR464"/>
      <c r="NS464"/>
      <c r="NT464"/>
      <c r="NU464"/>
      <c r="NV464"/>
      <c r="NW464"/>
      <c r="NX464"/>
      <c r="NY464"/>
      <c r="NZ464"/>
      <c r="OA464"/>
      <c r="OB464"/>
      <c r="OC464"/>
      <c r="OD464"/>
      <c r="OE464"/>
      <c r="OF464"/>
      <c r="OG464"/>
      <c r="OH464"/>
      <c r="OI464"/>
      <c r="OJ464"/>
      <c r="OK464"/>
      <c r="OL464"/>
      <c r="OM464"/>
      <c r="ON464"/>
      <c r="OO464"/>
      <c r="OP464"/>
      <c r="OQ464"/>
      <c r="OR464"/>
      <c r="OS464"/>
      <c r="OT464"/>
      <c r="OU464"/>
      <c r="OV464"/>
      <c r="OW464"/>
      <c r="OX464"/>
      <c r="OY464"/>
      <c r="OZ464"/>
      <c r="PA464"/>
      <c r="PB464"/>
      <c r="PC464"/>
      <c r="PD464"/>
      <c r="PE464"/>
      <c r="PF464"/>
      <c r="PG464"/>
      <c r="PH464"/>
      <c r="PI464"/>
      <c r="PJ464"/>
      <c r="PK464"/>
      <c r="PL464"/>
      <c r="PM464"/>
      <c r="PN464"/>
      <c r="PO464"/>
      <c r="PP464"/>
      <c r="PQ464"/>
      <c r="PR464"/>
      <c r="PS464"/>
      <c r="PT464"/>
      <c r="PU464"/>
      <c r="PV464"/>
      <c r="PW464"/>
      <c r="PX464"/>
      <c r="PY464"/>
      <c r="PZ464"/>
      <c r="QA464"/>
      <c r="QB464"/>
      <c r="QC464"/>
      <c r="QD464"/>
      <c r="QE464"/>
      <c r="QF464"/>
      <c r="QG464"/>
      <c r="QH464"/>
      <c r="QI464"/>
      <c r="QJ464"/>
      <c r="QK464"/>
      <c r="QL464"/>
      <c r="QM464"/>
      <c r="QN464"/>
      <c r="QO464"/>
      <c r="QP464"/>
      <c r="QQ464"/>
      <c r="QR464"/>
      <c r="QS464"/>
      <c r="QT464"/>
      <c r="QU464"/>
      <c r="QV464"/>
      <c r="QW464"/>
      <c r="QX464"/>
      <c r="QY464"/>
      <c r="QZ464"/>
      <c r="RA464"/>
      <c r="RB464"/>
      <c r="RC464"/>
      <c r="RD464"/>
      <c r="RE464"/>
      <c r="RF464"/>
      <c r="RG464"/>
      <c r="RH464"/>
      <c r="RI464"/>
      <c r="RJ464"/>
      <c r="RK464"/>
      <c r="RL464"/>
      <c r="RM464"/>
      <c r="RN464"/>
      <c r="RO464"/>
      <c r="RP464"/>
      <c r="RQ464"/>
      <c r="RR464"/>
      <c r="RS464"/>
      <c r="RT464"/>
      <c r="RU464"/>
      <c r="RV464"/>
      <c r="RW464"/>
      <c r="RX464"/>
      <c r="RY464"/>
      <c r="RZ464"/>
      <c r="SA464"/>
      <c r="SB464"/>
      <c r="SC464"/>
      <c r="SD464"/>
      <c r="SE464"/>
      <c r="SF464"/>
      <c r="SG464"/>
      <c r="SH464"/>
      <c r="SI464"/>
      <c r="SJ464"/>
      <c r="SK464"/>
      <c r="SL464"/>
      <c r="SM464"/>
      <c r="SN464"/>
      <c r="SO464"/>
      <c r="SP464"/>
      <c r="SQ464"/>
      <c r="SR464"/>
      <c r="SS464"/>
      <c r="ST464"/>
      <c r="SU464"/>
      <c r="SV464"/>
      <c r="SW464"/>
      <c r="SX464"/>
      <c r="SY464"/>
      <c r="SZ464"/>
      <c r="TA464"/>
      <c r="TB464"/>
      <c r="TC464"/>
      <c r="TD464"/>
      <c r="TE464"/>
      <c r="TF464"/>
      <c r="TG464"/>
      <c r="TH464"/>
    </row>
    <row r="465" spans="3:528" x14ac:dyDescent="0.2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c r="KT465"/>
      <c r="KU465"/>
      <c r="KV465"/>
      <c r="KW465"/>
      <c r="KX465"/>
      <c r="KY465"/>
      <c r="KZ465"/>
      <c r="LA465"/>
      <c r="LB465"/>
      <c r="LC465"/>
      <c r="LD465"/>
      <c r="LE465"/>
      <c r="LF465"/>
      <c r="LG465"/>
      <c r="LH465"/>
      <c r="LI465"/>
      <c r="LJ465"/>
      <c r="LK465"/>
      <c r="LL465"/>
      <c r="LM465"/>
      <c r="LN465"/>
      <c r="LO465"/>
      <c r="LP465"/>
      <c r="LQ465"/>
      <c r="LR465"/>
      <c r="LS465"/>
      <c r="LT465"/>
      <c r="LU465"/>
      <c r="LV465"/>
      <c r="LW465"/>
      <c r="LX465"/>
      <c r="LY465"/>
      <c r="LZ465"/>
      <c r="MA465"/>
      <c r="MB465"/>
      <c r="MC465"/>
      <c r="MD465"/>
      <c r="ME465"/>
      <c r="MF465"/>
      <c r="MG465"/>
      <c r="MH465"/>
      <c r="MI465"/>
      <c r="MJ465"/>
      <c r="MK465"/>
      <c r="ML465"/>
      <c r="MM465"/>
      <c r="MN465"/>
      <c r="MO465"/>
      <c r="MP465"/>
      <c r="MQ465"/>
      <c r="MR465"/>
      <c r="MS465"/>
      <c r="MT465"/>
      <c r="MU465"/>
      <c r="MV465"/>
      <c r="MW465"/>
      <c r="MX465"/>
      <c r="MY465"/>
      <c r="MZ465"/>
      <c r="NA465"/>
      <c r="NB465"/>
      <c r="NC465"/>
      <c r="ND465"/>
      <c r="NE465"/>
      <c r="NF465"/>
      <c r="NG465"/>
      <c r="NH465"/>
      <c r="NI465"/>
      <c r="NJ465"/>
      <c r="NK465"/>
      <c r="NL465"/>
      <c r="NM465"/>
      <c r="NN465"/>
      <c r="NO465"/>
      <c r="NP465"/>
      <c r="NQ465"/>
      <c r="NR465"/>
      <c r="NS465"/>
      <c r="NT465"/>
      <c r="NU465"/>
      <c r="NV465"/>
      <c r="NW465"/>
      <c r="NX465"/>
      <c r="NY465"/>
      <c r="NZ465"/>
      <c r="OA465"/>
      <c r="OB465"/>
      <c r="OC465"/>
      <c r="OD465"/>
      <c r="OE465"/>
      <c r="OF465"/>
      <c r="OG465"/>
      <c r="OH465"/>
      <c r="OI465"/>
      <c r="OJ465"/>
      <c r="OK465"/>
      <c r="OL465"/>
      <c r="OM465"/>
      <c r="ON465"/>
      <c r="OO465"/>
      <c r="OP465"/>
      <c r="OQ465"/>
      <c r="OR465"/>
      <c r="OS465"/>
      <c r="OT465"/>
      <c r="OU465"/>
      <c r="OV465"/>
      <c r="OW465"/>
      <c r="OX465"/>
      <c r="OY465"/>
      <c r="OZ465"/>
      <c r="PA465"/>
      <c r="PB465"/>
      <c r="PC465"/>
      <c r="PD465"/>
      <c r="PE465"/>
      <c r="PF465"/>
      <c r="PG465"/>
      <c r="PH465"/>
      <c r="PI465"/>
      <c r="PJ465"/>
      <c r="PK465"/>
      <c r="PL465"/>
      <c r="PM465"/>
      <c r="PN465"/>
      <c r="PO465"/>
      <c r="PP465"/>
      <c r="PQ465"/>
      <c r="PR465"/>
      <c r="PS465"/>
      <c r="PT465"/>
      <c r="PU465"/>
      <c r="PV465"/>
      <c r="PW465"/>
      <c r="PX465"/>
      <c r="PY465"/>
      <c r="PZ465"/>
      <c r="QA465"/>
      <c r="QB465"/>
      <c r="QC465"/>
      <c r="QD465"/>
      <c r="QE465"/>
      <c r="QF465"/>
      <c r="QG465"/>
      <c r="QH465"/>
      <c r="QI465"/>
      <c r="QJ465"/>
      <c r="QK465"/>
      <c r="QL465"/>
      <c r="QM465"/>
      <c r="QN465"/>
      <c r="QO465"/>
      <c r="QP465"/>
      <c r="QQ465"/>
      <c r="QR465"/>
      <c r="QS465"/>
      <c r="QT465"/>
      <c r="QU465"/>
      <c r="QV465"/>
      <c r="QW465"/>
      <c r="QX465"/>
      <c r="QY465"/>
      <c r="QZ465"/>
      <c r="RA465"/>
      <c r="RB465"/>
      <c r="RC465"/>
      <c r="RD465"/>
      <c r="RE465"/>
      <c r="RF465"/>
      <c r="RG465"/>
      <c r="RH465"/>
      <c r="RI465"/>
      <c r="RJ465"/>
      <c r="RK465"/>
      <c r="RL465"/>
      <c r="RM465"/>
      <c r="RN465"/>
      <c r="RO465"/>
      <c r="RP465"/>
      <c r="RQ465"/>
      <c r="RR465"/>
      <c r="RS465"/>
      <c r="RT465"/>
      <c r="RU465"/>
      <c r="RV465"/>
      <c r="RW465"/>
      <c r="RX465"/>
      <c r="RY465"/>
      <c r="RZ465"/>
      <c r="SA465"/>
      <c r="SB465"/>
      <c r="SC465"/>
      <c r="SD465"/>
      <c r="SE465"/>
      <c r="SF465"/>
      <c r="SG465"/>
      <c r="SH465"/>
      <c r="SI465"/>
      <c r="SJ465"/>
      <c r="SK465"/>
      <c r="SL465"/>
      <c r="SM465"/>
      <c r="SN465"/>
      <c r="SO465"/>
      <c r="SP465"/>
      <c r="SQ465"/>
      <c r="SR465"/>
      <c r="SS465"/>
      <c r="ST465"/>
      <c r="SU465"/>
      <c r="SV465"/>
      <c r="SW465"/>
      <c r="SX465"/>
      <c r="SY465"/>
      <c r="SZ465"/>
      <c r="TA465"/>
      <c r="TB465"/>
      <c r="TC465"/>
      <c r="TD465"/>
      <c r="TE465"/>
      <c r="TF465"/>
      <c r="TG465"/>
      <c r="TH465"/>
    </row>
    <row r="466" spans="3:528" x14ac:dyDescent="0.25">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c r="KT466"/>
      <c r="KU466"/>
      <c r="KV466"/>
      <c r="KW466"/>
      <c r="KX466"/>
      <c r="KY466"/>
      <c r="KZ466"/>
      <c r="LA466"/>
      <c r="LB466"/>
      <c r="LC466"/>
      <c r="LD466"/>
      <c r="LE466"/>
      <c r="LF466"/>
      <c r="LG466"/>
      <c r="LH466"/>
      <c r="LI466"/>
      <c r="LJ466"/>
      <c r="LK466"/>
      <c r="LL466"/>
      <c r="LM466"/>
      <c r="LN466"/>
      <c r="LO466"/>
      <c r="LP466"/>
      <c r="LQ466"/>
      <c r="LR466"/>
      <c r="LS466"/>
      <c r="LT466"/>
      <c r="LU466"/>
      <c r="LV466"/>
      <c r="LW466"/>
      <c r="LX466"/>
      <c r="LY466"/>
      <c r="LZ466"/>
      <c r="MA466"/>
      <c r="MB466"/>
      <c r="MC466"/>
      <c r="MD466"/>
      <c r="ME466"/>
      <c r="MF466"/>
      <c r="MG466"/>
      <c r="MH466"/>
      <c r="MI466"/>
      <c r="MJ466"/>
      <c r="MK466"/>
      <c r="ML466"/>
      <c r="MM466"/>
      <c r="MN466"/>
      <c r="MO466"/>
      <c r="MP466"/>
      <c r="MQ466"/>
      <c r="MR466"/>
      <c r="MS466"/>
      <c r="MT466"/>
      <c r="MU466"/>
      <c r="MV466"/>
      <c r="MW466"/>
      <c r="MX466"/>
      <c r="MY466"/>
      <c r="MZ466"/>
      <c r="NA466"/>
      <c r="NB466"/>
      <c r="NC466"/>
      <c r="ND466"/>
      <c r="NE466"/>
      <c r="NF466"/>
      <c r="NG466"/>
      <c r="NH466"/>
      <c r="NI466"/>
      <c r="NJ466"/>
      <c r="NK466"/>
      <c r="NL466"/>
      <c r="NM466"/>
      <c r="NN466"/>
      <c r="NO466"/>
      <c r="NP466"/>
      <c r="NQ466"/>
      <c r="NR466"/>
      <c r="NS466"/>
      <c r="NT466"/>
      <c r="NU466"/>
      <c r="NV466"/>
      <c r="NW466"/>
      <c r="NX466"/>
      <c r="NY466"/>
      <c r="NZ466"/>
      <c r="OA466"/>
      <c r="OB466"/>
      <c r="OC466"/>
      <c r="OD466"/>
      <c r="OE466"/>
      <c r="OF466"/>
      <c r="OG466"/>
      <c r="OH466"/>
      <c r="OI466"/>
      <c r="OJ466"/>
      <c r="OK466"/>
      <c r="OL466"/>
      <c r="OM466"/>
      <c r="ON466"/>
      <c r="OO466"/>
      <c r="OP466"/>
      <c r="OQ466"/>
      <c r="OR466"/>
      <c r="OS466"/>
      <c r="OT466"/>
      <c r="OU466"/>
      <c r="OV466"/>
      <c r="OW466"/>
      <c r="OX466"/>
      <c r="OY466"/>
      <c r="OZ466"/>
      <c r="PA466"/>
      <c r="PB466"/>
      <c r="PC466"/>
      <c r="PD466"/>
      <c r="PE466"/>
      <c r="PF466"/>
      <c r="PG466"/>
      <c r="PH466"/>
      <c r="PI466"/>
      <c r="PJ466"/>
      <c r="PK466"/>
      <c r="PL466"/>
      <c r="PM466"/>
      <c r="PN466"/>
      <c r="PO466"/>
      <c r="PP466"/>
      <c r="PQ466"/>
      <c r="PR466"/>
      <c r="PS466"/>
      <c r="PT466"/>
      <c r="PU466"/>
      <c r="PV466"/>
      <c r="PW466"/>
      <c r="PX466"/>
      <c r="PY466"/>
      <c r="PZ466"/>
      <c r="QA466"/>
      <c r="QB466"/>
      <c r="QC466"/>
      <c r="QD466"/>
      <c r="QE466"/>
      <c r="QF466"/>
      <c r="QG466"/>
      <c r="QH466"/>
      <c r="QI466"/>
      <c r="QJ466"/>
      <c r="QK466"/>
      <c r="QL466"/>
      <c r="QM466"/>
      <c r="QN466"/>
      <c r="QO466"/>
      <c r="QP466"/>
      <c r="QQ466"/>
      <c r="QR466"/>
      <c r="QS466"/>
      <c r="QT466"/>
      <c r="QU466"/>
      <c r="QV466"/>
      <c r="QW466"/>
      <c r="QX466"/>
      <c r="QY466"/>
      <c r="QZ466"/>
      <c r="RA466"/>
      <c r="RB466"/>
      <c r="RC466"/>
      <c r="RD466"/>
      <c r="RE466"/>
      <c r="RF466"/>
      <c r="RG466"/>
      <c r="RH466"/>
      <c r="RI466"/>
      <c r="RJ466"/>
      <c r="RK466"/>
      <c r="RL466"/>
      <c r="RM466"/>
      <c r="RN466"/>
      <c r="RO466"/>
      <c r="RP466"/>
      <c r="RQ466"/>
      <c r="RR466"/>
      <c r="RS466"/>
      <c r="RT466"/>
      <c r="RU466"/>
      <c r="RV466"/>
      <c r="RW466"/>
      <c r="RX466"/>
      <c r="RY466"/>
      <c r="RZ466"/>
      <c r="SA466"/>
      <c r="SB466"/>
      <c r="SC466"/>
      <c r="SD466"/>
      <c r="SE466"/>
      <c r="SF466"/>
      <c r="SG466"/>
      <c r="SH466"/>
      <c r="SI466"/>
      <c r="SJ466"/>
      <c r="SK466"/>
      <c r="SL466"/>
      <c r="SM466"/>
      <c r="SN466"/>
      <c r="SO466"/>
      <c r="SP466"/>
      <c r="SQ466"/>
      <c r="SR466"/>
      <c r="SS466"/>
      <c r="ST466"/>
      <c r="SU466"/>
      <c r="SV466"/>
      <c r="SW466"/>
      <c r="SX466"/>
      <c r="SY466"/>
      <c r="SZ466"/>
      <c r="TA466"/>
      <c r="TB466"/>
      <c r="TC466"/>
      <c r="TD466"/>
      <c r="TE466"/>
      <c r="TF466"/>
      <c r="TG466"/>
      <c r="TH466"/>
    </row>
    <row r="467" spans="3:528" x14ac:dyDescent="0.25">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c r="KT467"/>
      <c r="KU467"/>
      <c r="KV467"/>
      <c r="KW467"/>
      <c r="KX467"/>
      <c r="KY467"/>
      <c r="KZ467"/>
      <c r="LA467"/>
      <c r="LB467"/>
      <c r="LC467"/>
      <c r="LD467"/>
      <c r="LE467"/>
      <c r="LF467"/>
      <c r="LG467"/>
      <c r="LH467"/>
      <c r="LI467"/>
      <c r="LJ467"/>
      <c r="LK467"/>
      <c r="LL467"/>
      <c r="LM467"/>
      <c r="LN467"/>
      <c r="LO467"/>
      <c r="LP467"/>
      <c r="LQ467"/>
      <c r="LR467"/>
      <c r="LS467"/>
      <c r="LT467"/>
      <c r="LU467"/>
      <c r="LV467"/>
      <c r="LW467"/>
      <c r="LX467"/>
      <c r="LY467"/>
      <c r="LZ467"/>
      <c r="MA467"/>
      <c r="MB467"/>
      <c r="MC467"/>
      <c r="MD467"/>
      <c r="ME467"/>
      <c r="MF467"/>
      <c r="MG467"/>
      <c r="MH467"/>
      <c r="MI467"/>
      <c r="MJ467"/>
      <c r="MK467"/>
      <c r="ML467"/>
      <c r="MM467"/>
      <c r="MN467"/>
      <c r="MO467"/>
      <c r="MP467"/>
      <c r="MQ467"/>
      <c r="MR467"/>
      <c r="MS467"/>
      <c r="MT467"/>
      <c r="MU467"/>
      <c r="MV467"/>
      <c r="MW467"/>
      <c r="MX467"/>
      <c r="MY467"/>
      <c r="MZ467"/>
      <c r="NA467"/>
      <c r="NB467"/>
      <c r="NC467"/>
      <c r="ND467"/>
      <c r="NE467"/>
      <c r="NF467"/>
      <c r="NG467"/>
      <c r="NH467"/>
      <c r="NI467"/>
      <c r="NJ467"/>
      <c r="NK467"/>
      <c r="NL467"/>
      <c r="NM467"/>
      <c r="NN467"/>
      <c r="NO467"/>
      <c r="NP467"/>
      <c r="NQ467"/>
      <c r="NR467"/>
      <c r="NS467"/>
      <c r="NT467"/>
      <c r="NU467"/>
      <c r="NV467"/>
      <c r="NW467"/>
      <c r="NX467"/>
      <c r="NY467"/>
      <c r="NZ467"/>
      <c r="OA467"/>
      <c r="OB467"/>
      <c r="OC467"/>
      <c r="OD467"/>
      <c r="OE467"/>
      <c r="OF467"/>
      <c r="OG467"/>
      <c r="OH467"/>
      <c r="OI467"/>
      <c r="OJ467"/>
      <c r="OK467"/>
      <c r="OL467"/>
      <c r="OM467"/>
      <c r="ON467"/>
      <c r="OO467"/>
      <c r="OP467"/>
      <c r="OQ467"/>
      <c r="OR467"/>
      <c r="OS467"/>
      <c r="OT467"/>
      <c r="OU467"/>
      <c r="OV467"/>
      <c r="OW467"/>
      <c r="OX467"/>
      <c r="OY467"/>
      <c r="OZ467"/>
      <c r="PA467"/>
      <c r="PB467"/>
      <c r="PC467"/>
      <c r="PD467"/>
      <c r="PE467"/>
      <c r="PF467"/>
      <c r="PG467"/>
      <c r="PH467"/>
      <c r="PI467"/>
      <c r="PJ467"/>
      <c r="PK467"/>
      <c r="PL467"/>
      <c r="PM467"/>
      <c r="PN467"/>
      <c r="PO467"/>
      <c r="PP467"/>
      <c r="PQ467"/>
      <c r="PR467"/>
      <c r="PS467"/>
      <c r="PT467"/>
      <c r="PU467"/>
      <c r="PV467"/>
      <c r="PW467"/>
      <c r="PX467"/>
      <c r="PY467"/>
      <c r="PZ467"/>
      <c r="QA467"/>
      <c r="QB467"/>
      <c r="QC467"/>
      <c r="QD467"/>
      <c r="QE467"/>
      <c r="QF467"/>
      <c r="QG467"/>
      <c r="QH467"/>
      <c r="QI467"/>
      <c r="QJ467"/>
      <c r="QK467"/>
      <c r="QL467"/>
      <c r="QM467"/>
      <c r="QN467"/>
      <c r="QO467"/>
      <c r="QP467"/>
      <c r="QQ467"/>
      <c r="QR467"/>
      <c r="QS467"/>
      <c r="QT467"/>
      <c r="QU467"/>
      <c r="QV467"/>
      <c r="QW467"/>
      <c r="QX467"/>
      <c r="QY467"/>
      <c r="QZ467"/>
      <c r="RA467"/>
      <c r="RB467"/>
      <c r="RC467"/>
      <c r="RD467"/>
      <c r="RE467"/>
      <c r="RF467"/>
      <c r="RG467"/>
      <c r="RH467"/>
      <c r="RI467"/>
      <c r="RJ467"/>
      <c r="RK467"/>
      <c r="RL467"/>
      <c r="RM467"/>
      <c r="RN467"/>
      <c r="RO467"/>
      <c r="RP467"/>
      <c r="RQ467"/>
      <c r="RR467"/>
      <c r="RS467"/>
      <c r="RT467"/>
      <c r="RU467"/>
      <c r="RV467"/>
      <c r="RW467"/>
      <c r="RX467"/>
      <c r="RY467"/>
      <c r="RZ467"/>
      <c r="SA467"/>
      <c r="SB467"/>
      <c r="SC467"/>
      <c r="SD467"/>
      <c r="SE467"/>
      <c r="SF467"/>
      <c r="SG467"/>
      <c r="SH467"/>
      <c r="SI467"/>
      <c r="SJ467"/>
      <c r="SK467"/>
      <c r="SL467"/>
      <c r="SM467"/>
      <c r="SN467"/>
      <c r="SO467"/>
      <c r="SP467"/>
      <c r="SQ467"/>
      <c r="SR467"/>
      <c r="SS467"/>
      <c r="ST467"/>
      <c r="SU467"/>
      <c r="SV467"/>
      <c r="SW467"/>
      <c r="SX467"/>
      <c r="SY467"/>
      <c r="SZ467"/>
      <c r="TA467"/>
      <c r="TB467"/>
      <c r="TC467"/>
      <c r="TD467"/>
      <c r="TE467"/>
      <c r="TF467"/>
      <c r="TG467"/>
      <c r="TH467"/>
    </row>
    <row r="468" spans="3:528" x14ac:dyDescent="0.25">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c r="KT468"/>
      <c r="KU468"/>
      <c r="KV468"/>
      <c r="KW468"/>
      <c r="KX468"/>
      <c r="KY468"/>
      <c r="KZ468"/>
      <c r="LA468"/>
      <c r="LB468"/>
      <c r="LC468"/>
      <c r="LD468"/>
      <c r="LE468"/>
      <c r="LF468"/>
      <c r="LG468"/>
      <c r="LH468"/>
      <c r="LI468"/>
      <c r="LJ468"/>
      <c r="LK468"/>
      <c r="LL468"/>
      <c r="LM468"/>
      <c r="LN468"/>
      <c r="LO468"/>
      <c r="LP468"/>
      <c r="LQ468"/>
      <c r="LR468"/>
      <c r="LS468"/>
      <c r="LT468"/>
      <c r="LU468"/>
      <c r="LV468"/>
      <c r="LW468"/>
      <c r="LX468"/>
      <c r="LY468"/>
      <c r="LZ468"/>
      <c r="MA468"/>
      <c r="MB468"/>
      <c r="MC468"/>
      <c r="MD468"/>
      <c r="ME468"/>
      <c r="MF468"/>
      <c r="MG468"/>
      <c r="MH468"/>
      <c r="MI468"/>
      <c r="MJ468"/>
      <c r="MK468"/>
      <c r="ML468"/>
      <c r="MM468"/>
      <c r="MN468"/>
      <c r="MO468"/>
      <c r="MP468"/>
      <c r="MQ468"/>
      <c r="MR468"/>
      <c r="MS468"/>
      <c r="MT468"/>
      <c r="MU468"/>
      <c r="MV468"/>
      <c r="MW468"/>
      <c r="MX468"/>
      <c r="MY468"/>
      <c r="MZ468"/>
      <c r="NA468"/>
      <c r="NB468"/>
      <c r="NC468"/>
      <c r="ND468"/>
      <c r="NE468"/>
      <c r="NF468"/>
      <c r="NG468"/>
      <c r="NH468"/>
      <c r="NI468"/>
      <c r="NJ468"/>
      <c r="NK468"/>
      <c r="NL468"/>
      <c r="NM468"/>
      <c r="NN468"/>
      <c r="NO468"/>
      <c r="NP468"/>
      <c r="NQ468"/>
      <c r="NR468"/>
      <c r="NS468"/>
      <c r="NT468"/>
      <c r="NU468"/>
      <c r="NV468"/>
      <c r="NW468"/>
      <c r="NX468"/>
      <c r="NY468"/>
      <c r="NZ468"/>
      <c r="OA468"/>
      <c r="OB468"/>
      <c r="OC468"/>
      <c r="OD468"/>
      <c r="OE468"/>
      <c r="OF468"/>
      <c r="OG468"/>
      <c r="OH468"/>
      <c r="OI468"/>
      <c r="OJ468"/>
      <c r="OK468"/>
      <c r="OL468"/>
      <c r="OM468"/>
      <c r="ON468"/>
      <c r="OO468"/>
      <c r="OP468"/>
      <c r="OQ468"/>
      <c r="OR468"/>
      <c r="OS468"/>
      <c r="OT468"/>
      <c r="OU468"/>
      <c r="OV468"/>
      <c r="OW468"/>
      <c r="OX468"/>
      <c r="OY468"/>
      <c r="OZ468"/>
      <c r="PA468"/>
      <c r="PB468"/>
      <c r="PC468"/>
      <c r="PD468"/>
      <c r="PE468"/>
      <c r="PF468"/>
      <c r="PG468"/>
      <c r="PH468"/>
      <c r="PI468"/>
      <c r="PJ468"/>
      <c r="PK468"/>
      <c r="PL468"/>
      <c r="PM468"/>
      <c r="PN468"/>
      <c r="PO468"/>
      <c r="PP468"/>
      <c r="PQ468"/>
      <c r="PR468"/>
      <c r="PS468"/>
      <c r="PT468"/>
      <c r="PU468"/>
      <c r="PV468"/>
      <c r="PW468"/>
      <c r="PX468"/>
      <c r="PY468"/>
      <c r="PZ468"/>
      <c r="QA468"/>
      <c r="QB468"/>
      <c r="QC468"/>
      <c r="QD468"/>
      <c r="QE468"/>
      <c r="QF468"/>
      <c r="QG468"/>
      <c r="QH468"/>
      <c r="QI468"/>
      <c r="QJ468"/>
      <c r="QK468"/>
      <c r="QL468"/>
      <c r="QM468"/>
      <c r="QN468"/>
      <c r="QO468"/>
      <c r="QP468"/>
      <c r="QQ468"/>
      <c r="QR468"/>
      <c r="QS468"/>
      <c r="QT468"/>
      <c r="QU468"/>
      <c r="QV468"/>
      <c r="QW468"/>
      <c r="QX468"/>
      <c r="QY468"/>
      <c r="QZ468"/>
      <c r="RA468"/>
      <c r="RB468"/>
      <c r="RC468"/>
      <c r="RD468"/>
      <c r="RE468"/>
      <c r="RF468"/>
      <c r="RG468"/>
      <c r="RH468"/>
      <c r="RI468"/>
      <c r="RJ468"/>
      <c r="RK468"/>
      <c r="RL468"/>
      <c r="RM468"/>
      <c r="RN468"/>
      <c r="RO468"/>
      <c r="RP468"/>
      <c r="RQ468"/>
      <c r="RR468"/>
      <c r="RS468"/>
      <c r="RT468"/>
      <c r="RU468"/>
      <c r="RV468"/>
      <c r="RW468"/>
      <c r="RX468"/>
      <c r="RY468"/>
      <c r="RZ468"/>
      <c r="SA468"/>
      <c r="SB468"/>
      <c r="SC468"/>
      <c r="SD468"/>
      <c r="SE468"/>
      <c r="SF468"/>
      <c r="SG468"/>
      <c r="SH468"/>
      <c r="SI468"/>
      <c r="SJ468"/>
      <c r="SK468"/>
      <c r="SL468"/>
      <c r="SM468"/>
      <c r="SN468"/>
      <c r="SO468"/>
      <c r="SP468"/>
      <c r="SQ468"/>
      <c r="SR468"/>
      <c r="SS468"/>
      <c r="ST468"/>
      <c r="SU468"/>
      <c r="SV468"/>
      <c r="SW468"/>
      <c r="SX468"/>
      <c r="SY468"/>
      <c r="SZ468"/>
      <c r="TA468"/>
      <c r="TB468"/>
      <c r="TC468"/>
      <c r="TD468"/>
      <c r="TE468"/>
      <c r="TF468"/>
      <c r="TG468"/>
      <c r="TH468"/>
    </row>
    <row r="469" spans="3:528" x14ac:dyDescent="0.25">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c r="KT469"/>
      <c r="KU469"/>
      <c r="KV469"/>
      <c r="KW469"/>
      <c r="KX469"/>
      <c r="KY469"/>
      <c r="KZ469"/>
      <c r="LA469"/>
      <c r="LB469"/>
      <c r="LC469"/>
      <c r="LD469"/>
      <c r="LE469"/>
      <c r="LF469"/>
      <c r="LG469"/>
      <c r="LH469"/>
      <c r="LI469"/>
      <c r="LJ469"/>
      <c r="LK469"/>
      <c r="LL469"/>
      <c r="LM469"/>
      <c r="LN469"/>
      <c r="LO469"/>
      <c r="LP469"/>
      <c r="LQ469"/>
      <c r="LR469"/>
      <c r="LS469"/>
      <c r="LT469"/>
      <c r="LU469"/>
      <c r="LV469"/>
      <c r="LW469"/>
      <c r="LX469"/>
      <c r="LY469"/>
      <c r="LZ469"/>
      <c r="MA469"/>
      <c r="MB469"/>
      <c r="MC469"/>
      <c r="MD469"/>
      <c r="ME469"/>
      <c r="MF469"/>
      <c r="MG469"/>
      <c r="MH469"/>
      <c r="MI469"/>
      <c r="MJ469"/>
      <c r="MK469"/>
      <c r="ML469"/>
      <c r="MM469"/>
      <c r="MN469"/>
      <c r="MO469"/>
      <c r="MP469"/>
      <c r="MQ469"/>
      <c r="MR469"/>
      <c r="MS469"/>
      <c r="MT469"/>
      <c r="MU469"/>
      <c r="MV469"/>
      <c r="MW469"/>
      <c r="MX469"/>
      <c r="MY469"/>
      <c r="MZ469"/>
      <c r="NA469"/>
      <c r="NB469"/>
      <c r="NC469"/>
      <c r="ND469"/>
      <c r="NE469"/>
      <c r="NF469"/>
      <c r="NG469"/>
      <c r="NH469"/>
      <c r="NI469"/>
      <c r="NJ469"/>
      <c r="NK469"/>
      <c r="NL469"/>
      <c r="NM469"/>
      <c r="NN469"/>
      <c r="NO469"/>
      <c r="NP469"/>
      <c r="NQ469"/>
      <c r="NR469"/>
      <c r="NS469"/>
      <c r="NT469"/>
      <c r="NU469"/>
      <c r="NV469"/>
      <c r="NW469"/>
      <c r="NX469"/>
      <c r="NY469"/>
      <c r="NZ469"/>
      <c r="OA469"/>
      <c r="OB469"/>
      <c r="OC469"/>
      <c r="OD469"/>
      <c r="OE469"/>
      <c r="OF469"/>
      <c r="OG469"/>
      <c r="OH469"/>
      <c r="OI469"/>
      <c r="OJ469"/>
      <c r="OK469"/>
      <c r="OL469"/>
      <c r="OM469"/>
      <c r="ON469"/>
      <c r="OO469"/>
      <c r="OP469"/>
      <c r="OQ469"/>
      <c r="OR469"/>
      <c r="OS469"/>
      <c r="OT469"/>
      <c r="OU469"/>
      <c r="OV469"/>
      <c r="OW469"/>
      <c r="OX469"/>
      <c r="OY469"/>
      <c r="OZ469"/>
      <c r="PA469"/>
      <c r="PB469"/>
      <c r="PC469"/>
      <c r="PD469"/>
      <c r="PE469"/>
      <c r="PF469"/>
      <c r="PG469"/>
      <c r="PH469"/>
      <c r="PI469"/>
      <c r="PJ469"/>
      <c r="PK469"/>
      <c r="PL469"/>
      <c r="PM469"/>
      <c r="PN469"/>
      <c r="PO469"/>
      <c r="PP469"/>
      <c r="PQ469"/>
      <c r="PR469"/>
      <c r="PS469"/>
      <c r="PT469"/>
      <c r="PU469"/>
      <c r="PV469"/>
      <c r="PW469"/>
      <c r="PX469"/>
      <c r="PY469"/>
      <c r="PZ469"/>
      <c r="QA469"/>
      <c r="QB469"/>
      <c r="QC469"/>
      <c r="QD469"/>
      <c r="QE469"/>
      <c r="QF469"/>
      <c r="QG469"/>
      <c r="QH469"/>
      <c r="QI469"/>
      <c r="QJ469"/>
      <c r="QK469"/>
      <c r="QL469"/>
      <c r="QM469"/>
      <c r="QN469"/>
      <c r="QO469"/>
      <c r="QP469"/>
      <c r="QQ469"/>
      <c r="QR469"/>
      <c r="QS469"/>
      <c r="QT469"/>
      <c r="QU469"/>
      <c r="QV469"/>
      <c r="QW469"/>
      <c r="QX469"/>
      <c r="QY469"/>
      <c r="QZ469"/>
      <c r="RA469"/>
      <c r="RB469"/>
      <c r="RC469"/>
      <c r="RD469"/>
      <c r="RE469"/>
      <c r="RF469"/>
      <c r="RG469"/>
      <c r="RH469"/>
      <c r="RI469"/>
      <c r="RJ469"/>
      <c r="RK469"/>
      <c r="RL469"/>
      <c r="RM469"/>
      <c r="RN469"/>
      <c r="RO469"/>
      <c r="RP469"/>
      <c r="RQ469"/>
      <c r="RR469"/>
      <c r="RS469"/>
      <c r="RT469"/>
      <c r="RU469"/>
      <c r="RV469"/>
      <c r="RW469"/>
      <c r="RX469"/>
      <c r="RY469"/>
      <c r="RZ469"/>
      <c r="SA469"/>
      <c r="SB469"/>
      <c r="SC469"/>
      <c r="SD469"/>
      <c r="SE469"/>
      <c r="SF469"/>
      <c r="SG469"/>
      <c r="SH469"/>
      <c r="SI469"/>
      <c r="SJ469"/>
      <c r="SK469"/>
      <c r="SL469"/>
      <c r="SM469"/>
      <c r="SN469"/>
      <c r="SO469"/>
      <c r="SP469"/>
      <c r="SQ469"/>
      <c r="SR469"/>
      <c r="SS469"/>
      <c r="ST469"/>
      <c r="SU469"/>
      <c r="SV469"/>
      <c r="SW469"/>
      <c r="SX469"/>
      <c r="SY469"/>
      <c r="SZ469"/>
      <c r="TA469"/>
      <c r="TB469"/>
      <c r="TC469"/>
      <c r="TD469"/>
      <c r="TE469"/>
      <c r="TF469"/>
      <c r="TG469"/>
      <c r="TH469"/>
    </row>
    <row r="470" spans="3:528" x14ac:dyDescent="0.25">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c r="KT470"/>
      <c r="KU470"/>
      <c r="KV470"/>
      <c r="KW470"/>
      <c r="KX470"/>
      <c r="KY470"/>
      <c r="KZ470"/>
      <c r="LA470"/>
      <c r="LB470"/>
      <c r="LC470"/>
      <c r="LD470"/>
      <c r="LE470"/>
      <c r="LF470"/>
      <c r="LG470"/>
      <c r="LH470"/>
      <c r="LI470"/>
      <c r="LJ470"/>
      <c r="LK470"/>
      <c r="LL470"/>
      <c r="LM470"/>
      <c r="LN470"/>
      <c r="LO470"/>
      <c r="LP470"/>
      <c r="LQ470"/>
      <c r="LR470"/>
      <c r="LS470"/>
      <c r="LT470"/>
      <c r="LU470"/>
      <c r="LV470"/>
      <c r="LW470"/>
      <c r="LX470"/>
      <c r="LY470"/>
      <c r="LZ470"/>
      <c r="MA470"/>
      <c r="MB470"/>
      <c r="MC470"/>
      <c r="MD470"/>
      <c r="ME470"/>
      <c r="MF470"/>
      <c r="MG470"/>
      <c r="MH470"/>
      <c r="MI470"/>
      <c r="MJ470"/>
      <c r="MK470"/>
      <c r="ML470"/>
      <c r="MM470"/>
      <c r="MN470"/>
      <c r="MO470"/>
      <c r="MP470"/>
      <c r="MQ470"/>
      <c r="MR470"/>
      <c r="MS470"/>
      <c r="MT470"/>
      <c r="MU470"/>
      <c r="MV470"/>
      <c r="MW470"/>
      <c r="MX470"/>
      <c r="MY470"/>
      <c r="MZ470"/>
      <c r="NA470"/>
      <c r="NB470"/>
      <c r="NC470"/>
      <c r="ND470"/>
      <c r="NE470"/>
      <c r="NF470"/>
      <c r="NG470"/>
      <c r="NH470"/>
      <c r="NI470"/>
      <c r="NJ470"/>
      <c r="NK470"/>
      <c r="NL470"/>
      <c r="NM470"/>
      <c r="NN470"/>
      <c r="NO470"/>
      <c r="NP470"/>
      <c r="NQ470"/>
      <c r="NR470"/>
      <c r="NS470"/>
      <c r="NT470"/>
      <c r="NU470"/>
      <c r="NV470"/>
      <c r="NW470"/>
      <c r="NX470"/>
      <c r="NY470"/>
      <c r="NZ470"/>
      <c r="OA470"/>
      <c r="OB470"/>
      <c r="OC470"/>
      <c r="OD470"/>
      <c r="OE470"/>
      <c r="OF470"/>
      <c r="OG470"/>
      <c r="OH470"/>
      <c r="OI470"/>
      <c r="OJ470"/>
      <c r="OK470"/>
      <c r="OL470"/>
      <c r="OM470"/>
      <c r="ON470"/>
      <c r="OO470"/>
      <c r="OP470"/>
      <c r="OQ470"/>
      <c r="OR470"/>
      <c r="OS470"/>
      <c r="OT470"/>
      <c r="OU470"/>
      <c r="OV470"/>
      <c r="OW470"/>
      <c r="OX470"/>
      <c r="OY470"/>
      <c r="OZ470"/>
      <c r="PA470"/>
      <c r="PB470"/>
      <c r="PC470"/>
      <c r="PD470"/>
      <c r="PE470"/>
      <c r="PF470"/>
      <c r="PG470"/>
      <c r="PH470"/>
      <c r="PI470"/>
      <c r="PJ470"/>
      <c r="PK470"/>
      <c r="PL470"/>
      <c r="PM470"/>
      <c r="PN470"/>
      <c r="PO470"/>
      <c r="PP470"/>
      <c r="PQ470"/>
      <c r="PR470"/>
      <c r="PS470"/>
      <c r="PT470"/>
      <c r="PU470"/>
      <c r="PV470"/>
      <c r="PW470"/>
      <c r="PX470"/>
      <c r="PY470"/>
      <c r="PZ470"/>
      <c r="QA470"/>
      <c r="QB470"/>
      <c r="QC470"/>
      <c r="QD470"/>
      <c r="QE470"/>
      <c r="QF470"/>
      <c r="QG470"/>
      <c r="QH470"/>
      <c r="QI470"/>
      <c r="QJ470"/>
      <c r="QK470"/>
      <c r="QL470"/>
      <c r="QM470"/>
      <c r="QN470"/>
      <c r="QO470"/>
      <c r="QP470"/>
      <c r="QQ470"/>
      <c r="QR470"/>
      <c r="QS470"/>
      <c r="QT470"/>
      <c r="QU470"/>
      <c r="QV470"/>
      <c r="QW470"/>
      <c r="QX470"/>
      <c r="QY470"/>
      <c r="QZ470"/>
      <c r="RA470"/>
      <c r="RB470"/>
      <c r="RC470"/>
      <c r="RD470"/>
      <c r="RE470"/>
      <c r="RF470"/>
      <c r="RG470"/>
      <c r="RH470"/>
      <c r="RI470"/>
      <c r="RJ470"/>
      <c r="RK470"/>
      <c r="RL470"/>
      <c r="RM470"/>
      <c r="RN470"/>
      <c r="RO470"/>
      <c r="RP470"/>
      <c r="RQ470"/>
      <c r="RR470"/>
      <c r="RS470"/>
      <c r="RT470"/>
      <c r="RU470"/>
      <c r="RV470"/>
      <c r="RW470"/>
      <c r="RX470"/>
      <c r="RY470"/>
      <c r="RZ470"/>
      <c r="SA470"/>
      <c r="SB470"/>
      <c r="SC470"/>
      <c r="SD470"/>
      <c r="SE470"/>
      <c r="SF470"/>
      <c r="SG470"/>
      <c r="SH470"/>
      <c r="SI470"/>
      <c r="SJ470"/>
      <c r="SK470"/>
      <c r="SL470"/>
      <c r="SM470"/>
      <c r="SN470"/>
      <c r="SO470"/>
      <c r="SP470"/>
      <c r="SQ470"/>
      <c r="SR470"/>
      <c r="SS470"/>
      <c r="ST470"/>
      <c r="SU470"/>
      <c r="SV470"/>
      <c r="SW470"/>
      <c r="SX470"/>
      <c r="SY470"/>
      <c r="SZ470"/>
      <c r="TA470"/>
      <c r="TB470"/>
      <c r="TC470"/>
      <c r="TD470"/>
      <c r="TE470"/>
      <c r="TF470"/>
      <c r="TG470"/>
      <c r="TH470"/>
    </row>
    <row r="471" spans="3:528" x14ac:dyDescent="0.25">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c r="KT471"/>
      <c r="KU471"/>
      <c r="KV471"/>
      <c r="KW471"/>
      <c r="KX471"/>
      <c r="KY471"/>
      <c r="KZ471"/>
      <c r="LA471"/>
      <c r="LB471"/>
      <c r="LC471"/>
      <c r="LD471"/>
      <c r="LE471"/>
      <c r="LF471"/>
      <c r="LG471"/>
      <c r="LH471"/>
      <c r="LI471"/>
      <c r="LJ471"/>
      <c r="LK471"/>
      <c r="LL471"/>
      <c r="LM471"/>
      <c r="LN471"/>
      <c r="LO471"/>
      <c r="LP471"/>
      <c r="LQ471"/>
      <c r="LR471"/>
      <c r="LS471"/>
      <c r="LT471"/>
      <c r="LU471"/>
      <c r="LV471"/>
      <c r="LW471"/>
      <c r="LX471"/>
      <c r="LY471"/>
      <c r="LZ471"/>
      <c r="MA471"/>
      <c r="MB471"/>
      <c r="MC471"/>
      <c r="MD471"/>
      <c r="ME471"/>
      <c r="MF471"/>
      <c r="MG471"/>
      <c r="MH471"/>
      <c r="MI471"/>
      <c r="MJ471"/>
      <c r="MK471"/>
      <c r="ML471"/>
      <c r="MM471"/>
      <c r="MN471"/>
      <c r="MO471"/>
      <c r="MP471"/>
      <c r="MQ471"/>
      <c r="MR471"/>
      <c r="MS471"/>
      <c r="MT471"/>
      <c r="MU471"/>
      <c r="MV471"/>
      <c r="MW471"/>
      <c r="MX471"/>
      <c r="MY471"/>
      <c r="MZ471"/>
      <c r="NA471"/>
      <c r="NB471"/>
      <c r="NC471"/>
      <c r="ND471"/>
      <c r="NE471"/>
      <c r="NF471"/>
      <c r="NG471"/>
      <c r="NH471"/>
      <c r="NI471"/>
      <c r="NJ471"/>
      <c r="NK471"/>
      <c r="NL471"/>
      <c r="NM471"/>
      <c r="NN471"/>
      <c r="NO471"/>
      <c r="NP471"/>
      <c r="NQ471"/>
      <c r="NR471"/>
      <c r="NS471"/>
      <c r="NT471"/>
      <c r="NU471"/>
      <c r="NV471"/>
      <c r="NW471"/>
      <c r="NX471"/>
      <c r="NY471"/>
      <c r="NZ471"/>
      <c r="OA471"/>
      <c r="OB471"/>
      <c r="OC471"/>
      <c r="OD471"/>
      <c r="OE471"/>
      <c r="OF471"/>
      <c r="OG471"/>
      <c r="OH471"/>
      <c r="OI471"/>
      <c r="OJ471"/>
      <c r="OK471"/>
      <c r="OL471"/>
      <c r="OM471"/>
      <c r="ON471"/>
      <c r="OO471"/>
      <c r="OP471"/>
      <c r="OQ471"/>
      <c r="OR471"/>
      <c r="OS471"/>
      <c r="OT471"/>
      <c r="OU471"/>
      <c r="OV471"/>
      <c r="OW471"/>
      <c r="OX471"/>
      <c r="OY471"/>
      <c r="OZ471"/>
      <c r="PA471"/>
      <c r="PB471"/>
      <c r="PC471"/>
      <c r="PD471"/>
      <c r="PE471"/>
      <c r="PF471"/>
      <c r="PG471"/>
      <c r="PH471"/>
      <c r="PI471"/>
      <c r="PJ471"/>
      <c r="PK471"/>
      <c r="PL471"/>
      <c r="PM471"/>
      <c r="PN471"/>
      <c r="PO471"/>
      <c r="PP471"/>
      <c r="PQ471"/>
      <c r="PR471"/>
      <c r="PS471"/>
      <c r="PT471"/>
      <c r="PU471"/>
      <c r="PV471"/>
      <c r="PW471"/>
      <c r="PX471"/>
      <c r="PY471"/>
      <c r="PZ471"/>
      <c r="QA471"/>
      <c r="QB471"/>
      <c r="QC471"/>
      <c r="QD471"/>
      <c r="QE471"/>
      <c r="QF471"/>
      <c r="QG471"/>
      <c r="QH471"/>
      <c r="QI471"/>
      <c r="QJ471"/>
      <c r="QK471"/>
      <c r="QL471"/>
      <c r="QM471"/>
      <c r="QN471"/>
      <c r="QO471"/>
      <c r="QP471"/>
      <c r="QQ471"/>
      <c r="QR471"/>
      <c r="QS471"/>
      <c r="QT471"/>
      <c r="QU471"/>
      <c r="QV471"/>
      <c r="QW471"/>
      <c r="QX471"/>
      <c r="QY471"/>
      <c r="QZ471"/>
      <c r="RA471"/>
      <c r="RB471"/>
      <c r="RC471"/>
      <c r="RD471"/>
      <c r="RE471"/>
      <c r="RF471"/>
      <c r="RG471"/>
      <c r="RH471"/>
      <c r="RI471"/>
      <c r="RJ471"/>
      <c r="RK471"/>
      <c r="RL471"/>
      <c r="RM471"/>
      <c r="RN471"/>
      <c r="RO471"/>
      <c r="RP471"/>
      <c r="RQ471"/>
      <c r="RR471"/>
      <c r="RS471"/>
      <c r="RT471"/>
      <c r="RU471"/>
      <c r="RV471"/>
      <c r="RW471"/>
      <c r="RX471"/>
      <c r="RY471"/>
      <c r="RZ471"/>
      <c r="SA471"/>
      <c r="SB471"/>
      <c r="SC471"/>
      <c r="SD471"/>
      <c r="SE471"/>
      <c r="SF471"/>
      <c r="SG471"/>
      <c r="SH471"/>
      <c r="SI471"/>
      <c r="SJ471"/>
      <c r="SK471"/>
      <c r="SL471"/>
      <c r="SM471"/>
      <c r="SN471"/>
      <c r="SO471"/>
      <c r="SP471"/>
      <c r="SQ471"/>
      <c r="SR471"/>
      <c r="SS471"/>
      <c r="ST471"/>
      <c r="SU471"/>
      <c r="SV471"/>
      <c r="SW471"/>
      <c r="SX471"/>
      <c r="SY471"/>
      <c r="SZ471"/>
      <c r="TA471"/>
      <c r="TB471"/>
      <c r="TC471"/>
      <c r="TD471"/>
      <c r="TE471"/>
      <c r="TF471"/>
      <c r="TG471"/>
      <c r="TH471"/>
    </row>
    <row r="472" spans="3:528" x14ac:dyDescent="0.25">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c r="KT472"/>
      <c r="KU472"/>
      <c r="KV472"/>
      <c r="KW472"/>
      <c r="KX472"/>
      <c r="KY472"/>
      <c r="KZ472"/>
      <c r="LA472"/>
      <c r="LB472"/>
      <c r="LC472"/>
      <c r="LD472"/>
      <c r="LE472"/>
      <c r="LF472"/>
      <c r="LG472"/>
      <c r="LH472"/>
      <c r="LI472"/>
      <c r="LJ472"/>
      <c r="LK472"/>
      <c r="LL472"/>
      <c r="LM472"/>
      <c r="LN472"/>
      <c r="LO472"/>
      <c r="LP472"/>
      <c r="LQ472"/>
      <c r="LR472"/>
      <c r="LS472"/>
      <c r="LT472"/>
      <c r="LU472"/>
      <c r="LV472"/>
      <c r="LW472"/>
      <c r="LX472"/>
      <c r="LY472"/>
      <c r="LZ472"/>
      <c r="MA472"/>
      <c r="MB472"/>
      <c r="MC472"/>
      <c r="MD472"/>
      <c r="ME472"/>
      <c r="MF472"/>
      <c r="MG472"/>
      <c r="MH472"/>
      <c r="MI472"/>
      <c r="MJ472"/>
      <c r="MK472"/>
      <c r="ML472"/>
      <c r="MM472"/>
      <c r="MN472"/>
      <c r="MO472"/>
      <c r="MP472"/>
      <c r="MQ472"/>
      <c r="MR472"/>
      <c r="MS472"/>
      <c r="MT472"/>
      <c r="MU472"/>
      <c r="MV472"/>
      <c r="MW472"/>
      <c r="MX472"/>
      <c r="MY472"/>
      <c r="MZ472"/>
      <c r="NA472"/>
      <c r="NB472"/>
      <c r="NC472"/>
      <c r="ND472"/>
      <c r="NE472"/>
      <c r="NF472"/>
      <c r="NG472"/>
      <c r="NH472"/>
      <c r="NI472"/>
      <c r="NJ472"/>
      <c r="NK472"/>
      <c r="NL472"/>
      <c r="NM472"/>
      <c r="NN472"/>
      <c r="NO472"/>
      <c r="NP472"/>
      <c r="NQ472"/>
      <c r="NR472"/>
      <c r="NS472"/>
      <c r="NT472"/>
      <c r="NU472"/>
      <c r="NV472"/>
      <c r="NW472"/>
      <c r="NX472"/>
      <c r="NY472"/>
      <c r="NZ472"/>
      <c r="OA472"/>
      <c r="OB472"/>
      <c r="OC472"/>
      <c r="OD472"/>
      <c r="OE472"/>
      <c r="OF472"/>
      <c r="OG472"/>
      <c r="OH472"/>
      <c r="OI472"/>
      <c r="OJ472"/>
      <c r="OK472"/>
      <c r="OL472"/>
      <c r="OM472"/>
      <c r="ON472"/>
      <c r="OO472"/>
      <c r="OP472"/>
      <c r="OQ472"/>
      <c r="OR472"/>
      <c r="OS472"/>
      <c r="OT472"/>
      <c r="OU472"/>
      <c r="OV472"/>
      <c r="OW472"/>
      <c r="OX472"/>
      <c r="OY472"/>
      <c r="OZ472"/>
      <c r="PA472"/>
      <c r="PB472"/>
      <c r="PC472"/>
      <c r="PD472"/>
      <c r="PE472"/>
      <c r="PF472"/>
      <c r="PG472"/>
      <c r="PH472"/>
      <c r="PI472"/>
      <c r="PJ472"/>
      <c r="PK472"/>
      <c r="PL472"/>
      <c r="PM472"/>
      <c r="PN472"/>
      <c r="PO472"/>
      <c r="PP472"/>
      <c r="PQ472"/>
      <c r="PR472"/>
      <c r="PS472"/>
      <c r="PT472"/>
      <c r="PU472"/>
      <c r="PV472"/>
      <c r="PW472"/>
      <c r="PX472"/>
      <c r="PY472"/>
      <c r="PZ472"/>
      <c r="QA472"/>
      <c r="QB472"/>
      <c r="QC472"/>
      <c r="QD472"/>
      <c r="QE472"/>
      <c r="QF472"/>
      <c r="QG472"/>
      <c r="QH472"/>
      <c r="QI472"/>
      <c r="QJ472"/>
      <c r="QK472"/>
      <c r="QL472"/>
      <c r="QM472"/>
      <c r="QN472"/>
      <c r="QO472"/>
      <c r="QP472"/>
      <c r="QQ472"/>
      <c r="QR472"/>
      <c r="QS472"/>
      <c r="QT472"/>
      <c r="QU472"/>
      <c r="QV472"/>
      <c r="QW472"/>
      <c r="QX472"/>
      <c r="QY472"/>
      <c r="QZ472"/>
      <c r="RA472"/>
      <c r="RB472"/>
      <c r="RC472"/>
      <c r="RD472"/>
      <c r="RE472"/>
      <c r="RF472"/>
      <c r="RG472"/>
      <c r="RH472"/>
      <c r="RI472"/>
      <c r="RJ472"/>
      <c r="RK472"/>
      <c r="RL472"/>
      <c r="RM472"/>
      <c r="RN472"/>
      <c r="RO472"/>
      <c r="RP472"/>
      <c r="RQ472"/>
      <c r="RR472"/>
      <c r="RS472"/>
      <c r="RT472"/>
      <c r="RU472"/>
      <c r="RV472"/>
      <c r="RW472"/>
      <c r="RX472"/>
      <c r="RY472"/>
      <c r="RZ472"/>
      <c r="SA472"/>
      <c r="SB472"/>
      <c r="SC472"/>
      <c r="SD472"/>
      <c r="SE472"/>
      <c r="SF472"/>
      <c r="SG472"/>
      <c r="SH472"/>
      <c r="SI472"/>
      <c r="SJ472"/>
      <c r="SK472"/>
      <c r="SL472"/>
      <c r="SM472"/>
      <c r="SN472"/>
      <c r="SO472"/>
      <c r="SP472"/>
      <c r="SQ472"/>
      <c r="SR472"/>
      <c r="SS472"/>
      <c r="ST472"/>
      <c r="SU472"/>
      <c r="SV472"/>
      <c r="SW472"/>
      <c r="SX472"/>
      <c r="SY472"/>
      <c r="SZ472"/>
      <c r="TA472"/>
      <c r="TB472"/>
      <c r="TC472"/>
      <c r="TD472"/>
      <c r="TE472"/>
      <c r="TF472"/>
      <c r="TG472"/>
      <c r="TH472"/>
    </row>
    <row r="473" spans="3:528" x14ac:dyDescent="0.25">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c r="KT473"/>
      <c r="KU473"/>
      <c r="KV473"/>
      <c r="KW473"/>
      <c r="KX473"/>
      <c r="KY473"/>
      <c r="KZ473"/>
      <c r="LA473"/>
      <c r="LB473"/>
      <c r="LC473"/>
      <c r="LD473"/>
      <c r="LE473"/>
      <c r="LF473"/>
      <c r="LG473"/>
      <c r="LH473"/>
      <c r="LI473"/>
      <c r="LJ473"/>
      <c r="LK473"/>
      <c r="LL473"/>
      <c r="LM473"/>
      <c r="LN473"/>
      <c r="LO473"/>
      <c r="LP473"/>
      <c r="LQ473"/>
      <c r="LR473"/>
      <c r="LS473"/>
      <c r="LT473"/>
      <c r="LU473"/>
      <c r="LV473"/>
      <c r="LW473"/>
      <c r="LX473"/>
      <c r="LY473"/>
      <c r="LZ473"/>
      <c r="MA473"/>
      <c r="MB473"/>
      <c r="MC473"/>
      <c r="MD473"/>
      <c r="ME473"/>
      <c r="MF473"/>
      <c r="MG473"/>
      <c r="MH473"/>
      <c r="MI473"/>
      <c r="MJ473"/>
      <c r="MK473"/>
      <c r="ML473"/>
      <c r="MM473"/>
      <c r="MN473"/>
      <c r="MO473"/>
      <c r="MP473"/>
      <c r="MQ473"/>
      <c r="MR473"/>
      <c r="MS473"/>
      <c r="MT473"/>
      <c r="MU473"/>
      <c r="MV473"/>
      <c r="MW473"/>
      <c r="MX473"/>
      <c r="MY473"/>
      <c r="MZ473"/>
      <c r="NA473"/>
      <c r="NB473"/>
      <c r="NC473"/>
      <c r="ND473"/>
      <c r="NE473"/>
      <c r="NF473"/>
      <c r="NG473"/>
      <c r="NH473"/>
      <c r="NI473"/>
      <c r="NJ473"/>
      <c r="NK473"/>
      <c r="NL473"/>
      <c r="NM473"/>
      <c r="NN473"/>
      <c r="NO473"/>
      <c r="NP473"/>
      <c r="NQ473"/>
      <c r="NR473"/>
      <c r="NS473"/>
      <c r="NT473"/>
      <c r="NU473"/>
      <c r="NV473"/>
      <c r="NW473"/>
      <c r="NX473"/>
      <c r="NY473"/>
      <c r="NZ473"/>
      <c r="OA473"/>
      <c r="OB473"/>
      <c r="OC473"/>
      <c r="OD473"/>
      <c r="OE473"/>
      <c r="OF473"/>
      <c r="OG473"/>
      <c r="OH473"/>
      <c r="OI473"/>
      <c r="OJ473"/>
      <c r="OK473"/>
      <c r="OL473"/>
      <c r="OM473"/>
      <c r="ON473"/>
      <c r="OO473"/>
      <c r="OP473"/>
      <c r="OQ473"/>
      <c r="OR473"/>
      <c r="OS473"/>
      <c r="OT473"/>
      <c r="OU473"/>
      <c r="OV473"/>
      <c r="OW473"/>
      <c r="OX473"/>
      <c r="OY473"/>
      <c r="OZ473"/>
      <c r="PA473"/>
      <c r="PB473"/>
      <c r="PC473"/>
      <c r="PD473"/>
      <c r="PE473"/>
      <c r="PF473"/>
      <c r="PG473"/>
      <c r="PH473"/>
      <c r="PI473"/>
      <c r="PJ473"/>
      <c r="PK473"/>
      <c r="PL473"/>
      <c r="PM473"/>
      <c r="PN473"/>
      <c r="PO473"/>
      <c r="PP473"/>
      <c r="PQ473"/>
      <c r="PR473"/>
      <c r="PS473"/>
      <c r="PT473"/>
      <c r="PU473"/>
      <c r="PV473"/>
      <c r="PW473"/>
      <c r="PX473"/>
      <c r="PY473"/>
      <c r="PZ473"/>
      <c r="QA473"/>
      <c r="QB473"/>
      <c r="QC473"/>
      <c r="QD473"/>
      <c r="QE473"/>
      <c r="QF473"/>
      <c r="QG473"/>
      <c r="QH473"/>
      <c r="QI473"/>
      <c r="QJ473"/>
      <c r="QK473"/>
      <c r="QL473"/>
      <c r="QM473"/>
      <c r="QN473"/>
      <c r="QO473"/>
      <c r="QP473"/>
      <c r="QQ473"/>
      <c r="QR473"/>
      <c r="QS473"/>
      <c r="QT473"/>
      <c r="QU473"/>
      <c r="QV473"/>
      <c r="QW473"/>
      <c r="QX473"/>
      <c r="QY473"/>
      <c r="QZ473"/>
      <c r="RA473"/>
      <c r="RB473"/>
      <c r="RC473"/>
      <c r="RD473"/>
      <c r="RE473"/>
      <c r="RF473"/>
      <c r="RG473"/>
      <c r="RH473"/>
      <c r="RI473"/>
      <c r="RJ473"/>
      <c r="RK473"/>
      <c r="RL473"/>
      <c r="RM473"/>
      <c r="RN473"/>
      <c r="RO473"/>
      <c r="RP473"/>
      <c r="RQ473"/>
      <c r="RR473"/>
      <c r="RS473"/>
      <c r="RT473"/>
      <c r="RU473"/>
      <c r="RV473"/>
      <c r="RW473"/>
      <c r="RX473"/>
      <c r="RY473"/>
      <c r="RZ473"/>
      <c r="SA473"/>
      <c r="SB473"/>
      <c r="SC473"/>
      <c r="SD473"/>
      <c r="SE473"/>
      <c r="SF473"/>
      <c r="SG473"/>
      <c r="SH473"/>
      <c r="SI473"/>
      <c r="SJ473"/>
      <c r="SK473"/>
      <c r="SL473"/>
      <c r="SM473"/>
      <c r="SN473"/>
      <c r="SO473"/>
      <c r="SP473"/>
      <c r="SQ473"/>
      <c r="SR473"/>
      <c r="SS473"/>
      <c r="ST473"/>
      <c r="SU473"/>
      <c r="SV473"/>
      <c r="SW473"/>
      <c r="SX473"/>
      <c r="SY473"/>
      <c r="SZ473"/>
      <c r="TA473"/>
      <c r="TB473"/>
      <c r="TC473"/>
      <c r="TD473"/>
      <c r="TE473"/>
      <c r="TF473"/>
      <c r="TG473"/>
      <c r="TH473"/>
    </row>
    <row r="474" spans="3:528" x14ac:dyDescent="0.25">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c r="KT474"/>
      <c r="KU474"/>
      <c r="KV474"/>
      <c r="KW474"/>
      <c r="KX474"/>
      <c r="KY474"/>
      <c r="KZ474"/>
      <c r="LA474"/>
      <c r="LB474"/>
      <c r="LC474"/>
      <c r="LD474"/>
      <c r="LE474"/>
      <c r="LF474"/>
      <c r="LG474"/>
      <c r="LH474"/>
      <c r="LI474"/>
      <c r="LJ474"/>
      <c r="LK474"/>
      <c r="LL474"/>
      <c r="LM474"/>
      <c r="LN474"/>
      <c r="LO474"/>
      <c r="LP474"/>
      <c r="LQ474"/>
      <c r="LR474"/>
      <c r="LS474"/>
      <c r="LT474"/>
      <c r="LU474"/>
      <c r="LV474"/>
      <c r="LW474"/>
      <c r="LX474"/>
      <c r="LY474"/>
      <c r="LZ474"/>
      <c r="MA474"/>
      <c r="MB474"/>
      <c r="MC474"/>
      <c r="MD474"/>
      <c r="ME474"/>
      <c r="MF474"/>
      <c r="MG474"/>
      <c r="MH474"/>
      <c r="MI474"/>
      <c r="MJ474"/>
      <c r="MK474"/>
      <c r="ML474"/>
      <c r="MM474"/>
      <c r="MN474"/>
      <c r="MO474"/>
      <c r="MP474"/>
      <c r="MQ474"/>
      <c r="MR474"/>
      <c r="MS474"/>
      <c r="MT474"/>
      <c r="MU474"/>
      <c r="MV474"/>
      <c r="MW474"/>
      <c r="MX474"/>
      <c r="MY474"/>
      <c r="MZ474"/>
      <c r="NA474"/>
      <c r="NB474"/>
      <c r="NC474"/>
      <c r="ND474"/>
      <c r="NE474"/>
      <c r="NF474"/>
      <c r="NG474"/>
      <c r="NH474"/>
      <c r="NI474"/>
      <c r="NJ474"/>
      <c r="NK474"/>
      <c r="NL474"/>
      <c r="NM474"/>
      <c r="NN474"/>
      <c r="NO474"/>
      <c r="NP474"/>
      <c r="NQ474"/>
      <c r="NR474"/>
      <c r="NS474"/>
      <c r="NT474"/>
      <c r="NU474"/>
      <c r="NV474"/>
      <c r="NW474"/>
      <c r="NX474"/>
      <c r="NY474"/>
      <c r="NZ474"/>
      <c r="OA474"/>
      <c r="OB474"/>
      <c r="OC474"/>
      <c r="OD474"/>
      <c r="OE474"/>
      <c r="OF474"/>
      <c r="OG474"/>
      <c r="OH474"/>
      <c r="OI474"/>
      <c r="OJ474"/>
      <c r="OK474"/>
      <c r="OL474"/>
      <c r="OM474"/>
      <c r="ON474"/>
      <c r="OO474"/>
      <c r="OP474"/>
      <c r="OQ474"/>
      <c r="OR474"/>
      <c r="OS474"/>
      <c r="OT474"/>
      <c r="OU474"/>
      <c r="OV474"/>
      <c r="OW474"/>
      <c r="OX474"/>
      <c r="OY474"/>
      <c r="OZ474"/>
      <c r="PA474"/>
      <c r="PB474"/>
      <c r="PC474"/>
      <c r="PD474"/>
      <c r="PE474"/>
      <c r="PF474"/>
      <c r="PG474"/>
      <c r="PH474"/>
      <c r="PI474"/>
      <c r="PJ474"/>
      <c r="PK474"/>
      <c r="PL474"/>
      <c r="PM474"/>
      <c r="PN474"/>
      <c r="PO474"/>
      <c r="PP474"/>
      <c r="PQ474"/>
      <c r="PR474"/>
      <c r="PS474"/>
      <c r="PT474"/>
      <c r="PU474"/>
      <c r="PV474"/>
      <c r="PW474"/>
      <c r="PX474"/>
      <c r="PY474"/>
      <c r="PZ474"/>
      <c r="QA474"/>
      <c r="QB474"/>
      <c r="QC474"/>
      <c r="QD474"/>
      <c r="QE474"/>
      <c r="QF474"/>
      <c r="QG474"/>
      <c r="QH474"/>
      <c r="QI474"/>
      <c r="QJ474"/>
      <c r="QK474"/>
      <c r="QL474"/>
      <c r="QM474"/>
      <c r="QN474"/>
      <c r="QO474"/>
      <c r="QP474"/>
      <c r="QQ474"/>
      <c r="QR474"/>
      <c r="QS474"/>
      <c r="QT474"/>
      <c r="QU474"/>
      <c r="QV474"/>
      <c r="QW474"/>
      <c r="QX474"/>
      <c r="QY474"/>
      <c r="QZ474"/>
      <c r="RA474"/>
      <c r="RB474"/>
      <c r="RC474"/>
      <c r="RD474"/>
      <c r="RE474"/>
      <c r="RF474"/>
      <c r="RG474"/>
      <c r="RH474"/>
      <c r="RI474"/>
      <c r="RJ474"/>
      <c r="RK474"/>
      <c r="RL474"/>
      <c r="RM474"/>
      <c r="RN474"/>
      <c r="RO474"/>
      <c r="RP474"/>
      <c r="RQ474"/>
      <c r="RR474"/>
      <c r="RS474"/>
      <c r="RT474"/>
      <c r="RU474"/>
      <c r="RV474"/>
      <c r="RW474"/>
      <c r="RX474"/>
      <c r="RY474"/>
      <c r="RZ474"/>
      <c r="SA474"/>
      <c r="SB474"/>
      <c r="SC474"/>
      <c r="SD474"/>
      <c r="SE474"/>
      <c r="SF474"/>
      <c r="SG474"/>
      <c r="SH474"/>
      <c r="SI474"/>
      <c r="SJ474"/>
      <c r="SK474"/>
      <c r="SL474"/>
      <c r="SM474"/>
      <c r="SN474"/>
      <c r="SO474"/>
      <c r="SP474"/>
      <c r="SQ474"/>
      <c r="SR474"/>
      <c r="SS474"/>
      <c r="ST474"/>
      <c r="SU474"/>
      <c r="SV474"/>
      <c r="SW474"/>
      <c r="SX474"/>
      <c r="SY474"/>
      <c r="SZ474"/>
      <c r="TA474"/>
      <c r="TB474"/>
      <c r="TC474"/>
      <c r="TD474"/>
      <c r="TE474"/>
      <c r="TF474"/>
      <c r="TG474"/>
      <c r="TH474"/>
    </row>
    <row r="475" spans="3:528" x14ac:dyDescent="0.2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c r="KT475"/>
      <c r="KU475"/>
      <c r="KV475"/>
      <c r="KW475"/>
      <c r="KX475"/>
      <c r="KY475"/>
      <c r="KZ475"/>
      <c r="LA475"/>
      <c r="LB475"/>
      <c r="LC475"/>
      <c r="LD475"/>
      <c r="LE475"/>
      <c r="LF475"/>
      <c r="LG475"/>
      <c r="LH475"/>
      <c r="LI475"/>
      <c r="LJ475"/>
      <c r="LK475"/>
      <c r="LL475"/>
      <c r="LM475"/>
      <c r="LN475"/>
      <c r="LO475"/>
      <c r="LP475"/>
      <c r="LQ475"/>
      <c r="LR475"/>
      <c r="LS475"/>
      <c r="LT475"/>
      <c r="LU475"/>
      <c r="LV475"/>
      <c r="LW475"/>
      <c r="LX475"/>
      <c r="LY475"/>
      <c r="LZ475"/>
      <c r="MA475"/>
      <c r="MB475"/>
      <c r="MC475"/>
      <c r="MD475"/>
      <c r="ME475"/>
      <c r="MF475"/>
      <c r="MG475"/>
      <c r="MH475"/>
      <c r="MI475"/>
      <c r="MJ475"/>
      <c r="MK475"/>
      <c r="ML475"/>
      <c r="MM475"/>
      <c r="MN475"/>
      <c r="MO475"/>
      <c r="MP475"/>
      <c r="MQ475"/>
      <c r="MR475"/>
      <c r="MS475"/>
      <c r="MT475"/>
      <c r="MU475"/>
      <c r="MV475"/>
      <c r="MW475"/>
      <c r="MX475"/>
      <c r="MY475"/>
      <c r="MZ475"/>
      <c r="NA475"/>
      <c r="NB475"/>
      <c r="NC475"/>
      <c r="ND475"/>
      <c r="NE475"/>
      <c r="NF475"/>
      <c r="NG475"/>
      <c r="NH475"/>
      <c r="NI475"/>
      <c r="NJ475"/>
      <c r="NK475"/>
      <c r="NL475"/>
      <c r="NM475"/>
      <c r="NN475"/>
      <c r="NO475"/>
      <c r="NP475"/>
      <c r="NQ475"/>
      <c r="NR475"/>
      <c r="NS475"/>
      <c r="NT475"/>
      <c r="NU475"/>
      <c r="NV475"/>
      <c r="NW475"/>
      <c r="NX475"/>
      <c r="NY475"/>
      <c r="NZ475"/>
      <c r="OA475"/>
      <c r="OB475"/>
      <c r="OC475"/>
      <c r="OD475"/>
      <c r="OE475"/>
      <c r="OF475"/>
      <c r="OG475"/>
      <c r="OH475"/>
      <c r="OI475"/>
      <c r="OJ475"/>
      <c r="OK475"/>
      <c r="OL475"/>
      <c r="OM475"/>
      <c r="ON475"/>
      <c r="OO475"/>
      <c r="OP475"/>
      <c r="OQ475"/>
      <c r="OR475"/>
      <c r="OS475"/>
      <c r="OT475"/>
      <c r="OU475"/>
      <c r="OV475"/>
      <c r="OW475"/>
      <c r="OX475"/>
      <c r="OY475"/>
      <c r="OZ475"/>
      <c r="PA475"/>
      <c r="PB475"/>
      <c r="PC475"/>
      <c r="PD475"/>
      <c r="PE475"/>
      <c r="PF475"/>
      <c r="PG475"/>
      <c r="PH475"/>
      <c r="PI475"/>
      <c r="PJ475"/>
      <c r="PK475"/>
      <c r="PL475"/>
      <c r="PM475"/>
      <c r="PN475"/>
      <c r="PO475"/>
      <c r="PP475"/>
      <c r="PQ475"/>
      <c r="PR475"/>
      <c r="PS475"/>
      <c r="PT475"/>
      <c r="PU475"/>
      <c r="PV475"/>
      <c r="PW475"/>
      <c r="PX475"/>
      <c r="PY475"/>
      <c r="PZ475"/>
      <c r="QA475"/>
      <c r="QB475"/>
      <c r="QC475"/>
      <c r="QD475"/>
      <c r="QE475"/>
      <c r="QF475"/>
      <c r="QG475"/>
      <c r="QH475"/>
      <c r="QI475"/>
      <c r="QJ475"/>
      <c r="QK475"/>
      <c r="QL475"/>
      <c r="QM475"/>
      <c r="QN475"/>
      <c r="QO475"/>
      <c r="QP475"/>
      <c r="QQ475"/>
      <c r="QR475"/>
      <c r="QS475"/>
      <c r="QT475"/>
      <c r="QU475"/>
      <c r="QV475"/>
      <c r="QW475"/>
      <c r="QX475"/>
      <c r="QY475"/>
      <c r="QZ475"/>
      <c r="RA475"/>
      <c r="RB475"/>
      <c r="RC475"/>
      <c r="RD475"/>
      <c r="RE475"/>
      <c r="RF475"/>
      <c r="RG475"/>
      <c r="RH475"/>
      <c r="RI475"/>
      <c r="RJ475"/>
      <c r="RK475"/>
      <c r="RL475"/>
      <c r="RM475"/>
      <c r="RN475"/>
      <c r="RO475"/>
      <c r="RP475"/>
      <c r="RQ475"/>
      <c r="RR475"/>
      <c r="RS475"/>
      <c r="RT475"/>
      <c r="RU475"/>
      <c r="RV475"/>
      <c r="RW475"/>
      <c r="RX475"/>
      <c r="RY475"/>
      <c r="RZ475"/>
      <c r="SA475"/>
      <c r="SB475"/>
      <c r="SC475"/>
      <c r="SD475"/>
      <c r="SE475"/>
      <c r="SF475"/>
      <c r="SG475"/>
      <c r="SH475"/>
      <c r="SI475"/>
      <c r="SJ475"/>
      <c r="SK475"/>
      <c r="SL475"/>
      <c r="SM475"/>
      <c r="SN475"/>
      <c r="SO475"/>
      <c r="SP475"/>
      <c r="SQ475"/>
      <c r="SR475"/>
      <c r="SS475"/>
      <c r="ST475"/>
      <c r="SU475"/>
      <c r="SV475"/>
      <c r="SW475"/>
      <c r="SX475"/>
      <c r="SY475"/>
      <c r="SZ475"/>
      <c r="TA475"/>
      <c r="TB475"/>
      <c r="TC475"/>
      <c r="TD475"/>
      <c r="TE475"/>
      <c r="TF475"/>
      <c r="TG475"/>
      <c r="TH475"/>
    </row>
    <row r="476" spans="3:528" x14ac:dyDescent="0.25">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c r="KT476"/>
      <c r="KU476"/>
      <c r="KV476"/>
      <c r="KW476"/>
      <c r="KX476"/>
      <c r="KY476"/>
      <c r="KZ476"/>
      <c r="LA476"/>
      <c r="LB476"/>
      <c r="LC476"/>
      <c r="LD476"/>
      <c r="LE476"/>
      <c r="LF476"/>
      <c r="LG476"/>
      <c r="LH476"/>
      <c r="LI476"/>
      <c r="LJ476"/>
      <c r="LK476"/>
      <c r="LL476"/>
      <c r="LM476"/>
      <c r="LN476"/>
      <c r="LO476"/>
      <c r="LP476"/>
      <c r="LQ476"/>
      <c r="LR476"/>
      <c r="LS476"/>
      <c r="LT476"/>
      <c r="LU476"/>
      <c r="LV476"/>
      <c r="LW476"/>
      <c r="LX476"/>
      <c r="LY476"/>
      <c r="LZ476"/>
      <c r="MA476"/>
      <c r="MB476"/>
      <c r="MC476"/>
      <c r="MD476"/>
      <c r="ME476"/>
      <c r="MF476"/>
      <c r="MG476"/>
      <c r="MH476"/>
      <c r="MI476"/>
      <c r="MJ476"/>
      <c r="MK476"/>
      <c r="ML476"/>
      <c r="MM476"/>
      <c r="MN476"/>
      <c r="MO476"/>
      <c r="MP476"/>
      <c r="MQ476"/>
      <c r="MR476"/>
      <c r="MS476"/>
      <c r="MT476"/>
      <c r="MU476"/>
      <c r="MV476"/>
      <c r="MW476"/>
      <c r="MX476"/>
      <c r="MY476"/>
      <c r="MZ476"/>
      <c r="NA476"/>
      <c r="NB476"/>
      <c r="NC476"/>
      <c r="ND476"/>
      <c r="NE476"/>
      <c r="NF476"/>
      <c r="NG476"/>
      <c r="NH476"/>
      <c r="NI476"/>
      <c r="NJ476"/>
      <c r="NK476"/>
      <c r="NL476"/>
      <c r="NM476"/>
      <c r="NN476"/>
      <c r="NO476"/>
      <c r="NP476"/>
      <c r="NQ476"/>
      <c r="NR476"/>
      <c r="NS476"/>
      <c r="NT476"/>
      <c r="NU476"/>
      <c r="NV476"/>
      <c r="NW476"/>
      <c r="NX476"/>
      <c r="NY476"/>
      <c r="NZ476"/>
      <c r="OA476"/>
      <c r="OB476"/>
      <c r="OC476"/>
      <c r="OD476"/>
      <c r="OE476"/>
      <c r="OF476"/>
      <c r="OG476"/>
      <c r="OH476"/>
      <c r="OI476"/>
      <c r="OJ476"/>
      <c r="OK476"/>
      <c r="OL476"/>
      <c r="OM476"/>
      <c r="ON476"/>
      <c r="OO476"/>
      <c r="OP476"/>
      <c r="OQ476"/>
      <c r="OR476"/>
      <c r="OS476"/>
      <c r="OT476"/>
      <c r="OU476"/>
      <c r="OV476"/>
      <c r="OW476"/>
      <c r="OX476"/>
      <c r="OY476"/>
      <c r="OZ476"/>
      <c r="PA476"/>
      <c r="PB476"/>
      <c r="PC476"/>
      <c r="PD476"/>
      <c r="PE476"/>
      <c r="PF476"/>
      <c r="PG476"/>
      <c r="PH476"/>
      <c r="PI476"/>
      <c r="PJ476"/>
      <c r="PK476"/>
      <c r="PL476"/>
      <c r="PM476"/>
      <c r="PN476"/>
      <c r="PO476"/>
      <c r="PP476"/>
      <c r="PQ476"/>
      <c r="PR476"/>
      <c r="PS476"/>
      <c r="PT476"/>
      <c r="PU476"/>
      <c r="PV476"/>
      <c r="PW476"/>
      <c r="PX476"/>
      <c r="PY476"/>
      <c r="PZ476"/>
      <c r="QA476"/>
      <c r="QB476"/>
      <c r="QC476"/>
      <c r="QD476"/>
      <c r="QE476"/>
      <c r="QF476"/>
      <c r="QG476"/>
      <c r="QH476"/>
      <c r="QI476"/>
      <c r="QJ476"/>
      <c r="QK476"/>
      <c r="QL476"/>
      <c r="QM476"/>
      <c r="QN476"/>
      <c r="QO476"/>
      <c r="QP476"/>
      <c r="QQ476"/>
      <c r="QR476"/>
      <c r="QS476"/>
      <c r="QT476"/>
      <c r="QU476"/>
      <c r="QV476"/>
      <c r="QW476"/>
      <c r="QX476"/>
      <c r="QY476"/>
      <c r="QZ476"/>
      <c r="RA476"/>
      <c r="RB476"/>
      <c r="RC476"/>
      <c r="RD476"/>
      <c r="RE476"/>
      <c r="RF476"/>
      <c r="RG476"/>
      <c r="RH476"/>
      <c r="RI476"/>
      <c r="RJ476"/>
      <c r="RK476"/>
      <c r="RL476"/>
      <c r="RM476"/>
      <c r="RN476"/>
      <c r="RO476"/>
      <c r="RP476"/>
      <c r="RQ476"/>
      <c r="RR476"/>
      <c r="RS476"/>
      <c r="RT476"/>
      <c r="RU476"/>
      <c r="RV476"/>
      <c r="RW476"/>
      <c r="RX476"/>
      <c r="RY476"/>
      <c r="RZ476"/>
      <c r="SA476"/>
      <c r="SB476"/>
      <c r="SC476"/>
      <c r="SD476"/>
      <c r="SE476"/>
      <c r="SF476"/>
      <c r="SG476"/>
      <c r="SH476"/>
      <c r="SI476"/>
      <c r="SJ476"/>
      <c r="SK476"/>
      <c r="SL476"/>
      <c r="SM476"/>
      <c r="SN476"/>
      <c r="SO476"/>
      <c r="SP476"/>
      <c r="SQ476"/>
      <c r="SR476"/>
      <c r="SS476"/>
      <c r="ST476"/>
      <c r="SU476"/>
      <c r="SV476"/>
      <c r="SW476"/>
      <c r="SX476"/>
      <c r="SY476"/>
      <c r="SZ476"/>
      <c r="TA476"/>
      <c r="TB476"/>
      <c r="TC476"/>
      <c r="TD476"/>
      <c r="TE476"/>
      <c r="TF476"/>
      <c r="TG476"/>
      <c r="TH476"/>
    </row>
    <row r="477" spans="3:528" x14ac:dyDescent="0.25">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c r="KT477"/>
      <c r="KU477"/>
      <c r="KV477"/>
      <c r="KW477"/>
      <c r="KX477"/>
      <c r="KY477"/>
      <c r="KZ477"/>
      <c r="LA477"/>
      <c r="LB477"/>
      <c r="LC477"/>
      <c r="LD477"/>
      <c r="LE477"/>
      <c r="LF477"/>
      <c r="LG477"/>
      <c r="LH477"/>
      <c r="LI477"/>
      <c r="LJ477"/>
      <c r="LK477"/>
      <c r="LL477"/>
      <c r="LM477"/>
      <c r="LN477"/>
      <c r="LO477"/>
      <c r="LP477"/>
      <c r="LQ477"/>
      <c r="LR477"/>
      <c r="LS477"/>
      <c r="LT477"/>
      <c r="LU477"/>
      <c r="LV477"/>
      <c r="LW477"/>
      <c r="LX477"/>
      <c r="LY477"/>
      <c r="LZ477"/>
      <c r="MA477"/>
      <c r="MB477"/>
      <c r="MC477"/>
      <c r="MD477"/>
      <c r="ME477"/>
      <c r="MF477"/>
      <c r="MG477"/>
      <c r="MH477"/>
      <c r="MI477"/>
      <c r="MJ477"/>
      <c r="MK477"/>
      <c r="ML477"/>
      <c r="MM477"/>
      <c r="MN477"/>
      <c r="MO477"/>
      <c r="MP477"/>
      <c r="MQ477"/>
      <c r="MR477"/>
      <c r="MS477"/>
      <c r="MT477"/>
      <c r="MU477"/>
      <c r="MV477"/>
      <c r="MW477"/>
      <c r="MX477"/>
      <c r="MY477"/>
      <c r="MZ477"/>
      <c r="NA477"/>
      <c r="NB477"/>
      <c r="NC477"/>
      <c r="ND477"/>
      <c r="NE477"/>
      <c r="NF477"/>
      <c r="NG477"/>
      <c r="NH477"/>
      <c r="NI477"/>
      <c r="NJ477"/>
      <c r="NK477"/>
      <c r="NL477"/>
      <c r="NM477"/>
      <c r="NN477"/>
      <c r="NO477"/>
      <c r="NP477"/>
      <c r="NQ477"/>
      <c r="NR477"/>
      <c r="NS477"/>
      <c r="NT477"/>
      <c r="NU477"/>
      <c r="NV477"/>
      <c r="NW477"/>
      <c r="NX477"/>
      <c r="NY477"/>
      <c r="NZ477"/>
      <c r="OA477"/>
      <c r="OB477"/>
      <c r="OC477"/>
      <c r="OD477"/>
      <c r="OE477"/>
      <c r="OF477"/>
      <c r="OG477"/>
      <c r="OH477"/>
      <c r="OI477"/>
      <c r="OJ477"/>
      <c r="OK477"/>
      <c r="OL477"/>
      <c r="OM477"/>
      <c r="ON477"/>
      <c r="OO477"/>
      <c r="OP477"/>
      <c r="OQ477"/>
      <c r="OR477"/>
      <c r="OS477"/>
      <c r="OT477"/>
      <c r="OU477"/>
      <c r="OV477"/>
      <c r="OW477"/>
      <c r="OX477"/>
      <c r="OY477"/>
      <c r="OZ477"/>
      <c r="PA477"/>
      <c r="PB477"/>
      <c r="PC477"/>
      <c r="PD477"/>
      <c r="PE477"/>
      <c r="PF477"/>
      <c r="PG477"/>
      <c r="PH477"/>
      <c r="PI477"/>
      <c r="PJ477"/>
      <c r="PK477"/>
      <c r="PL477"/>
      <c r="PM477"/>
      <c r="PN477"/>
      <c r="PO477"/>
      <c r="PP477"/>
      <c r="PQ477"/>
      <c r="PR477"/>
      <c r="PS477"/>
      <c r="PT477"/>
      <c r="PU477"/>
      <c r="PV477"/>
      <c r="PW477"/>
      <c r="PX477"/>
      <c r="PY477"/>
      <c r="PZ477"/>
      <c r="QA477"/>
      <c r="QB477"/>
      <c r="QC477"/>
      <c r="QD477"/>
      <c r="QE477"/>
      <c r="QF477"/>
      <c r="QG477"/>
      <c r="QH477"/>
      <c r="QI477"/>
      <c r="QJ477"/>
      <c r="QK477"/>
      <c r="QL477"/>
      <c r="QM477"/>
      <c r="QN477"/>
      <c r="QO477"/>
      <c r="QP477"/>
      <c r="QQ477"/>
      <c r="QR477"/>
      <c r="QS477"/>
      <c r="QT477"/>
      <c r="QU477"/>
      <c r="QV477"/>
      <c r="QW477"/>
      <c r="QX477"/>
      <c r="QY477"/>
      <c r="QZ477"/>
      <c r="RA477"/>
      <c r="RB477"/>
      <c r="RC477"/>
      <c r="RD477"/>
      <c r="RE477"/>
      <c r="RF477"/>
      <c r="RG477"/>
      <c r="RH477"/>
      <c r="RI477"/>
      <c r="RJ477"/>
      <c r="RK477"/>
      <c r="RL477"/>
      <c r="RM477"/>
      <c r="RN477"/>
      <c r="RO477"/>
      <c r="RP477"/>
      <c r="RQ477"/>
      <c r="RR477"/>
      <c r="RS477"/>
      <c r="RT477"/>
      <c r="RU477"/>
      <c r="RV477"/>
      <c r="RW477"/>
      <c r="RX477"/>
      <c r="RY477"/>
      <c r="RZ477"/>
      <c r="SA477"/>
      <c r="SB477"/>
      <c r="SC477"/>
      <c r="SD477"/>
      <c r="SE477"/>
      <c r="SF477"/>
      <c r="SG477"/>
      <c r="SH477"/>
      <c r="SI477"/>
      <c r="SJ477"/>
      <c r="SK477"/>
      <c r="SL477"/>
      <c r="SM477"/>
      <c r="SN477"/>
      <c r="SO477"/>
      <c r="SP477"/>
      <c r="SQ477"/>
      <c r="SR477"/>
      <c r="SS477"/>
      <c r="ST477"/>
      <c r="SU477"/>
      <c r="SV477"/>
      <c r="SW477"/>
      <c r="SX477"/>
      <c r="SY477"/>
      <c r="SZ477"/>
      <c r="TA477"/>
      <c r="TB477"/>
      <c r="TC477"/>
      <c r="TD477"/>
      <c r="TE477"/>
      <c r="TF477"/>
      <c r="TG477"/>
      <c r="TH477"/>
    </row>
    <row r="478" spans="3:528" x14ac:dyDescent="0.25">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c r="KT478"/>
      <c r="KU478"/>
      <c r="KV478"/>
      <c r="KW478"/>
      <c r="KX478"/>
      <c r="KY478"/>
      <c r="KZ478"/>
      <c r="LA478"/>
      <c r="LB478"/>
      <c r="LC478"/>
      <c r="LD478"/>
      <c r="LE478"/>
      <c r="LF478"/>
      <c r="LG478"/>
      <c r="LH478"/>
      <c r="LI478"/>
      <c r="LJ478"/>
      <c r="LK478"/>
      <c r="LL478"/>
      <c r="LM478"/>
      <c r="LN478"/>
      <c r="LO478"/>
      <c r="LP478"/>
      <c r="LQ478"/>
      <c r="LR478"/>
      <c r="LS478"/>
      <c r="LT478"/>
      <c r="LU478"/>
      <c r="LV478"/>
      <c r="LW478"/>
      <c r="LX478"/>
      <c r="LY478"/>
      <c r="LZ478"/>
      <c r="MA478"/>
      <c r="MB478"/>
      <c r="MC478"/>
      <c r="MD478"/>
      <c r="ME478"/>
      <c r="MF478"/>
      <c r="MG478"/>
      <c r="MH478"/>
      <c r="MI478"/>
      <c r="MJ478"/>
      <c r="MK478"/>
      <c r="ML478"/>
      <c r="MM478"/>
      <c r="MN478"/>
      <c r="MO478"/>
      <c r="MP478"/>
      <c r="MQ478"/>
      <c r="MR478"/>
      <c r="MS478"/>
      <c r="MT478"/>
      <c r="MU478"/>
      <c r="MV478"/>
      <c r="MW478"/>
      <c r="MX478"/>
      <c r="MY478"/>
      <c r="MZ478"/>
      <c r="NA478"/>
      <c r="NB478"/>
      <c r="NC478"/>
      <c r="ND478"/>
      <c r="NE478"/>
      <c r="NF478"/>
      <c r="NG478"/>
      <c r="NH478"/>
      <c r="NI478"/>
      <c r="NJ478"/>
      <c r="NK478"/>
      <c r="NL478"/>
      <c r="NM478"/>
      <c r="NN478"/>
      <c r="NO478"/>
      <c r="NP478"/>
      <c r="NQ478"/>
      <c r="NR478"/>
      <c r="NS478"/>
      <c r="NT478"/>
      <c r="NU478"/>
      <c r="NV478"/>
      <c r="NW478"/>
      <c r="NX478"/>
      <c r="NY478"/>
      <c r="NZ478"/>
      <c r="OA478"/>
      <c r="OB478"/>
      <c r="OC478"/>
      <c r="OD478"/>
      <c r="OE478"/>
      <c r="OF478"/>
      <c r="OG478"/>
      <c r="OH478"/>
      <c r="OI478"/>
      <c r="OJ478"/>
      <c r="OK478"/>
      <c r="OL478"/>
      <c r="OM478"/>
      <c r="ON478"/>
      <c r="OO478"/>
      <c r="OP478"/>
      <c r="OQ478"/>
      <c r="OR478"/>
      <c r="OS478"/>
      <c r="OT478"/>
      <c r="OU478"/>
      <c r="OV478"/>
      <c r="OW478"/>
      <c r="OX478"/>
      <c r="OY478"/>
      <c r="OZ478"/>
      <c r="PA478"/>
      <c r="PB478"/>
      <c r="PC478"/>
      <c r="PD478"/>
      <c r="PE478"/>
      <c r="PF478"/>
      <c r="PG478"/>
      <c r="PH478"/>
      <c r="PI478"/>
      <c r="PJ478"/>
      <c r="PK478"/>
      <c r="PL478"/>
      <c r="PM478"/>
      <c r="PN478"/>
      <c r="PO478"/>
      <c r="PP478"/>
      <c r="PQ478"/>
      <c r="PR478"/>
      <c r="PS478"/>
      <c r="PT478"/>
      <c r="PU478"/>
      <c r="PV478"/>
      <c r="PW478"/>
      <c r="PX478"/>
      <c r="PY478"/>
      <c r="PZ478"/>
      <c r="QA478"/>
      <c r="QB478"/>
      <c r="QC478"/>
      <c r="QD478"/>
      <c r="QE478"/>
      <c r="QF478"/>
      <c r="QG478"/>
      <c r="QH478"/>
      <c r="QI478"/>
      <c r="QJ478"/>
      <c r="QK478"/>
      <c r="QL478"/>
      <c r="QM478"/>
      <c r="QN478"/>
      <c r="QO478"/>
      <c r="QP478"/>
      <c r="QQ478"/>
      <c r="QR478"/>
      <c r="QS478"/>
      <c r="QT478"/>
      <c r="QU478"/>
      <c r="QV478"/>
      <c r="QW478"/>
      <c r="QX478"/>
      <c r="QY478"/>
      <c r="QZ478"/>
      <c r="RA478"/>
      <c r="RB478"/>
      <c r="RC478"/>
      <c r="RD478"/>
      <c r="RE478"/>
      <c r="RF478"/>
      <c r="RG478"/>
      <c r="RH478"/>
      <c r="RI478"/>
      <c r="RJ478"/>
      <c r="RK478"/>
      <c r="RL478"/>
      <c r="RM478"/>
      <c r="RN478"/>
      <c r="RO478"/>
      <c r="RP478"/>
      <c r="RQ478"/>
      <c r="RR478"/>
      <c r="RS478"/>
      <c r="RT478"/>
      <c r="RU478"/>
      <c r="RV478"/>
      <c r="RW478"/>
      <c r="RX478"/>
      <c r="RY478"/>
      <c r="RZ478"/>
      <c r="SA478"/>
      <c r="SB478"/>
      <c r="SC478"/>
      <c r="SD478"/>
      <c r="SE478"/>
      <c r="SF478"/>
      <c r="SG478"/>
      <c r="SH478"/>
      <c r="SI478"/>
      <c r="SJ478"/>
      <c r="SK478"/>
      <c r="SL478"/>
      <c r="SM478"/>
      <c r="SN478"/>
      <c r="SO478"/>
      <c r="SP478"/>
      <c r="SQ478"/>
      <c r="SR478"/>
      <c r="SS478"/>
      <c r="ST478"/>
      <c r="SU478"/>
      <c r="SV478"/>
      <c r="SW478"/>
      <c r="SX478"/>
      <c r="SY478"/>
      <c r="SZ478"/>
      <c r="TA478"/>
      <c r="TB478"/>
      <c r="TC478"/>
      <c r="TD478"/>
      <c r="TE478"/>
      <c r="TF478"/>
      <c r="TG478"/>
      <c r="TH478"/>
    </row>
    <row r="479" spans="3:528" x14ac:dyDescent="0.25">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c r="KT479"/>
      <c r="KU479"/>
      <c r="KV479"/>
      <c r="KW479"/>
      <c r="KX479"/>
      <c r="KY479"/>
      <c r="KZ479"/>
      <c r="LA479"/>
      <c r="LB479"/>
      <c r="LC479"/>
      <c r="LD479"/>
      <c r="LE479"/>
      <c r="LF479"/>
      <c r="LG479"/>
      <c r="LH479"/>
      <c r="LI479"/>
      <c r="LJ479"/>
      <c r="LK479"/>
      <c r="LL479"/>
      <c r="LM479"/>
      <c r="LN479"/>
      <c r="LO479"/>
      <c r="LP479"/>
      <c r="LQ479"/>
      <c r="LR479"/>
      <c r="LS479"/>
      <c r="LT479"/>
      <c r="LU479"/>
      <c r="LV479"/>
      <c r="LW479"/>
      <c r="LX479"/>
      <c r="LY479"/>
      <c r="LZ479"/>
      <c r="MA479"/>
      <c r="MB479"/>
      <c r="MC479"/>
      <c r="MD479"/>
      <c r="ME479"/>
      <c r="MF479"/>
      <c r="MG479"/>
      <c r="MH479"/>
      <c r="MI479"/>
      <c r="MJ479"/>
      <c r="MK479"/>
      <c r="ML479"/>
      <c r="MM479"/>
      <c r="MN479"/>
      <c r="MO479"/>
      <c r="MP479"/>
      <c r="MQ479"/>
      <c r="MR479"/>
      <c r="MS479"/>
      <c r="MT479"/>
      <c r="MU479"/>
      <c r="MV479"/>
      <c r="MW479"/>
      <c r="MX479"/>
      <c r="MY479"/>
      <c r="MZ479"/>
      <c r="NA479"/>
      <c r="NB479"/>
      <c r="NC479"/>
      <c r="ND479"/>
      <c r="NE479"/>
      <c r="NF479"/>
      <c r="NG479"/>
      <c r="NH479"/>
      <c r="NI479"/>
      <c r="NJ479"/>
      <c r="NK479"/>
      <c r="NL479"/>
      <c r="NM479"/>
      <c r="NN479"/>
      <c r="NO479"/>
      <c r="NP479"/>
      <c r="NQ479"/>
      <c r="NR479"/>
      <c r="NS479"/>
      <c r="NT479"/>
      <c r="NU479"/>
      <c r="NV479"/>
      <c r="NW479"/>
      <c r="NX479"/>
      <c r="NY479"/>
      <c r="NZ479"/>
      <c r="OA479"/>
      <c r="OB479"/>
      <c r="OC479"/>
      <c r="OD479"/>
      <c r="OE479"/>
      <c r="OF479"/>
      <c r="OG479"/>
      <c r="OH479"/>
      <c r="OI479"/>
      <c r="OJ479"/>
      <c r="OK479"/>
      <c r="OL479"/>
      <c r="OM479"/>
      <c r="ON479"/>
      <c r="OO479"/>
      <c r="OP479"/>
      <c r="OQ479"/>
      <c r="OR479"/>
      <c r="OS479"/>
      <c r="OT479"/>
      <c r="OU479"/>
      <c r="OV479"/>
      <c r="OW479"/>
      <c r="OX479"/>
      <c r="OY479"/>
      <c r="OZ479"/>
      <c r="PA479"/>
      <c r="PB479"/>
      <c r="PC479"/>
      <c r="PD479"/>
      <c r="PE479"/>
      <c r="PF479"/>
      <c r="PG479"/>
      <c r="PH479"/>
      <c r="PI479"/>
      <c r="PJ479"/>
      <c r="PK479"/>
      <c r="PL479"/>
      <c r="PM479"/>
      <c r="PN479"/>
      <c r="PO479"/>
      <c r="PP479"/>
      <c r="PQ479"/>
      <c r="PR479"/>
      <c r="PS479"/>
      <c r="PT479"/>
      <c r="PU479"/>
      <c r="PV479"/>
      <c r="PW479"/>
      <c r="PX479"/>
      <c r="PY479"/>
      <c r="PZ479"/>
      <c r="QA479"/>
      <c r="QB479"/>
      <c r="QC479"/>
      <c r="QD479"/>
      <c r="QE479"/>
      <c r="QF479"/>
      <c r="QG479"/>
      <c r="QH479"/>
      <c r="QI479"/>
      <c r="QJ479"/>
      <c r="QK479"/>
      <c r="QL479"/>
      <c r="QM479"/>
      <c r="QN479"/>
      <c r="QO479"/>
      <c r="QP479"/>
      <c r="QQ479"/>
      <c r="QR479"/>
      <c r="QS479"/>
      <c r="QT479"/>
      <c r="QU479"/>
      <c r="QV479"/>
      <c r="QW479"/>
      <c r="QX479"/>
      <c r="QY479"/>
      <c r="QZ479"/>
      <c r="RA479"/>
      <c r="RB479"/>
      <c r="RC479"/>
      <c r="RD479"/>
      <c r="RE479"/>
      <c r="RF479"/>
      <c r="RG479"/>
      <c r="RH479"/>
      <c r="RI479"/>
      <c r="RJ479"/>
      <c r="RK479"/>
      <c r="RL479"/>
      <c r="RM479"/>
      <c r="RN479"/>
      <c r="RO479"/>
      <c r="RP479"/>
      <c r="RQ479"/>
      <c r="RR479"/>
      <c r="RS479"/>
      <c r="RT479"/>
      <c r="RU479"/>
      <c r="RV479"/>
      <c r="RW479"/>
      <c r="RX479"/>
      <c r="RY479"/>
      <c r="RZ479"/>
      <c r="SA479"/>
      <c r="SB479"/>
      <c r="SC479"/>
      <c r="SD479"/>
      <c r="SE479"/>
      <c r="SF479"/>
      <c r="SG479"/>
      <c r="SH479"/>
      <c r="SI479"/>
      <c r="SJ479"/>
      <c r="SK479"/>
      <c r="SL479"/>
      <c r="SM479"/>
      <c r="SN479"/>
      <c r="SO479"/>
      <c r="SP479"/>
      <c r="SQ479"/>
      <c r="SR479"/>
      <c r="SS479"/>
      <c r="ST479"/>
      <c r="SU479"/>
      <c r="SV479"/>
      <c r="SW479"/>
      <c r="SX479"/>
      <c r="SY479"/>
      <c r="SZ479"/>
      <c r="TA479"/>
      <c r="TB479"/>
      <c r="TC479"/>
      <c r="TD479"/>
      <c r="TE479"/>
      <c r="TF479"/>
      <c r="TG479"/>
      <c r="TH479"/>
    </row>
    <row r="480" spans="3:528" x14ac:dyDescent="0.25">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c r="KT480"/>
      <c r="KU480"/>
      <c r="KV480"/>
      <c r="KW480"/>
      <c r="KX480"/>
      <c r="KY480"/>
      <c r="KZ480"/>
      <c r="LA480"/>
      <c r="LB480"/>
      <c r="LC480"/>
      <c r="LD480"/>
      <c r="LE480"/>
      <c r="LF480"/>
      <c r="LG480"/>
      <c r="LH480"/>
      <c r="LI480"/>
      <c r="LJ480"/>
      <c r="LK480"/>
      <c r="LL480"/>
      <c r="LM480"/>
      <c r="LN480"/>
      <c r="LO480"/>
      <c r="LP480"/>
      <c r="LQ480"/>
      <c r="LR480"/>
      <c r="LS480"/>
      <c r="LT480"/>
      <c r="LU480"/>
      <c r="LV480"/>
      <c r="LW480"/>
      <c r="LX480"/>
      <c r="LY480"/>
      <c r="LZ480"/>
      <c r="MA480"/>
      <c r="MB480"/>
      <c r="MC480"/>
      <c r="MD480"/>
      <c r="ME480"/>
      <c r="MF480"/>
      <c r="MG480"/>
      <c r="MH480"/>
      <c r="MI480"/>
      <c r="MJ480"/>
      <c r="MK480"/>
      <c r="ML480"/>
      <c r="MM480"/>
      <c r="MN480"/>
      <c r="MO480"/>
      <c r="MP480"/>
      <c r="MQ480"/>
      <c r="MR480"/>
      <c r="MS480"/>
      <c r="MT480"/>
      <c r="MU480"/>
      <c r="MV480"/>
      <c r="MW480"/>
      <c r="MX480"/>
      <c r="MY480"/>
      <c r="MZ480"/>
      <c r="NA480"/>
      <c r="NB480"/>
      <c r="NC480"/>
      <c r="ND480"/>
      <c r="NE480"/>
      <c r="NF480"/>
      <c r="NG480"/>
      <c r="NH480"/>
      <c r="NI480"/>
      <c r="NJ480"/>
      <c r="NK480"/>
      <c r="NL480"/>
      <c r="NM480"/>
      <c r="NN480"/>
      <c r="NO480"/>
      <c r="NP480"/>
      <c r="NQ480"/>
      <c r="NR480"/>
      <c r="NS480"/>
      <c r="NT480"/>
      <c r="NU480"/>
      <c r="NV480"/>
      <c r="NW480"/>
      <c r="NX480"/>
      <c r="NY480"/>
      <c r="NZ480"/>
      <c r="OA480"/>
      <c r="OB480"/>
      <c r="OC480"/>
      <c r="OD480"/>
      <c r="OE480"/>
      <c r="OF480"/>
      <c r="OG480"/>
      <c r="OH480"/>
      <c r="OI480"/>
      <c r="OJ480"/>
      <c r="OK480"/>
      <c r="OL480"/>
      <c r="OM480"/>
      <c r="ON480"/>
      <c r="OO480"/>
      <c r="OP480"/>
      <c r="OQ480"/>
      <c r="OR480"/>
      <c r="OS480"/>
      <c r="OT480"/>
      <c r="OU480"/>
      <c r="OV480"/>
      <c r="OW480"/>
      <c r="OX480"/>
      <c r="OY480"/>
      <c r="OZ480"/>
      <c r="PA480"/>
      <c r="PB480"/>
      <c r="PC480"/>
      <c r="PD480"/>
      <c r="PE480"/>
      <c r="PF480"/>
      <c r="PG480"/>
      <c r="PH480"/>
      <c r="PI480"/>
      <c r="PJ480"/>
      <c r="PK480"/>
      <c r="PL480"/>
      <c r="PM480"/>
      <c r="PN480"/>
      <c r="PO480"/>
      <c r="PP480"/>
      <c r="PQ480"/>
      <c r="PR480"/>
      <c r="PS480"/>
      <c r="PT480"/>
      <c r="PU480"/>
      <c r="PV480"/>
      <c r="PW480"/>
      <c r="PX480"/>
      <c r="PY480"/>
      <c r="PZ480"/>
      <c r="QA480"/>
      <c r="QB480"/>
      <c r="QC480"/>
      <c r="QD480"/>
      <c r="QE480"/>
      <c r="QF480"/>
      <c r="QG480"/>
      <c r="QH480"/>
      <c r="QI480"/>
      <c r="QJ480"/>
      <c r="QK480"/>
      <c r="QL480"/>
      <c r="QM480"/>
      <c r="QN480"/>
      <c r="QO480"/>
      <c r="QP480"/>
      <c r="QQ480"/>
      <c r="QR480"/>
      <c r="QS480"/>
      <c r="QT480"/>
      <c r="QU480"/>
      <c r="QV480"/>
      <c r="QW480"/>
      <c r="QX480"/>
      <c r="QY480"/>
      <c r="QZ480"/>
      <c r="RA480"/>
      <c r="RB480"/>
      <c r="RC480"/>
      <c r="RD480"/>
      <c r="RE480"/>
      <c r="RF480"/>
      <c r="RG480"/>
      <c r="RH480"/>
      <c r="RI480"/>
      <c r="RJ480"/>
      <c r="RK480"/>
      <c r="RL480"/>
      <c r="RM480"/>
      <c r="RN480"/>
      <c r="RO480"/>
      <c r="RP480"/>
      <c r="RQ480"/>
      <c r="RR480"/>
      <c r="RS480"/>
      <c r="RT480"/>
      <c r="RU480"/>
      <c r="RV480"/>
      <c r="RW480"/>
      <c r="RX480"/>
      <c r="RY480"/>
      <c r="RZ480"/>
      <c r="SA480"/>
      <c r="SB480"/>
      <c r="SC480"/>
      <c r="SD480"/>
      <c r="SE480"/>
      <c r="SF480"/>
      <c r="SG480"/>
      <c r="SH480"/>
      <c r="SI480"/>
      <c r="SJ480"/>
      <c r="SK480"/>
      <c r="SL480"/>
      <c r="SM480"/>
      <c r="SN480"/>
      <c r="SO480"/>
      <c r="SP480"/>
      <c r="SQ480"/>
      <c r="SR480"/>
      <c r="SS480"/>
      <c r="ST480"/>
      <c r="SU480"/>
      <c r="SV480"/>
      <c r="SW480"/>
      <c r="SX480"/>
      <c r="SY480"/>
      <c r="SZ480"/>
      <c r="TA480"/>
      <c r="TB480"/>
      <c r="TC480"/>
      <c r="TD480"/>
      <c r="TE480"/>
      <c r="TF480"/>
      <c r="TG480"/>
      <c r="TH480"/>
    </row>
    <row r="481" spans="3:528" x14ac:dyDescent="0.25">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c r="KT481"/>
      <c r="KU481"/>
      <c r="KV481"/>
      <c r="KW481"/>
      <c r="KX481"/>
      <c r="KY481"/>
      <c r="KZ481"/>
      <c r="LA481"/>
      <c r="LB481"/>
      <c r="LC481"/>
      <c r="LD481"/>
      <c r="LE481"/>
      <c r="LF481"/>
      <c r="LG481"/>
      <c r="LH481"/>
      <c r="LI481"/>
      <c r="LJ481"/>
      <c r="LK481"/>
      <c r="LL481"/>
      <c r="LM481"/>
      <c r="LN481"/>
      <c r="LO481"/>
      <c r="LP481"/>
      <c r="LQ481"/>
      <c r="LR481"/>
      <c r="LS481"/>
      <c r="LT481"/>
      <c r="LU481"/>
      <c r="LV481"/>
      <c r="LW481"/>
      <c r="LX481"/>
      <c r="LY481"/>
      <c r="LZ481"/>
      <c r="MA481"/>
      <c r="MB481"/>
      <c r="MC481"/>
      <c r="MD481"/>
      <c r="ME481"/>
      <c r="MF481"/>
      <c r="MG481"/>
      <c r="MH481"/>
      <c r="MI481"/>
      <c r="MJ481"/>
      <c r="MK481"/>
      <c r="ML481"/>
      <c r="MM481"/>
      <c r="MN481"/>
      <c r="MO481"/>
      <c r="MP481"/>
      <c r="MQ481"/>
      <c r="MR481"/>
      <c r="MS481"/>
      <c r="MT481"/>
      <c r="MU481"/>
      <c r="MV481"/>
      <c r="MW481"/>
      <c r="MX481"/>
      <c r="MY481"/>
      <c r="MZ481"/>
      <c r="NA481"/>
      <c r="NB481"/>
      <c r="NC481"/>
      <c r="ND481"/>
      <c r="NE481"/>
      <c r="NF481"/>
      <c r="NG481"/>
      <c r="NH481"/>
      <c r="NI481"/>
      <c r="NJ481"/>
      <c r="NK481"/>
      <c r="NL481"/>
      <c r="NM481"/>
      <c r="NN481"/>
      <c r="NO481"/>
      <c r="NP481"/>
      <c r="NQ481"/>
      <c r="NR481"/>
      <c r="NS481"/>
      <c r="NT481"/>
      <c r="NU481"/>
      <c r="NV481"/>
      <c r="NW481"/>
      <c r="NX481"/>
      <c r="NY481"/>
      <c r="NZ481"/>
      <c r="OA481"/>
      <c r="OB481"/>
      <c r="OC481"/>
      <c r="OD481"/>
      <c r="OE481"/>
      <c r="OF481"/>
      <c r="OG481"/>
      <c r="OH481"/>
      <c r="OI481"/>
      <c r="OJ481"/>
      <c r="OK481"/>
      <c r="OL481"/>
      <c r="OM481"/>
      <c r="ON481"/>
      <c r="OO481"/>
      <c r="OP481"/>
      <c r="OQ481"/>
      <c r="OR481"/>
      <c r="OS481"/>
      <c r="OT481"/>
      <c r="OU481"/>
      <c r="OV481"/>
      <c r="OW481"/>
      <c r="OX481"/>
      <c r="OY481"/>
      <c r="OZ481"/>
      <c r="PA481"/>
      <c r="PB481"/>
      <c r="PC481"/>
      <c r="PD481"/>
      <c r="PE481"/>
      <c r="PF481"/>
      <c r="PG481"/>
      <c r="PH481"/>
      <c r="PI481"/>
      <c r="PJ481"/>
      <c r="PK481"/>
      <c r="PL481"/>
      <c r="PM481"/>
      <c r="PN481"/>
      <c r="PO481"/>
      <c r="PP481"/>
      <c r="PQ481"/>
      <c r="PR481"/>
      <c r="PS481"/>
      <c r="PT481"/>
      <c r="PU481"/>
      <c r="PV481"/>
      <c r="PW481"/>
      <c r="PX481"/>
      <c r="PY481"/>
      <c r="PZ481"/>
      <c r="QA481"/>
      <c r="QB481"/>
      <c r="QC481"/>
      <c r="QD481"/>
      <c r="QE481"/>
      <c r="QF481"/>
      <c r="QG481"/>
      <c r="QH481"/>
      <c r="QI481"/>
      <c r="QJ481"/>
      <c r="QK481"/>
      <c r="QL481"/>
      <c r="QM481"/>
      <c r="QN481"/>
      <c r="QO481"/>
      <c r="QP481"/>
      <c r="QQ481"/>
      <c r="QR481"/>
      <c r="QS481"/>
      <c r="QT481"/>
      <c r="QU481"/>
      <c r="QV481"/>
      <c r="QW481"/>
      <c r="QX481"/>
      <c r="QY481"/>
      <c r="QZ481"/>
      <c r="RA481"/>
      <c r="RB481"/>
      <c r="RC481"/>
      <c r="RD481"/>
      <c r="RE481"/>
      <c r="RF481"/>
      <c r="RG481"/>
      <c r="RH481"/>
      <c r="RI481"/>
      <c r="RJ481"/>
      <c r="RK481"/>
      <c r="RL481"/>
      <c r="RM481"/>
      <c r="RN481"/>
      <c r="RO481"/>
      <c r="RP481"/>
      <c r="RQ481"/>
      <c r="RR481"/>
      <c r="RS481"/>
      <c r="RT481"/>
      <c r="RU481"/>
      <c r="RV481"/>
      <c r="RW481"/>
      <c r="RX481"/>
      <c r="RY481"/>
      <c r="RZ481"/>
      <c r="SA481"/>
      <c r="SB481"/>
      <c r="SC481"/>
      <c r="SD481"/>
      <c r="SE481"/>
      <c r="SF481"/>
      <c r="SG481"/>
      <c r="SH481"/>
      <c r="SI481"/>
      <c r="SJ481"/>
      <c r="SK481"/>
      <c r="SL481"/>
      <c r="SM481"/>
      <c r="SN481"/>
      <c r="SO481"/>
      <c r="SP481"/>
      <c r="SQ481"/>
      <c r="SR481"/>
      <c r="SS481"/>
      <c r="ST481"/>
      <c r="SU481"/>
      <c r="SV481"/>
      <c r="SW481"/>
      <c r="SX481"/>
      <c r="SY481"/>
      <c r="SZ481"/>
      <c r="TA481"/>
      <c r="TB481"/>
      <c r="TC481"/>
      <c r="TD481"/>
      <c r="TE481"/>
      <c r="TF481"/>
      <c r="TG481"/>
      <c r="TH481"/>
    </row>
    <row r="482" spans="3:528" x14ac:dyDescent="0.25">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c r="KT482"/>
      <c r="KU482"/>
      <c r="KV482"/>
      <c r="KW482"/>
      <c r="KX482"/>
      <c r="KY482"/>
      <c r="KZ482"/>
      <c r="LA482"/>
      <c r="LB482"/>
      <c r="LC482"/>
      <c r="LD482"/>
      <c r="LE482"/>
      <c r="LF482"/>
      <c r="LG482"/>
      <c r="LH482"/>
      <c r="LI482"/>
      <c r="LJ482"/>
      <c r="LK482"/>
      <c r="LL482"/>
      <c r="LM482"/>
      <c r="LN482"/>
      <c r="LO482"/>
      <c r="LP482"/>
      <c r="LQ482"/>
      <c r="LR482"/>
      <c r="LS482"/>
      <c r="LT482"/>
      <c r="LU482"/>
      <c r="LV482"/>
      <c r="LW482"/>
      <c r="LX482"/>
      <c r="LY482"/>
      <c r="LZ482"/>
      <c r="MA482"/>
      <c r="MB482"/>
      <c r="MC482"/>
      <c r="MD482"/>
      <c r="ME482"/>
      <c r="MF482"/>
      <c r="MG482"/>
      <c r="MH482"/>
      <c r="MI482"/>
      <c r="MJ482"/>
      <c r="MK482"/>
      <c r="ML482"/>
      <c r="MM482"/>
      <c r="MN482"/>
      <c r="MO482"/>
      <c r="MP482"/>
      <c r="MQ482"/>
      <c r="MR482"/>
      <c r="MS482"/>
      <c r="MT482"/>
      <c r="MU482"/>
      <c r="MV482"/>
      <c r="MW482"/>
      <c r="MX482"/>
      <c r="MY482"/>
      <c r="MZ482"/>
      <c r="NA482"/>
      <c r="NB482"/>
      <c r="NC482"/>
      <c r="ND482"/>
      <c r="NE482"/>
      <c r="NF482"/>
      <c r="NG482"/>
      <c r="NH482"/>
      <c r="NI482"/>
      <c r="NJ482"/>
      <c r="NK482"/>
      <c r="NL482"/>
      <c r="NM482"/>
      <c r="NN482"/>
      <c r="NO482"/>
      <c r="NP482"/>
      <c r="NQ482"/>
      <c r="NR482"/>
      <c r="NS482"/>
      <c r="NT482"/>
      <c r="NU482"/>
      <c r="NV482"/>
      <c r="NW482"/>
      <c r="NX482"/>
      <c r="NY482"/>
      <c r="NZ482"/>
      <c r="OA482"/>
      <c r="OB482"/>
      <c r="OC482"/>
      <c r="OD482"/>
      <c r="OE482"/>
      <c r="OF482"/>
      <c r="OG482"/>
      <c r="OH482"/>
      <c r="OI482"/>
      <c r="OJ482"/>
      <c r="OK482"/>
      <c r="OL482"/>
      <c r="OM482"/>
      <c r="ON482"/>
      <c r="OO482"/>
      <c r="OP482"/>
      <c r="OQ482"/>
      <c r="OR482"/>
      <c r="OS482"/>
      <c r="OT482"/>
      <c r="OU482"/>
      <c r="OV482"/>
      <c r="OW482"/>
      <c r="OX482"/>
      <c r="OY482"/>
      <c r="OZ482"/>
      <c r="PA482"/>
      <c r="PB482"/>
      <c r="PC482"/>
      <c r="PD482"/>
      <c r="PE482"/>
      <c r="PF482"/>
      <c r="PG482"/>
      <c r="PH482"/>
      <c r="PI482"/>
      <c r="PJ482"/>
      <c r="PK482"/>
      <c r="PL482"/>
      <c r="PM482"/>
      <c r="PN482"/>
      <c r="PO482"/>
      <c r="PP482"/>
      <c r="PQ482"/>
      <c r="PR482"/>
      <c r="PS482"/>
      <c r="PT482"/>
      <c r="PU482"/>
      <c r="PV482"/>
      <c r="PW482"/>
      <c r="PX482"/>
      <c r="PY482"/>
      <c r="PZ482"/>
      <c r="QA482"/>
      <c r="QB482"/>
      <c r="QC482"/>
      <c r="QD482"/>
      <c r="QE482"/>
      <c r="QF482"/>
      <c r="QG482"/>
      <c r="QH482"/>
      <c r="QI482"/>
      <c r="QJ482"/>
      <c r="QK482"/>
      <c r="QL482"/>
      <c r="QM482"/>
      <c r="QN482"/>
      <c r="QO482"/>
      <c r="QP482"/>
      <c r="QQ482"/>
      <c r="QR482"/>
      <c r="QS482"/>
      <c r="QT482"/>
      <c r="QU482"/>
      <c r="QV482"/>
      <c r="QW482"/>
      <c r="QX482"/>
      <c r="QY482"/>
      <c r="QZ482"/>
      <c r="RA482"/>
      <c r="RB482"/>
      <c r="RC482"/>
      <c r="RD482"/>
      <c r="RE482"/>
      <c r="RF482"/>
      <c r="RG482"/>
      <c r="RH482"/>
      <c r="RI482"/>
      <c r="RJ482"/>
      <c r="RK482"/>
      <c r="RL482"/>
      <c r="RM482"/>
      <c r="RN482"/>
      <c r="RO482"/>
      <c r="RP482"/>
      <c r="RQ482"/>
      <c r="RR482"/>
      <c r="RS482"/>
      <c r="RT482"/>
      <c r="RU482"/>
      <c r="RV482"/>
      <c r="RW482"/>
      <c r="RX482"/>
      <c r="RY482"/>
      <c r="RZ482"/>
      <c r="SA482"/>
      <c r="SB482"/>
      <c r="SC482"/>
      <c r="SD482"/>
      <c r="SE482"/>
      <c r="SF482"/>
      <c r="SG482"/>
      <c r="SH482"/>
      <c r="SI482"/>
      <c r="SJ482"/>
      <c r="SK482"/>
      <c r="SL482"/>
      <c r="SM482"/>
      <c r="SN482"/>
      <c r="SO482"/>
      <c r="SP482"/>
      <c r="SQ482"/>
      <c r="SR482"/>
      <c r="SS482"/>
      <c r="ST482"/>
      <c r="SU482"/>
      <c r="SV482"/>
      <c r="SW482"/>
      <c r="SX482"/>
      <c r="SY482"/>
      <c r="SZ482"/>
      <c r="TA482"/>
      <c r="TB482"/>
      <c r="TC482"/>
      <c r="TD482"/>
      <c r="TE482"/>
      <c r="TF482"/>
      <c r="TG482"/>
      <c r="TH482"/>
    </row>
    <row r="483" spans="3:528" x14ac:dyDescent="0.25">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c r="KT483"/>
      <c r="KU483"/>
      <c r="KV483"/>
      <c r="KW483"/>
      <c r="KX483"/>
      <c r="KY483"/>
      <c r="KZ483"/>
      <c r="LA483"/>
      <c r="LB483"/>
      <c r="LC483"/>
      <c r="LD483"/>
      <c r="LE483"/>
      <c r="LF483"/>
      <c r="LG483"/>
      <c r="LH483"/>
      <c r="LI483"/>
      <c r="LJ483"/>
      <c r="LK483"/>
      <c r="LL483"/>
      <c r="LM483"/>
      <c r="LN483"/>
      <c r="LO483"/>
      <c r="LP483"/>
      <c r="LQ483"/>
      <c r="LR483"/>
      <c r="LS483"/>
      <c r="LT483"/>
      <c r="LU483"/>
      <c r="LV483"/>
      <c r="LW483"/>
      <c r="LX483"/>
      <c r="LY483"/>
      <c r="LZ483"/>
      <c r="MA483"/>
      <c r="MB483"/>
      <c r="MC483"/>
      <c r="MD483"/>
      <c r="ME483"/>
      <c r="MF483"/>
      <c r="MG483"/>
      <c r="MH483"/>
      <c r="MI483"/>
      <c r="MJ483"/>
      <c r="MK483"/>
      <c r="ML483"/>
      <c r="MM483"/>
      <c r="MN483"/>
      <c r="MO483"/>
      <c r="MP483"/>
      <c r="MQ483"/>
      <c r="MR483"/>
      <c r="MS483"/>
      <c r="MT483"/>
      <c r="MU483"/>
      <c r="MV483"/>
      <c r="MW483"/>
      <c r="MX483"/>
      <c r="MY483"/>
      <c r="MZ483"/>
      <c r="NA483"/>
      <c r="NB483"/>
      <c r="NC483"/>
      <c r="ND483"/>
      <c r="NE483"/>
      <c r="NF483"/>
      <c r="NG483"/>
      <c r="NH483"/>
      <c r="NI483"/>
      <c r="NJ483"/>
      <c r="NK483"/>
      <c r="NL483"/>
      <c r="NM483"/>
      <c r="NN483"/>
      <c r="NO483"/>
      <c r="NP483"/>
      <c r="NQ483"/>
      <c r="NR483"/>
      <c r="NS483"/>
      <c r="NT483"/>
      <c r="NU483"/>
      <c r="NV483"/>
      <c r="NW483"/>
      <c r="NX483"/>
      <c r="NY483"/>
      <c r="NZ483"/>
      <c r="OA483"/>
      <c r="OB483"/>
      <c r="OC483"/>
      <c r="OD483"/>
      <c r="OE483"/>
      <c r="OF483"/>
      <c r="OG483"/>
      <c r="OH483"/>
      <c r="OI483"/>
      <c r="OJ483"/>
      <c r="OK483"/>
      <c r="OL483"/>
      <c r="OM483"/>
      <c r="ON483"/>
      <c r="OO483"/>
      <c r="OP483"/>
      <c r="OQ483"/>
      <c r="OR483"/>
      <c r="OS483"/>
      <c r="OT483"/>
      <c r="OU483"/>
      <c r="OV483"/>
      <c r="OW483"/>
      <c r="OX483"/>
      <c r="OY483"/>
      <c r="OZ483"/>
      <c r="PA483"/>
      <c r="PB483"/>
      <c r="PC483"/>
      <c r="PD483"/>
      <c r="PE483"/>
      <c r="PF483"/>
      <c r="PG483"/>
      <c r="PH483"/>
      <c r="PI483"/>
      <c r="PJ483"/>
      <c r="PK483"/>
      <c r="PL483"/>
      <c r="PM483"/>
      <c r="PN483"/>
      <c r="PO483"/>
      <c r="PP483"/>
      <c r="PQ483"/>
      <c r="PR483"/>
      <c r="PS483"/>
      <c r="PT483"/>
      <c r="PU483"/>
      <c r="PV483"/>
      <c r="PW483"/>
      <c r="PX483"/>
      <c r="PY483"/>
      <c r="PZ483"/>
      <c r="QA483"/>
      <c r="QB483"/>
      <c r="QC483"/>
      <c r="QD483"/>
      <c r="QE483"/>
      <c r="QF483"/>
      <c r="QG483"/>
      <c r="QH483"/>
      <c r="QI483"/>
      <c r="QJ483"/>
      <c r="QK483"/>
      <c r="QL483"/>
      <c r="QM483"/>
      <c r="QN483"/>
      <c r="QO483"/>
      <c r="QP483"/>
      <c r="QQ483"/>
      <c r="QR483"/>
      <c r="QS483"/>
      <c r="QT483"/>
      <c r="QU483"/>
      <c r="QV483"/>
      <c r="QW483"/>
      <c r="QX483"/>
      <c r="QY483"/>
      <c r="QZ483"/>
      <c r="RA483"/>
      <c r="RB483"/>
      <c r="RC483"/>
      <c r="RD483"/>
      <c r="RE483"/>
      <c r="RF483"/>
      <c r="RG483"/>
      <c r="RH483"/>
      <c r="RI483"/>
      <c r="RJ483"/>
      <c r="RK483"/>
      <c r="RL483"/>
      <c r="RM483"/>
      <c r="RN483"/>
      <c r="RO483"/>
      <c r="RP483"/>
      <c r="RQ483"/>
      <c r="RR483"/>
      <c r="RS483"/>
      <c r="RT483"/>
      <c r="RU483"/>
      <c r="RV483"/>
      <c r="RW483"/>
      <c r="RX483"/>
      <c r="RY483"/>
      <c r="RZ483"/>
      <c r="SA483"/>
      <c r="SB483"/>
      <c r="SC483"/>
      <c r="SD483"/>
      <c r="SE483"/>
      <c r="SF483"/>
      <c r="SG483"/>
      <c r="SH483"/>
      <c r="SI483"/>
      <c r="SJ483"/>
      <c r="SK483"/>
      <c r="SL483"/>
      <c r="SM483"/>
      <c r="SN483"/>
      <c r="SO483"/>
      <c r="SP483"/>
      <c r="SQ483"/>
      <c r="SR483"/>
      <c r="SS483"/>
      <c r="ST483"/>
      <c r="SU483"/>
      <c r="SV483"/>
      <c r="SW483"/>
      <c r="SX483"/>
      <c r="SY483"/>
      <c r="SZ483"/>
      <c r="TA483"/>
      <c r="TB483"/>
      <c r="TC483"/>
      <c r="TD483"/>
      <c r="TE483"/>
      <c r="TF483"/>
      <c r="TG483"/>
      <c r="TH483"/>
    </row>
    <row r="484" spans="3:528" x14ac:dyDescent="0.25">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c r="KT484"/>
      <c r="KU484"/>
      <c r="KV484"/>
      <c r="KW484"/>
      <c r="KX484"/>
      <c r="KY484"/>
      <c r="KZ484"/>
      <c r="LA484"/>
      <c r="LB484"/>
      <c r="LC484"/>
      <c r="LD484"/>
      <c r="LE484"/>
      <c r="LF484"/>
      <c r="LG484"/>
      <c r="LH484"/>
      <c r="LI484"/>
      <c r="LJ484"/>
      <c r="LK484"/>
      <c r="LL484"/>
      <c r="LM484"/>
      <c r="LN484"/>
      <c r="LO484"/>
      <c r="LP484"/>
      <c r="LQ484"/>
      <c r="LR484"/>
      <c r="LS484"/>
      <c r="LT484"/>
      <c r="LU484"/>
      <c r="LV484"/>
      <c r="LW484"/>
      <c r="LX484"/>
      <c r="LY484"/>
      <c r="LZ484"/>
      <c r="MA484"/>
      <c r="MB484"/>
      <c r="MC484"/>
      <c r="MD484"/>
      <c r="ME484"/>
      <c r="MF484"/>
      <c r="MG484"/>
      <c r="MH484"/>
      <c r="MI484"/>
      <c r="MJ484"/>
      <c r="MK484"/>
      <c r="ML484"/>
      <c r="MM484"/>
      <c r="MN484"/>
      <c r="MO484"/>
      <c r="MP484"/>
      <c r="MQ484"/>
      <c r="MR484"/>
      <c r="MS484"/>
      <c r="MT484"/>
      <c r="MU484"/>
      <c r="MV484"/>
      <c r="MW484"/>
      <c r="MX484"/>
      <c r="MY484"/>
      <c r="MZ484"/>
      <c r="NA484"/>
      <c r="NB484"/>
      <c r="NC484"/>
      <c r="ND484"/>
      <c r="NE484"/>
      <c r="NF484"/>
      <c r="NG484"/>
      <c r="NH484"/>
      <c r="NI484"/>
      <c r="NJ484"/>
      <c r="NK484"/>
      <c r="NL484"/>
      <c r="NM484"/>
      <c r="NN484"/>
      <c r="NO484"/>
      <c r="NP484"/>
      <c r="NQ484"/>
      <c r="NR484"/>
      <c r="NS484"/>
      <c r="NT484"/>
      <c r="NU484"/>
      <c r="NV484"/>
      <c r="NW484"/>
      <c r="NX484"/>
      <c r="NY484"/>
      <c r="NZ484"/>
      <c r="OA484"/>
      <c r="OB484"/>
      <c r="OC484"/>
      <c r="OD484"/>
      <c r="OE484"/>
      <c r="OF484"/>
      <c r="OG484"/>
      <c r="OH484"/>
      <c r="OI484"/>
      <c r="OJ484"/>
      <c r="OK484"/>
      <c r="OL484"/>
      <c r="OM484"/>
      <c r="ON484"/>
      <c r="OO484"/>
      <c r="OP484"/>
      <c r="OQ484"/>
      <c r="OR484"/>
      <c r="OS484"/>
      <c r="OT484"/>
      <c r="OU484"/>
      <c r="OV484"/>
      <c r="OW484"/>
      <c r="OX484"/>
      <c r="OY484"/>
      <c r="OZ484"/>
      <c r="PA484"/>
      <c r="PB484"/>
      <c r="PC484"/>
      <c r="PD484"/>
      <c r="PE484"/>
      <c r="PF484"/>
      <c r="PG484"/>
      <c r="PH484"/>
      <c r="PI484"/>
      <c r="PJ484"/>
      <c r="PK484"/>
      <c r="PL484"/>
      <c r="PM484"/>
      <c r="PN484"/>
      <c r="PO484"/>
      <c r="PP484"/>
      <c r="PQ484"/>
      <c r="PR484"/>
      <c r="PS484"/>
      <c r="PT484"/>
      <c r="PU484"/>
      <c r="PV484"/>
      <c r="PW484"/>
      <c r="PX484"/>
      <c r="PY484"/>
      <c r="PZ484"/>
      <c r="QA484"/>
      <c r="QB484"/>
      <c r="QC484"/>
      <c r="QD484"/>
      <c r="QE484"/>
      <c r="QF484"/>
      <c r="QG484"/>
      <c r="QH484"/>
      <c r="QI484"/>
      <c r="QJ484"/>
      <c r="QK484"/>
      <c r="QL484"/>
      <c r="QM484"/>
      <c r="QN484"/>
      <c r="QO484"/>
      <c r="QP484"/>
      <c r="QQ484"/>
      <c r="QR484"/>
      <c r="QS484"/>
      <c r="QT484"/>
      <c r="QU484"/>
      <c r="QV484"/>
      <c r="QW484"/>
      <c r="QX484"/>
      <c r="QY484"/>
      <c r="QZ484"/>
      <c r="RA484"/>
      <c r="RB484"/>
      <c r="RC484"/>
      <c r="RD484"/>
      <c r="RE484"/>
      <c r="RF484"/>
      <c r="RG484"/>
      <c r="RH484"/>
      <c r="RI484"/>
      <c r="RJ484"/>
      <c r="RK484"/>
      <c r="RL484"/>
      <c r="RM484"/>
      <c r="RN484"/>
      <c r="RO484"/>
      <c r="RP484"/>
      <c r="RQ484"/>
      <c r="RR484"/>
      <c r="RS484"/>
      <c r="RT484"/>
      <c r="RU484"/>
      <c r="RV484"/>
      <c r="RW484"/>
      <c r="RX484"/>
      <c r="RY484"/>
      <c r="RZ484"/>
      <c r="SA484"/>
      <c r="SB484"/>
      <c r="SC484"/>
      <c r="SD484"/>
      <c r="SE484"/>
      <c r="SF484"/>
      <c r="SG484"/>
      <c r="SH484"/>
      <c r="SI484"/>
      <c r="SJ484"/>
      <c r="SK484"/>
      <c r="SL484"/>
      <c r="SM484"/>
      <c r="SN484"/>
      <c r="SO484"/>
      <c r="SP484"/>
      <c r="SQ484"/>
      <c r="SR484"/>
      <c r="SS484"/>
      <c r="ST484"/>
      <c r="SU484"/>
      <c r="SV484"/>
      <c r="SW484"/>
      <c r="SX484"/>
      <c r="SY484"/>
      <c r="SZ484"/>
      <c r="TA484"/>
      <c r="TB484"/>
      <c r="TC484"/>
      <c r="TD484"/>
      <c r="TE484"/>
      <c r="TF484"/>
      <c r="TG484"/>
      <c r="TH484"/>
    </row>
    <row r="485" spans="3:528" x14ac:dyDescent="0.2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c r="KT485"/>
      <c r="KU485"/>
      <c r="KV485"/>
      <c r="KW485"/>
      <c r="KX485"/>
      <c r="KY485"/>
      <c r="KZ485"/>
      <c r="LA485"/>
      <c r="LB485"/>
      <c r="LC485"/>
      <c r="LD485"/>
      <c r="LE485"/>
      <c r="LF485"/>
      <c r="LG485"/>
      <c r="LH485"/>
      <c r="LI485"/>
      <c r="LJ485"/>
      <c r="LK485"/>
      <c r="LL485"/>
      <c r="LM485"/>
      <c r="LN485"/>
      <c r="LO485"/>
      <c r="LP485"/>
      <c r="LQ485"/>
      <c r="LR485"/>
      <c r="LS485"/>
      <c r="LT485"/>
      <c r="LU485"/>
      <c r="LV485"/>
      <c r="LW485"/>
      <c r="LX485"/>
      <c r="LY485"/>
      <c r="LZ485"/>
      <c r="MA485"/>
      <c r="MB485"/>
      <c r="MC485"/>
      <c r="MD485"/>
      <c r="ME485"/>
      <c r="MF485"/>
      <c r="MG485"/>
      <c r="MH485"/>
      <c r="MI485"/>
      <c r="MJ485"/>
      <c r="MK485"/>
      <c r="ML485"/>
      <c r="MM485"/>
      <c r="MN485"/>
      <c r="MO485"/>
      <c r="MP485"/>
      <c r="MQ485"/>
      <c r="MR485"/>
      <c r="MS485"/>
      <c r="MT485"/>
      <c r="MU485"/>
      <c r="MV485"/>
      <c r="MW485"/>
      <c r="MX485"/>
      <c r="MY485"/>
      <c r="MZ485"/>
      <c r="NA485"/>
      <c r="NB485"/>
      <c r="NC485"/>
      <c r="ND485"/>
      <c r="NE485"/>
      <c r="NF485"/>
      <c r="NG485"/>
      <c r="NH485"/>
      <c r="NI485"/>
      <c r="NJ485"/>
      <c r="NK485"/>
      <c r="NL485"/>
      <c r="NM485"/>
      <c r="NN485"/>
      <c r="NO485"/>
      <c r="NP485"/>
      <c r="NQ485"/>
      <c r="NR485"/>
      <c r="NS485"/>
      <c r="NT485"/>
      <c r="NU485"/>
      <c r="NV485"/>
      <c r="NW485"/>
      <c r="NX485"/>
      <c r="NY485"/>
      <c r="NZ485"/>
      <c r="OA485"/>
      <c r="OB485"/>
      <c r="OC485"/>
      <c r="OD485"/>
      <c r="OE485"/>
      <c r="OF485"/>
      <c r="OG485"/>
      <c r="OH485"/>
      <c r="OI485"/>
      <c r="OJ485"/>
      <c r="OK485"/>
      <c r="OL485"/>
      <c r="OM485"/>
      <c r="ON485"/>
      <c r="OO485"/>
      <c r="OP485"/>
      <c r="OQ485"/>
      <c r="OR485"/>
      <c r="OS485"/>
      <c r="OT485"/>
      <c r="OU485"/>
      <c r="OV485"/>
      <c r="OW485"/>
      <c r="OX485"/>
      <c r="OY485"/>
      <c r="OZ485"/>
      <c r="PA485"/>
      <c r="PB485"/>
      <c r="PC485"/>
      <c r="PD485"/>
      <c r="PE485"/>
      <c r="PF485"/>
      <c r="PG485"/>
      <c r="PH485"/>
      <c r="PI485"/>
      <c r="PJ485"/>
      <c r="PK485"/>
      <c r="PL485"/>
      <c r="PM485"/>
      <c r="PN485"/>
      <c r="PO485"/>
      <c r="PP485"/>
      <c r="PQ485"/>
      <c r="PR485"/>
      <c r="PS485"/>
      <c r="PT485"/>
      <c r="PU485"/>
      <c r="PV485"/>
      <c r="PW485"/>
      <c r="PX485"/>
      <c r="PY485"/>
      <c r="PZ485"/>
      <c r="QA485"/>
      <c r="QB485"/>
      <c r="QC485"/>
      <c r="QD485"/>
      <c r="QE485"/>
      <c r="QF485"/>
      <c r="QG485"/>
      <c r="QH485"/>
      <c r="QI485"/>
      <c r="QJ485"/>
      <c r="QK485"/>
      <c r="QL485"/>
      <c r="QM485"/>
      <c r="QN485"/>
      <c r="QO485"/>
      <c r="QP485"/>
      <c r="QQ485"/>
      <c r="QR485"/>
      <c r="QS485"/>
      <c r="QT485"/>
      <c r="QU485"/>
      <c r="QV485"/>
      <c r="QW485"/>
      <c r="QX485"/>
      <c r="QY485"/>
      <c r="QZ485"/>
      <c r="RA485"/>
      <c r="RB485"/>
      <c r="RC485"/>
      <c r="RD485"/>
      <c r="RE485"/>
      <c r="RF485"/>
      <c r="RG485"/>
      <c r="RH485"/>
      <c r="RI485"/>
      <c r="RJ485"/>
      <c r="RK485"/>
      <c r="RL485"/>
      <c r="RM485"/>
      <c r="RN485"/>
      <c r="RO485"/>
      <c r="RP485"/>
      <c r="RQ485"/>
      <c r="RR485"/>
      <c r="RS485"/>
      <c r="RT485"/>
      <c r="RU485"/>
      <c r="RV485"/>
      <c r="RW485"/>
      <c r="RX485"/>
      <c r="RY485"/>
      <c r="RZ485"/>
      <c r="SA485"/>
      <c r="SB485"/>
      <c r="SC485"/>
      <c r="SD485"/>
      <c r="SE485"/>
      <c r="SF485"/>
      <c r="SG485"/>
      <c r="SH485"/>
      <c r="SI485"/>
      <c r="SJ485"/>
      <c r="SK485"/>
      <c r="SL485"/>
      <c r="SM485"/>
      <c r="SN485"/>
      <c r="SO485"/>
      <c r="SP485"/>
      <c r="SQ485"/>
      <c r="SR485"/>
      <c r="SS485"/>
      <c r="ST485"/>
      <c r="SU485"/>
      <c r="SV485"/>
      <c r="SW485"/>
      <c r="SX485"/>
      <c r="SY485"/>
      <c r="SZ485"/>
      <c r="TA485"/>
      <c r="TB485"/>
      <c r="TC485"/>
      <c r="TD485"/>
      <c r="TE485"/>
      <c r="TF485"/>
      <c r="TG485"/>
      <c r="TH485"/>
    </row>
    <row r="486" spans="3:528" x14ac:dyDescent="0.25">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c r="KT486"/>
      <c r="KU486"/>
      <c r="KV486"/>
      <c r="KW486"/>
      <c r="KX486"/>
      <c r="KY486"/>
      <c r="KZ486"/>
      <c r="LA486"/>
      <c r="LB486"/>
      <c r="LC486"/>
      <c r="LD486"/>
      <c r="LE486"/>
      <c r="LF486"/>
      <c r="LG486"/>
      <c r="LH486"/>
      <c r="LI486"/>
      <c r="LJ486"/>
      <c r="LK486"/>
      <c r="LL486"/>
      <c r="LM486"/>
      <c r="LN486"/>
      <c r="LO486"/>
      <c r="LP486"/>
      <c r="LQ486"/>
      <c r="LR486"/>
      <c r="LS486"/>
      <c r="LT486"/>
      <c r="LU486"/>
      <c r="LV486"/>
      <c r="LW486"/>
      <c r="LX486"/>
      <c r="LY486"/>
      <c r="LZ486"/>
      <c r="MA486"/>
      <c r="MB486"/>
      <c r="MC486"/>
      <c r="MD486"/>
      <c r="ME486"/>
      <c r="MF486"/>
      <c r="MG486"/>
      <c r="MH486"/>
      <c r="MI486"/>
      <c r="MJ486"/>
      <c r="MK486"/>
      <c r="ML486"/>
      <c r="MM486"/>
      <c r="MN486"/>
      <c r="MO486"/>
      <c r="MP486"/>
      <c r="MQ486"/>
      <c r="MR486"/>
      <c r="MS486"/>
      <c r="MT486"/>
      <c r="MU486"/>
      <c r="MV486"/>
      <c r="MW486"/>
      <c r="MX486"/>
      <c r="MY486"/>
      <c r="MZ486"/>
      <c r="NA486"/>
      <c r="NB486"/>
      <c r="NC486"/>
      <c r="ND486"/>
      <c r="NE486"/>
      <c r="NF486"/>
      <c r="NG486"/>
      <c r="NH486"/>
      <c r="NI486"/>
      <c r="NJ486"/>
      <c r="NK486"/>
      <c r="NL486"/>
      <c r="NM486"/>
      <c r="NN486"/>
      <c r="NO486"/>
      <c r="NP486"/>
      <c r="NQ486"/>
      <c r="NR486"/>
      <c r="NS486"/>
      <c r="NT486"/>
      <c r="NU486"/>
      <c r="NV486"/>
      <c r="NW486"/>
      <c r="NX486"/>
      <c r="NY486"/>
      <c r="NZ486"/>
      <c r="OA486"/>
      <c r="OB486"/>
      <c r="OC486"/>
      <c r="OD486"/>
      <c r="OE486"/>
      <c r="OF486"/>
      <c r="OG486"/>
      <c r="OH486"/>
      <c r="OI486"/>
      <c r="OJ486"/>
      <c r="OK486"/>
      <c r="OL486"/>
      <c r="OM486"/>
      <c r="ON486"/>
      <c r="OO486"/>
      <c r="OP486"/>
      <c r="OQ486"/>
      <c r="OR486"/>
      <c r="OS486"/>
      <c r="OT486"/>
      <c r="OU486"/>
      <c r="OV486"/>
      <c r="OW486"/>
      <c r="OX486"/>
      <c r="OY486"/>
      <c r="OZ486"/>
      <c r="PA486"/>
      <c r="PB486"/>
      <c r="PC486"/>
      <c r="PD486"/>
      <c r="PE486"/>
      <c r="PF486"/>
      <c r="PG486"/>
      <c r="PH486"/>
      <c r="PI486"/>
      <c r="PJ486"/>
      <c r="PK486"/>
      <c r="PL486"/>
      <c r="PM486"/>
      <c r="PN486"/>
      <c r="PO486"/>
      <c r="PP486"/>
      <c r="PQ486"/>
      <c r="PR486"/>
      <c r="PS486"/>
      <c r="PT486"/>
      <c r="PU486"/>
      <c r="PV486"/>
      <c r="PW486"/>
      <c r="PX486"/>
      <c r="PY486"/>
      <c r="PZ486"/>
      <c r="QA486"/>
      <c r="QB486"/>
      <c r="QC486"/>
      <c r="QD486"/>
      <c r="QE486"/>
      <c r="QF486"/>
      <c r="QG486"/>
      <c r="QH486"/>
      <c r="QI486"/>
      <c r="QJ486"/>
      <c r="QK486"/>
      <c r="QL486"/>
      <c r="QM486"/>
      <c r="QN486"/>
      <c r="QO486"/>
      <c r="QP486"/>
      <c r="QQ486"/>
      <c r="QR486"/>
      <c r="QS486"/>
      <c r="QT486"/>
      <c r="QU486"/>
      <c r="QV486"/>
      <c r="QW486"/>
      <c r="QX486"/>
      <c r="QY486"/>
      <c r="QZ486"/>
      <c r="RA486"/>
      <c r="RB486"/>
      <c r="RC486"/>
      <c r="RD486"/>
      <c r="RE486"/>
      <c r="RF486"/>
      <c r="RG486"/>
      <c r="RH486"/>
      <c r="RI486"/>
      <c r="RJ486"/>
      <c r="RK486"/>
      <c r="RL486"/>
      <c r="RM486"/>
      <c r="RN486"/>
      <c r="RO486"/>
      <c r="RP486"/>
      <c r="RQ486"/>
      <c r="RR486"/>
      <c r="RS486"/>
      <c r="RT486"/>
      <c r="RU486"/>
      <c r="RV486"/>
      <c r="RW486"/>
      <c r="RX486"/>
      <c r="RY486"/>
      <c r="RZ486"/>
      <c r="SA486"/>
      <c r="SB486"/>
      <c r="SC486"/>
      <c r="SD486"/>
      <c r="SE486"/>
      <c r="SF486"/>
      <c r="SG486"/>
      <c r="SH486"/>
      <c r="SI486"/>
      <c r="SJ486"/>
      <c r="SK486"/>
      <c r="SL486"/>
      <c r="SM486"/>
      <c r="SN486"/>
      <c r="SO486"/>
      <c r="SP486"/>
      <c r="SQ486"/>
      <c r="SR486"/>
      <c r="SS486"/>
      <c r="ST486"/>
      <c r="SU486"/>
      <c r="SV486"/>
      <c r="SW486"/>
      <c r="SX486"/>
      <c r="SY486"/>
      <c r="SZ486"/>
      <c r="TA486"/>
      <c r="TB486"/>
      <c r="TC486"/>
      <c r="TD486"/>
      <c r="TE486"/>
      <c r="TF486"/>
      <c r="TG486"/>
      <c r="TH486"/>
    </row>
    <row r="487" spans="3:528" x14ac:dyDescent="0.25">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c r="KT487"/>
      <c r="KU487"/>
      <c r="KV487"/>
      <c r="KW487"/>
      <c r="KX487"/>
      <c r="KY487"/>
      <c r="KZ487"/>
      <c r="LA487"/>
      <c r="LB487"/>
      <c r="LC487"/>
      <c r="LD487"/>
      <c r="LE487"/>
      <c r="LF487"/>
      <c r="LG487"/>
      <c r="LH487"/>
      <c r="LI487"/>
      <c r="LJ487"/>
      <c r="LK487"/>
      <c r="LL487"/>
      <c r="LM487"/>
      <c r="LN487"/>
      <c r="LO487"/>
      <c r="LP487"/>
      <c r="LQ487"/>
      <c r="LR487"/>
      <c r="LS487"/>
      <c r="LT487"/>
      <c r="LU487"/>
      <c r="LV487"/>
      <c r="LW487"/>
      <c r="LX487"/>
      <c r="LY487"/>
      <c r="LZ487"/>
      <c r="MA487"/>
      <c r="MB487"/>
      <c r="MC487"/>
      <c r="MD487"/>
      <c r="ME487"/>
      <c r="MF487"/>
      <c r="MG487"/>
      <c r="MH487"/>
      <c r="MI487"/>
      <c r="MJ487"/>
      <c r="MK487"/>
      <c r="ML487"/>
      <c r="MM487"/>
      <c r="MN487"/>
      <c r="MO487"/>
      <c r="MP487"/>
      <c r="MQ487"/>
      <c r="MR487"/>
      <c r="MS487"/>
      <c r="MT487"/>
      <c r="MU487"/>
      <c r="MV487"/>
      <c r="MW487"/>
      <c r="MX487"/>
      <c r="MY487"/>
      <c r="MZ487"/>
      <c r="NA487"/>
      <c r="NB487"/>
      <c r="NC487"/>
      <c r="ND487"/>
      <c r="NE487"/>
      <c r="NF487"/>
      <c r="NG487"/>
      <c r="NH487"/>
      <c r="NI487"/>
      <c r="NJ487"/>
      <c r="NK487"/>
      <c r="NL487"/>
      <c r="NM487"/>
      <c r="NN487"/>
      <c r="NO487"/>
      <c r="NP487"/>
      <c r="NQ487"/>
      <c r="NR487"/>
      <c r="NS487"/>
      <c r="NT487"/>
      <c r="NU487"/>
      <c r="NV487"/>
      <c r="NW487"/>
      <c r="NX487"/>
      <c r="NY487"/>
      <c r="NZ487"/>
      <c r="OA487"/>
      <c r="OB487"/>
      <c r="OC487"/>
      <c r="OD487"/>
      <c r="OE487"/>
      <c r="OF487"/>
      <c r="OG487"/>
      <c r="OH487"/>
      <c r="OI487"/>
      <c r="OJ487"/>
      <c r="OK487"/>
      <c r="OL487"/>
      <c r="OM487"/>
      <c r="ON487"/>
      <c r="OO487"/>
      <c r="OP487"/>
      <c r="OQ487"/>
      <c r="OR487"/>
      <c r="OS487"/>
      <c r="OT487"/>
      <c r="OU487"/>
      <c r="OV487"/>
      <c r="OW487"/>
      <c r="OX487"/>
      <c r="OY487"/>
      <c r="OZ487"/>
      <c r="PA487"/>
      <c r="PB487"/>
      <c r="PC487"/>
      <c r="PD487"/>
      <c r="PE487"/>
      <c r="PF487"/>
      <c r="PG487"/>
      <c r="PH487"/>
      <c r="PI487"/>
      <c r="PJ487"/>
      <c r="PK487"/>
      <c r="PL487"/>
      <c r="PM487"/>
      <c r="PN487"/>
      <c r="PO487"/>
      <c r="PP487"/>
      <c r="PQ487"/>
      <c r="PR487"/>
      <c r="PS487"/>
      <c r="PT487"/>
      <c r="PU487"/>
      <c r="PV487"/>
      <c r="PW487"/>
      <c r="PX487"/>
      <c r="PY487"/>
      <c r="PZ487"/>
      <c r="QA487"/>
      <c r="QB487"/>
      <c r="QC487"/>
      <c r="QD487"/>
      <c r="QE487"/>
      <c r="QF487"/>
      <c r="QG487"/>
      <c r="QH487"/>
      <c r="QI487"/>
      <c r="QJ487"/>
      <c r="QK487"/>
      <c r="QL487"/>
      <c r="QM487"/>
      <c r="QN487"/>
      <c r="QO487"/>
      <c r="QP487"/>
      <c r="QQ487"/>
      <c r="QR487"/>
      <c r="QS487"/>
      <c r="QT487"/>
      <c r="QU487"/>
      <c r="QV487"/>
      <c r="QW487"/>
      <c r="QX487"/>
      <c r="QY487"/>
      <c r="QZ487"/>
      <c r="RA487"/>
      <c r="RB487"/>
      <c r="RC487"/>
      <c r="RD487"/>
      <c r="RE487"/>
      <c r="RF487"/>
      <c r="RG487"/>
      <c r="RH487"/>
      <c r="RI487"/>
      <c r="RJ487"/>
      <c r="RK487"/>
      <c r="RL487"/>
      <c r="RM487"/>
      <c r="RN487"/>
      <c r="RO487"/>
      <c r="RP487"/>
      <c r="RQ487"/>
      <c r="RR487"/>
      <c r="RS487"/>
      <c r="RT487"/>
      <c r="RU487"/>
      <c r="RV487"/>
      <c r="RW487"/>
      <c r="RX487"/>
      <c r="RY487"/>
      <c r="RZ487"/>
      <c r="SA487"/>
      <c r="SB487"/>
      <c r="SC487"/>
      <c r="SD487"/>
      <c r="SE487"/>
      <c r="SF487"/>
      <c r="SG487"/>
      <c r="SH487"/>
      <c r="SI487"/>
      <c r="SJ487"/>
      <c r="SK487"/>
      <c r="SL487"/>
      <c r="SM487"/>
      <c r="SN487"/>
      <c r="SO487"/>
      <c r="SP487"/>
      <c r="SQ487"/>
      <c r="SR487"/>
      <c r="SS487"/>
      <c r="ST487"/>
      <c r="SU487"/>
      <c r="SV487"/>
      <c r="SW487"/>
      <c r="SX487"/>
      <c r="SY487"/>
      <c r="SZ487"/>
      <c r="TA487"/>
      <c r="TB487"/>
      <c r="TC487"/>
      <c r="TD487"/>
      <c r="TE487"/>
      <c r="TF487"/>
      <c r="TG487"/>
      <c r="TH487"/>
    </row>
    <row r="488" spans="3:528" x14ac:dyDescent="0.25">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c r="KT488"/>
      <c r="KU488"/>
      <c r="KV488"/>
      <c r="KW488"/>
      <c r="KX488"/>
      <c r="KY488"/>
      <c r="KZ488"/>
      <c r="LA488"/>
      <c r="LB488"/>
      <c r="LC488"/>
      <c r="LD488"/>
      <c r="LE488"/>
      <c r="LF488"/>
      <c r="LG488"/>
      <c r="LH488"/>
      <c r="LI488"/>
      <c r="LJ488"/>
      <c r="LK488"/>
      <c r="LL488"/>
      <c r="LM488"/>
      <c r="LN488"/>
      <c r="LO488"/>
      <c r="LP488"/>
      <c r="LQ488"/>
      <c r="LR488"/>
      <c r="LS488"/>
      <c r="LT488"/>
      <c r="LU488"/>
      <c r="LV488"/>
      <c r="LW488"/>
      <c r="LX488"/>
      <c r="LY488"/>
      <c r="LZ488"/>
      <c r="MA488"/>
      <c r="MB488"/>
      <c r="MC488"/>
      <c r="MD488"/>
      <c r="ME488"/>
      <c r="MF488"/>
      <c r="MG488"/>
      <c r="MH488"/>
      <c r="MI488"/>
      <c r="MJ488"/>
      <c r="MK488"/>
      <c r="ML488"/>
      <c r="MM488"/>
      <c r="MN488"/>
      <c r="MO488"/>
      <c r="MP488"/>
      <c r="MQ488"/>
      <c r="MR488"/>
      <c r="MS488"/>
      <c r="MT488"/>
      <c r="MU488"/>
      <c r="MV488"/>
      <c r="MW488"/>
      <c r="MX488"/>
      <c r="MY488"/>
      <c r="MZ488"/>
      <c r="NA488"/>
      <c r="NB488"/>
      <c r="NC488"/>
      <c r="ND488"/>
      <c r="NE488"/>
      <c r="NF488"/>
      <c r="NG488"/>
      <c r="NH488"/>
      <c r="NI488"/>
      <c r="NJ488"/>
      <c r="NK488"/>
      <c r="NL488"/>
      <c r="NM488"/>
      <c r="NN488"/>
      <c r="NO488"/>
      <c r="NP488"/>
      <c r="NQ488"/>
      <c r="NR488"/>
      <c r="NS488"/>
      <c r="NT488"/>
      <c r="NU488"/>
      <c r="NV488"/>
      <c r="NW488"/>
      <c r="NX488"/>
      <c r="NY488"/>
      <c r="NZ488"/>
      <c r="OA488"/>
      <c r="OB488"/>
      <c r="OC488"/>
      <c r="OD488"/>
      <c r="OE488"/>
      <c r="OF488"/>
      <c r="OG488"/>
      <c r="OH488"/>
      <c r="OI488"/>
      <c r="OJ488"/>
      <c r="OK488"/>
      <c r="OL488"/>
      <c r="OM488"/>
      <c r="ON488"/>
      <c r="OO488"/>
      <c r="OP488"/>
      <c r="OQ488"/>
      <c r="OR488"/>
      <c r="OS488"/>
      <c r="OT488"/>
      <c r="OU488"/>
      <c r="OV488"/>
      <c r="OW488"/>
      <c r="OX488"/>
      <c r="OY488"/>
      <c r="OZ488"/>
      <c r="PA488"/>
      <c r="PB488"/>
      <c r="PC488"/>
      <c r="PD488"/>
      <c r="PE488"/>
      <c r="PF488"/>
      <c r="PG488"/>
      <c r="PH488"/>
      <c r="PI488"/>
      <c r="PJ488"/>
      <c r="PK488"/>
      <c r="PL488"/>
      <c r="PM488"/>
      <c r="PN488"/>
      <c r="PO488"/>
      <c r="PP488"/>
      <c r="PQ488"/>
      <c r="PR488"/>
      <c r="PS488"/>
      <c r="PT488"/>
      <c r="PU488"/>
      <c r="PV488"/>
      <c r="PW488"/>
      <c r="PX488"/>
      <c r="PY488"/>
      <c r="PZ488"/>
      <c r="QA488"/>
      <c r="QB488"/>
      <c r="QC488"/>
      <c r="QD488"/>
      <c r="QE488"/>
      <c r="QF488"/>
      <c r="QG488"/>
      <c r="QH488"/>
      <c r="QI488"/>
      <c r="QJ488"/>
      <c r="QK488"/>
      <c r="QL488"/>
      <c r="QM488"/>
      <c r="QN488"/>
      <c r="QO488"/>
      <c r="QP488"/>
      <c r="QQ488"/>
      <c r="QR488"/>
      <c r="QS488"/>
      <c r="QT488"/>
      <c r="QU488"/>
      <c r="QV488"/>
      <c r="QW488"/>
      <c r="QX488"/>
      <c r="QY488"/>
      <c r="QZ488"/>
      <c r="RA488"/>
      <c r="RB488"/>
      <c r="RC488"/>
      <c r="RD488"/>
      <c r="RE488"/>
      <c r="RF488"/>
      <c r="RG488"/>
      <c r="RH488"/>
      <c r="RI488"/>
      <c r="RJ488"/>
      <c r="RK488"/>
      <c r="RL488"/>
      <c r="RM488"/>
      <c r="RN488"/>
      <c r="RO488"/>
      <c r="RP488"/>
      <c r="RQ488"/>
      <c r="RR488"/>
      <c r="RS488"/>
      <c r="RT488"/>
      <c r="RU488"/>
      <c r="RV488"/>
      <c r="RW488"/>
      <c r="RX488"/>
      <c r="RY488"/>
      <c r="RZ488"/>
      <c r="SA488"/>
      <c r="SB488"/>
      <c r="SC488"/>
      <c r="SD488"/>
      <c r="SE488"/>
      <c r="SF488"/>
      <c r="SG488"/>
      <c r="SH488"/>
      <c r="SI488"/>
      <c r="SJ488"/>
      <c r="SK488"/>
      <c r="SL488"/>
      <c r="SM488"/>
      <c r="SN488"/>
      <c r="SO488"/>
      <c r="SP488"/>
      <c r="SQ488"/>
      <c r="SR488"/>
      <c r="SS488"/>
      <c r="ST488"/>
      <c r="SU488"/>
      <c r="SV488"/>
      <c r="SW488"/>
      <c r="SX488"/>
      <c r="SY488"/>
      <c r="SZ488"/>
      <c r="TA488"/>
      <c r="TB488"/>
      <c r="TC488"/>
      <c r="TD488"/>
      <c r="TE488"/>
      <c r="TF488"/>
      <c r="TG488"/>
      <c r="TH488"/>
    </row>
    <row r="489" spans="3:528" x14ac:dyDescent="0.25">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c r="KT489"/>
      <c r="KU489"/>
      <c r="KV489"/>
      <c r="KW489"/>
      <c r="KX489"/>
      <c r="KY489"/>
      <c r="KZ489"/>
      <c r="LA489"/>
      <c r="LB489"/>
      <c r="LC489"/>
      <c r="LD489"/>
      <c r="LE489"/>
      <c r="LF489"/>
      <c r="LG489"/>
      <c r="LH489"/>
      <c r="LI489"/>
      <c r="LJ489"/>
      <c r="LK489"/>
      <c r="LL489"/>
      <c r="LM489"/>
      <c r="LN489"/>
      <c r="LO489"/>
      <c r="LP489"/>
      <c r="LQ489"/>
      <c r="LR489"/>
      <c r="LS489"/>
      <c r="LT489"/>
      <c r="LU489"/>
      <c r="LV489"/>
      <c r="LW489"/>
      <c r="LX489"/>
      <c r="LY489"/>
      <c r="LZ489"/>
      <c r="MA489"/>
      <c r="MB489"/>
      <c r="MC489"/>
      <c r="MD489"/>
      <c r="ME489"/>
      <c r="MF489"/>
      <c r="MG489"/>
      <c r="MH489"/>
      <c r="MI489"/>
      <c r="MJ489"/>
      <c r="MK489"/>
      <c r="ML489"/>
      <c r="MM489"/>
      <c r="MN489"/>
      <c r="MO489"/>
      <c r="MP489"/>
      <c r="MQ489"/>
      <c r="MR489"/>
      <c r="MS489"/>
      <c r="MT489"/>
      <c r="MU489"/>
      <c r="MV489"/>
      <c r="MW489"/>
      <c r="MX489"/>
      <c r="MY489"/>
      <c r="MZ489"/>
      <c r="NA489"/>
      <c r="NB489"/>
      <c r="NC489"/>
      <c r="ND489"/>
      <c r="NE489"/>
      <c r="NF489"/>
      <c r="NG489"/>
      <c r="NH489"/>
      <c r="NI489"/>
      <c r="NJ489"/>
      <c r="NK489"/>
      <c r="NL489"/>
      <c r="NM489"/>
      <c r="NN489"/>
      <c r="NO489"/>
      <c r="NP489"/>
      <c r="NQ489"/>
      <c r="NR489"/>
      <c r="NS489"/>
      <c r="NT489"/>
      <c r="NU489"/>
      <c r="NV489"/>
      <c r="NW489"/>
      <c r="NX489"/>
      <c r="NY489"/>
      <c r="NZ489"/>
      <c r="OA489"/>
      <c r="OB489"/>
      <c r="OC489"/>
      <c r="OD489"/>
      <c r="OE489"/>
      <c r="OF489"/>
      <c r="OG489"/>
      <c r="OH489"/>
      <c r="OI489"/>
      <c r="OJ489"/>
      <c r="OK489"/>
      <c r="OL489"/>
      <c r="OM489"/>
      <c r="ON489"/>
      <c r="OO489"/>
      <c r="OP489"/>
      <c r="OQ489"/>
      <c r="OR489"/>
      <c r="OS489"/>
      <c r="OT489"/>
      <c r="OU489"/>
      <c r="OV489"/>
      <c r="OW489"/>
      <c r="OX489"/>
      <c r="OY489"/>
      <c r="OZ489"/>
      <c r="PA489"/>
      <c r="PB489"/>
      <c r="PC489"/>
      <c r="PD489"/>
      <c r="PE489"/>
      <c r="PF489"/>
      <c r="PG489"/>
      <c r="PH489"/>
      <c r="PI489"/>
      <c r="PJ489"/>
      <c r="PK489"/>
      <c r="PL489"/>
      <c r="PM489"/>
      <c r="PN489"/>
      <c r="PO489"/>
      <c r="PP489"/>
      <c r="PQ489"/>
      <c r="PR489"/>
      <c r="PS489"/>
      <c r="PT489"/>
      <c r="PU489"/>
      <c r="PV489"/>
      <c r="PW489"/>
      <c r="PX489"/>
      <c r="PY489"/>
      <c r="PZ489"/>
      <c r="QA489"/>
      <c r="QB489"/>
      <c r="QC489"/>
      <c r="QD489"/>
      <c r="QE489"/>
      <c r="QF489"/>
      <c r="QG489"/>
      <c r="QH489"/>
      <c r="QI489"/>
      <c r="QJ489"/>
      <c r="QK489"/>
      <c r="QL489"/>
      <c r="QM489"/>
      <c r="QN489"/>
      <c r="QO489"/>
      <c r="QP489"/>
      <c r="QQ489"/>
      <c r="QR489"/>
      <c r="QS489"/>
      <c r="QT489"/>
      <c r="QU489"/>
      <c r="QV489"/>
      <c r="QW489"/>
      <c r="QX489"/>
      <c r="QY489"/>
      <c r="QZ489"/>
      <c r="RA489"/>
      <c r="RB489"/>
      <c r="RC489"/>
      <c r="RD489"/>
      <c r="RE489"/>
      <c r="RF489"/>
      <c r="RG489"/>
      <c r="RH489"/>
      <c r="RI489"/>
      <c r="RJ489"/>
      <c r="RK489"/>
      <c r="RL489"/>
      <c r="RM489"/>
      <c r="RN489"/>
      <c r="RO489"/>
      <c r="RP489"/>
      <c r="RQ489"/>
      <c r="RR489"/>
      <c r="RS489"/>
      <c r="RT489"/>
      <c r="RU489"/>
      <c r="RV489"/>
      <c r="RW489"/>
      <c r="RX489"/>
      <c r="RY489"/>
      <c r="RZ489"/>
      <c r="SA489"/>
      <c r="SB489"/>
      <c r="SC489"/>
      <c r="SD489"/>
      <c r="SE489"/>
      <c r="SF489"/>
      <c r="SG489"/>
      <c r="SH489"/>
      <c r="SI489"/>
      <c r="SJ489"/>
      <c r="SK489"/>
      <c r="SL489"/>
      <c r="SM489"/>
      <c r="SN489"/>
      <c r="SO489"/>
      <c r="SP489"/>
      <c r="SQ489"/>
      <c r="SR489"/>
      <c r="SS489"/>
      <c r="ST489"/>
      <c r="SU489"/>
      <c r="SV489"/>
      <c r="SW489"/>
      <c r="SX489"/>
      <c r="SY489"/>
      <c r="SZ489"/>
      <c r="TA489"/>
      <c r="TB489"/>
      <c r="TC489"/>
      <c r="TD489"/>
      <c r="TE489"/>
      <c r="TF489"/>
      <c r="TG489"/>
      <c r="TH489"/>
    </row>
    <row r="490" spans="3:528" x14ac:dyDescent="0.25">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c r="KT490"/>
      <c r="KU490"/>
      <c r="KV490"/>
      <c r="KW490"/>
      <c r="KX490"/>
      <c r="KY490"/>
      <c r="KZ490"/>
      <c r="LA490"/>
      <c r="LB490"/>
      <c r="LC490"/>
      <c r="LD490"/>
      <c r="LE490"/>
      <c r="LF490"/>
      <c r="LG490"/>
      <c r="LH490"/>
      <c r="LI490"/>
      <c r="LJ490"/>
      <c r="LK490"/>
      <c r="LL490"/>
      <c r="LM490"/>
      <c r="LN490"/>
      <c r="LO490"/>
      <c r="LP490"/>
      <c r="LQ490"/>
      <c r="LR490"/>
      <c r="LS490"/>
      <c r="LT490"/>
      <c r="LU490"/>
      <c r="LV490"/>
      <c r="LW490"/>
      <c r="LX490"/>
      <c r="LY490"/>
      <c r="LZ490"/>
      <c r="MA490"/>
      <c r="MB490"/>
      <c r="MC490"/>
      <c r="MD490"/>
      <c r="ME490"/>
      <c r="MF490"/>
      <c r="MG490"/>
      <c r="MH490"/>
      <c r="MI490"/>
      <c r="MJ490"/>
      <c r="MK490"/>
      <c r="ML490"/>
      <c r="MM490"/>
      <c r="MN490"/>
      <c r="MO490"/>
      <c r="MP490"/>
      <c r="MQ490"/>
      <c r="MR490"/>
      <c r="MS490"/>
      <c r="MT490"/>
      <c r="MU490"/>
      <c r="MV490"/>
      <c r="MW490"/>
      <c r="MX490"/>
      <c r="MY490"/>
      <c r="MZ490"/>
      <c r="NA490"/>
      <c r="NB490"/>
      <c r="NC490"/>
      <c r="ND490"/>
      <c r="NE490"/>
      <c r="NF490"/>
      <c r="NG490"/>
      <c r="NH490"/>
      <c r="NI490"/>
      <c r="NJ490"/>
      <c r="NK490"/>
      <c r="NL490"/>
      <c r="NM490"/>
      <c r="NN490"/>
      <c r="NO490"/>
      <c r="NP490"/>
      <c r="NQ490"/>
      <c r="NR490"/>
      <c r="NS490"/>
      <c r="NT490"/>
      <c r="NU490"/>
      <c r="NV490"/>
      <c r="NW490"/>
      <c r="NX490"/>
      <c r="NY490"/>
      <c r="NZ490"/>
      <c r="OA490"/>
      <c r="OB490"/>
      <c r="OC490"/>
      <c r="OD490"/>
      <c r="OE490"/>
      <c r="OF490"/>
      <c r="OG490"/>
      <c r="OH490"/>
      <c r="OI490"/>
      <c r="OJ490"/>
      <c r="OK490"/>
      <c r="OL490"/>
      <c r="OM490"/>
      <c r="ON490"/>
      <c r="OO490"/>
      <c r="OP490"/>
      <c r="OQ490"/>
      <c r="OR490"/>
      <c r="OS490"/>
      <c r="OT490"/>
      <c r="OU490"/>
      <c r="OV490"/>
      <c r="OW490"/>
      <c r="OX490"/>
      <c r="OY490"/>
      <c r="OZ490"/>
      <c r="PA490"/>
      <c r="PB490"/>
      <c r="PC490"/>
      <c r="PD490"/>
      <c r="PE490"/>
      <c r="PF490"/>
      <c r="PG490"/>
      <c r="PH490"/>
      <c r="PI490"/>
      <c r="PJ490"/>
      <c r="PK490"/>
      <c r="PL490"/>
      <c r="PM490"/>
      <c r="PN490"/>
      <c r="PO490"/>
      <c r="PP490"/>
      <c r="PQ490"/>
      <c r="PR490"/>
      <c r="PS490"/>
      <c r="PT490"/>
      <c r="PU490"/>
      <c r="PV490"/>
      <c r="PW490"/>
      <c r="PX490"/>
      <c r="PY490"/>
      <c r="PZ490"/>
      <c r="QA490"/>
      <c r="QB490"/>
      <c r="QC490"/>
      <c r="QD490"/>
      <c r="QE490"/>
      <c r="QF490"/>
      <c r="QG490"/>
      <c r="QH490"/>
      <c r="QI490"/>
      <c r="QJ490"/>
      <c r="QK490"/>
      <c r="QL490"/>
      <c r="QM490"/>
      <c r="QN490"/>
      <c r="QO490"/>
      <c r="QP490"/>
      <c r="QQ490"/>
      <c r="QR490"/>
      <c r="QS490"/>
      <c r="QT490"/>
      <c r="QU490"/>
      <c r="QV490"/>
      <c r="QW490"/>
      <c r="QX490"/>
      <c r="QY490"/>
      <c r="QZ490"/>
      <c r="RA490"/>
      <c r="RB490"/>
      <c r="RC490"/>
      <c r="RD490"/>
      <c r="RE490"/>
      <c r="RF490"/>
      <c r="RG490"/>
      <c r="RH490"/>
      <c r="RI490"/>
      <c r="RJ490"/>
      <c r="RK490"/>
      <c r="RL490"/>
      <c r="RM490"/>
      <c r="RN490"/>
      <c r="RO490"/>
      <c r="RP490"/>
      <c r="RQ490"/>
      <c r="RR490"/>
      <c r="RS490"/>
      <c r="RT490"/>
      <c r="RU490"/>
      <c r="RV490"/>
      <c r="RW490"/>
      <c r="RX490"/>
      <c r="RY490"/>
      <c r="RZ490"/>
      <c r="SA490"/>
      <c r="SB490"/>
      <c r="SC490"/>
      <c r="SD490"/>
      <c r="SE490"/>
      <c r="SF490"/>
      <c r="SG490"/>
      <c r="SH490"/>
      <c r="SI490"/>
      <c r="SJ490"/>
      <c r="SK490"/>
      <c r="SL490"/>
      <c r="SM490"/>
      <c r="SN490"/>
      <c r="SO490"/>
      <c r="SP490"/>
      <c r="SQ490"/>
      <c r="SR490"/>
      <c r="SS490"/>
      <c r="ST490"/>
      <c r="SU490"/>
      <c r="SV490"/>
      <c r="SW490"/>
      <c r="SX490"/>
      <c r="SY490"/>
      <c r="SZ490"/>
      <c r="TA490"/>
      <c r="TB490"/>
      <c r="TC490"/>
      <c r="TD490"/>
      <c r="TE490"/>
      <c r="TF490"/>
      <c r="TG490"/>
      <c r="TH490"/>
    </row>
    <row r="491" spans="3:528" x14ac:dyDescent="0.25">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c r="KT491"/>
      <c r="KU491"/>
      <c r="KV491"/>
      <c r="KW491"/>
      <c r="KX491"/>
      <c r="KY491"/>
      <c r="KZ491"/>
      <c r="LA491"/>
      <c r="LB491"/>
      <c r="LC491"/>
      <c r="LD491"/>
      <c r="LE491"/>
      <c r="LF491"/>
      <c r="LG491"/>
      <c r="LH491"/>
      <c r="LI491"/>
      <c r="LJ491"/>
      <c r="LK491"/>
      <c r="LL491"/>
      <c r="LM491"/>
      <c r="LN491"/>
      <c r="LO491"/>
      <c r="LP491"/>
      <c r="LQ491"/>
      <c r="LR491"/>
      <c r="LS491"/>
      <c r="LT491"/>
      <c r="LU491"/>
      <c r="LV491"/>
      <c r="LW491"/>
      <c r="LX491"/>
      <c r="LY491"/>
      <c r="LZ491"/>
      <c r="MA491"/>
      <c r="MB491"/>
      <c r="MC491"/>
      <c r="MD491"/>
      <c r="ME491"/>
      <c r="MF491"/>
      <c r="MG491"/>
      <c r="MH491"/>
      <c r="MI491"/>
      <c r="MJ491"/>
      <c r="MK491"/>
      <c r="ML491"/>
      <c r="MM491"/>
      <c r="MN491"/>
      <c r="MO491"/>
      <c r="MP491"/>
      <c r="MQ491"/>
      <c r="MR491"/>
      <c r="MS491"/>
      <c r="MT491"/>
      <c r="MU491"/>
      <c r="MV491"/>
      <c r="MW491"/>
      <c r="MX491"/>
      <c r="MY491"/>
      <c r="MZ491"/>
      <c r="NA491"/>
      <c r="NB491"/>
      <c r="NC491"/>
      <c r="ND491"/>
      <c r="NE491"/>
      <c r="NF491"/>
      <c r="NG491"/>
      <c r="NH491"/>
      <c r="NI491"/>
      <c r="NJ491"/>
      <c r="NK491"/>
      <c r="NL491"/>
      <c r="NM491"/>
      <c r="NN491"/>
      <c r="NO491"/>
      <c r="NP491"/>
      <c r="NQ491"/>
      <c r="NR491"/>
      <c r="NS491"/>
      <c r="NT491"/>
      <c r="NU491"/>
      <c r="NV491"/>
      <c r="NW491"/>
      <c r="NX491"/>
      <c r="NY491"/>
      <c r="NZ491"/>
      <c r="OA491"/>
      <c r="OB491"/>
      <c r="OC491"/>
      <c r="OD491"/>
      <c r="OE491"/>
      <c r="OF491"/>
      <c r="OG491"/>
      <c r="OH491"/>
      <c r="OI491"/>
      <c r="OJ491"/>
      <c r="OK491"/>
      <c r="OL491"/>
      <c r="OM491"/>
      <c r="ON491"/>
      <c r="OO491"/>
      <c r="OP491"/>
      <c r="OQ491"/>
      <c r="OR491"/>
      <c r="OS491"/>
      <c r="OT491"/>
      <c r="OU491"/>
      <c r="OV491"/>
      <c r="OW491"/>
      <c r="OX491"/>
      <c r="OY491"/>
      <c r="OZ491"/>
      <c r="PA491"/>
      <c r="PB491"/>
      <c r="PC491"/>
      <c r="PD491"/>
      <c r="PE491"/>
      <c r="PF491"/>
      <c r="PG491"/>
      <c r="PH491"/>
      <c r="PI491"/>
      <c r="PJ491"/>
      <c r="PK491"/>
      <c r="PL491"/>
      <c r="PM491"/>
      <c r="PN491"/>
      <c r="PO491"/>
      <c r="PP491"/>
      <c r="PQ491"/>
      <c r="PR491"/>
      <c r="PS491"/>
      <c r="PT491"/>
      <c r="PU491"/>
      <c r="PV491"/>
      <c r="PW491"/>
      <c r="PX491"/>
      <c r="PY491"/>
      <c r="PZ491"/>
      <c r="QA491"/>
      <c r="QB491"/>
      <c r="QC491"/>
      <c r="QD491"/>
      <c r="QE491"/>
      <c r="QF491"/>
      <c r="QG491"/>
      <c r="QH491"/>
      <c r="QI491"/>
      <c r="QJ491"/>
      <c r="QK491"/>
      <c r="QL491"/>
      <c r="QM491"/>
      <c r="QN491"/>
      <c r="QO491"/>
      <c r="QP491"/>
      <c r="QQ491"/>
      <c r="QR491"/>
      <c r="QS491"/>
      <c r="QT491"/>
      <c r="QU491"/>
      <c r="QV491"/>
      <c r="QW491"/>
      <c r="QX491"/>
      <c r="QY491"/>
      <c r="QZ491"/>
      <c r="RA491"/>
      <c r="RB491"/>
      <c r="RC491"/>
      <c r="RD491"/>
      <c r="RE491"/>
      <c r="RF491"/>
      <c r="RG491"/>
      <c r="RH491"/>
      <c r="RI491"/>
      <c r="RJ491"/>
      <c r="RK491"/>
      <c r="RL491"/>
      <c r="RM491"/>
      <c r="RN491"/>
      <c r="RO491"/>
      <c r="RP491"/>
      <c r="RQ491"/>
      <c r="RR491"/>
      <c r="RS491"/>
      <c r="RT491"/>
      <c r="RU491"/>
      <c r="RV491"/>
      <c r="RW491"/>
      <c r="RX491"/>
      <c r="RY491"/>
      <c r="RZ491"/>
      <c r="SA491"/>
      <c r="SB491"/>
      <c r="SC491"/>
      <c r="SD491"/>
      <c r="SE491"/>
      <c r="SF491"/>
      <c r="SG491"/>
      <c r="SH491"/>
      <c r="SI491"/>
      <c r="SJ491"/>
      <c r="SK491"/>
      <c r="SL491"/>
      <c r="SM491"/>
      <c r="SN491"/>
      <c r="SO491"/>
      <c r="SP491"/>
      <c r="SQ491"/>
      <c r="SR491"/>
      <c r="SS491"/>
      <c r="ST491"/>
      <c r="SU491"/>
      <c r="SV491"/>
      <c r="SW491"/>
      <c r="SX491"/>
      <c r="SY491"/>
      <c r="SZ491"/>
      <c r="TA491"/>
      <c r="TB491"/>
      <c r="TC491"/>
      <c r="TD491"/>
      <c r="TE491"/>
      <c r="TF491"/>
      <c r="TG491"/>
      <c r="TH491"/>
    </row>
    <row r="492" spans="3:528" x14ac:dyDescent="0.25">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c r="KT492"/>
      <c r="KU492"/>
      <c r="KV492"/>
      <c r="KW492"/>
      <c r="KX492"/>
      <c r="KY492"/>
      <c r="KZ492"/>
      <c r="LA492"/>
      <c r="LB492"/>
      <c r="LC492"/>
      <c r="LD492"/>
      <c r="LE492"/>
      <c r="LF492"/>
      <c r="LG492"/>
      <c r="LH492"/>
      <c r="LI492"/>
      <c r="LJ492"/>
      <c r="LK492"/>
      <c r="LL492"/>
      <c r="LM492"/>
      <c r="LN492"/>
      <c r="LO492"/>
      <c r="LP492"/>
      <c r="LQ492"/>
      <c r="LR492"/>
      <c r="LS492"/>
      <c r="LT492"/>
      <c r="LU492"/>
      <c r="LV492"/>
      <c r="LW492"/>
      <c r="LX492"/>
      <c r="LY492"/>
      <c r="LZ492"/>
      <c r="MA492"/>
      <c r="MB492"/>
      <c r="MC492"/>
      <c r="MD492"/>
      <c r="ME492"/>
      <c r="MF492"/>
      <c r="MG492"/>
      <c r="MH492"/>
      <c r="MI492"/>
      <c r="MJ492"/>
      <c r="MK492"/>
      <c r="ML492"/>
      <c r="MM492"/>
      <c r="MN492"/>
      <c r="MO492"/>
      <c r="MP492"/>
      <c r="MQ492"/>
      <c r="MR492"/>
      <c r="MS492"/>
      <c r="MT492"/>
      <c r="MU492"/>
      <c r="MV492"/>
      <c r="MW492"/>
      <c r="MX492"/>
      <c r="MY492"/>
      <c r="MZ492"/>
      <c r="NA492"/>
      <c r="NB492"/>
      <c r="NC492"/>
      <c r="ND492"/>
      <c r="NE492"/>
      <c r="NF492"/>
      <c r="NG492"/>
      <c r="NH492"/>
      <c r="NI492"/>
      <c r="NJ492"/>
      <c r="NK492"/>
      <c r="NL492"/>
      <c r="NM492"/>
      <c r="NN492"/>
      <c r="NO492"/>
      <c r="NP492"/>
      <c r="NQ492"/>
      <c r="NR492"/>
      <c r="NS492"/>
      <c r="NT492"/>
      <c r="NU492"/>
      <c r="NV492"/>
      <c r="NW492"/>
      <c r="NX492"/>
      <c r="NY492"/>
      <c r="NZ492"/>
      <c r="OA492"/>
      <c r="OB492"/>
      <c r="OC492"/>
      <c r="OD492"/>
      <c r="OE492"/>
      <c r="OF492"/>
      <c r="OG492"/>
      <c r="OH492"/>
      <c r="OI492"/>
      <c r="OJ492"/>
      <c r="OK492"/>
      <c r="OL492"/>
      <c r="OM492"/>
      <c r="ON492"/>
      <c r="OO492"/>
      <c r="OP492"/>
      <c r="OQ492"/>
      <c r="OR492"/>
      <c r="OS492"/>
      <c r="OT492"/>
      <c r="OU492"/>
      <c r="OV492"/>
      <c r="OW492"/>
      <c r="OX492"/>
      <c r="OY492"/>
      <c r="OZ492"/>
      <c r="PA492"/>
      <c r="PB492"/>
      <c r="PC492"/>
      <c r="PD492"/>
      <c r="PE492"/>
      <c r="PF492"/>
      <c r="PG492"/>
      <c r="PH492"/>
      <c r="PI492"/>
      <c r="PJ492"/>
      <c r="PK492"/>
      <c r="PL492"/>
      <c r="PM492"/>
      <c r="PN492"/>
      <c r="PO492"/>
      <c r="PP492"/>
      <c r="PQ492"/>
      <c r="PR492"/>
      <c r="PS492"/>
      <c r="PT492"/>
      <c r="PU492"/>
      <c r="PV492"/>
      <c r="PW492"/>
      <c r="PX492"/>
      <c r="PY492"/>
      <c r="PZ492"/>
      <c r="QA492"/>
      <c r="QB492"/>
      <c r="QC492"/>
      <c r="QD492"/>
      <c r="QE492"/>
      <c r="QF492"/>
      <c r="QG492"/>
      <c r="QH492"/>
      <c r="QI492"/>
      <c r="QJ492"/>
      <c r="QK492"/>
      <c r="QL492"/>
      <c r="QM492"/>
      <c r="QN492"/>
      <c r="QO492"/>
      <c r="QP492"/>
      <c r="QQ492"/>
      <c r="QR492"/>
      <c r="QS492"/>
      <c r="QT492"/>
      <c r="QU492"/>
      <c r="QV492"/>
      <c r="QW492"/>
      <c r="QX492"/>
      <c r="QY492"/>
      <c r="QZ492"/>
      <c r="RA492"/>
      <c r="RB492"/>
      <c r="RC492"/>
      <c r="RD492"/>
      <c r="RE492"/>
      <c r="RF492"/>
      <c r="RG492"/>
      <c r="RH492"/>
      <c r="RI492"/>
      <c r="RJ492"/>
      <c r="RK492"/>
      <c r="RL492"/>
      <c r="RM492"/>
      <c r="RN492"/>
      <c r="RO492"/>
      <c r="RP492"/>
      <c r="RQ492"/>
      <c r="RR492"/>
      <c r="RS492"/>
      <c r="RT492"/>
      <c r="RU492"/>
      <c r="RV492"/>
      <c r="RW492"/>
      <c r="RX492"/>
      <c r="RY492"/>
      <c r="RZ492"/>
      <c r="SA492"/>
      <c r="SB492"/>
      <c r="SC492"/>
      <c r="SD492"/>
      <c r="SE492"/>
      <c r="SF492"/>
      <c r="SG492"/>
      <c r="SH492"/>
      <c r="SI492"/>
      <c r="SJ492"/>
      <c r="SK492"/>
      <c r="SL492"/>
      <c r="SM492"/>
      <c r="SN492"/>
      <c r="SO492"/>
      <c r="SP492"/>
      <c r="SQ492"/>
      <c r="SR492"/>
      <c r="SS492"/>
      <c r="ST492"/>
      <c r="SU492"/>
      <c r="SV492"/>
      <c r="SW492"/>
      <c r="SX492"/>
      <c r="SY492"/>
      <c r="SZ492"/>
      <c r="TA492"/>
      <c r="TB492"/>
      <c r="TC492"/>
      <c r="TD492"/>
      <c r="TE492"/>
      <c r="TF492"/>
      <c r="TG492"/>
      <c r="TH492"/>
    </row>
    <row r="493" spans="3:528" x14ac:dyDescent="0.25">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c r="KT493"/>
      <c r="KU493"/>
      <c r="KV493"/>
      <c r="KW493"/>
      <c r="KX493"/>
      <c r="KY493"/>
      <c r="KZ493"/>
      <c r="LA493"/>
      <c r="LB493"/>
      <c r="LC493"/>
      <c r="LD493"/>
      <c r="LE493"/>
      <c r="LF493"/>
      <c r="LG493"/>
      <c r="LH493"/>
      <c r="LI493"/>
      <c r="LJ493"/>
      <c r="LK493"/>
      <c r="LL493"/>
      <c r="LM493"/>
      <c r="LN493"/>
      <c r="LO493"/>
      <c r="LP493"/>
      <c r="LQ493"/>
      <c r="LR493"/>
      <c r="LS493"/>
      <c r="LT493"/>
      <c r="LU493"/>
      <c r="LV493"/>
      <c r="LW493"/>
      <c r="LX493"/>
      <c r="LY493"/>
      <c r="LZ493"/>
      <c r="MA493"/>
      <c r="MB493"/>
      <c r="MC493"/>
      <c r="MD493"/>
      <c r="ME493"/>
      <c r="MF493"/>
      <c r="MG493"/>
      <c r="MH493"/>
      <c r="MI493"/>
      <c r="MJ493"/>
      <c r="MK493"/>
      <c r="ML493"/>
      <c r="MM493"/>
      <c r="MN493"/>
      <c r="MO493"/>
      <c r="MP493"/>
      <c r="MQ493"/>
      <c r="MR493"/>
      <c r="MS493"/>
      <c r="MT493"/>
      <c r="MU493"/>
      <c r="MV493"/>
      <c r="MW493"/>
      <c r="MX493"/>
      <c r="MY493"/>
      <c r="MZ493"/>
      <c r="NA493"/>
      <c r="NB493"/>
      <c r="NC493"/>
      <c r="ND493"/>
      <c r="NE493"/>
      <c r="NF493"/>
      <c r="NG493"/>
      <c r="NH493"/>
      <c r="NI493"/>
      <c r="NJ493"/>
      <c r="NK493"/>
      <c r="NL493"/>
      <c r="NM493"/>
      <c r="NN493"/>
      <c r="NO493"/>
      <c r="NP493"/>
      <c r="NQ493"/>
      <c r="NR493"/>
      <c r="NS493"/>
      <c r="NT493"/>
      <c r="NU493"/>
      <c r="NV493"/>
      <c r="NW493"/>
      <c r="NX493"/>
      <c r="NY493"/>
      <c r="NZ493"/>
      <c r="OA493"/>
      <c r="OB493"/>
      <c r="OC493"/>
      <c r="OD493"/>
      <c r="OE493"/>
      <c r="OF493"/>
      <c r="OG493"/>
      <c r="OH493"/>
      <c r="OI493"/>
      <c r="OJ493"/>
      <c r="OK493"/>
      <c r="OL493"/>
      <c r="OM493"/>
      <c r="ON493"/>
      <c r="OO493"/>
      <c r="OP493"/>
      <c r="OQ493"/>
      <c r="OR493"/>
      <c r="OS493"/>
      <c r="OT493"/>
      <c r="OU493"/>
      <c r="OV493"/>
      <c r="OW493"/>
      <c r="OX493"/>
      <c r="OY493"/>
      <c r="OZ493"/>
      <c r="PA493"/>
      <c r="PB493"/>
      <c r="PC493"/>
      <c r="PD493"/>
      <c r="PE493"/>
      <c r="PF493"/>
      <c r="PG493"/>
      <c r="PH493"/>
      <c r="PI493"/>
      <c r="PJ493"/>
      <c r="PK493"/>
      <c r="PL493"/>
      <c r="PM493"/>
      <c r="PN493"/>
      <c r="PO493"/>
      <c r="PP493"/>
      <c r="PQ493"/>
      <c r="PR493"/>
      <c r="PS493"/>
      <c r="PT493"/>
      <c r="PU493"/>
      <c r="PV493"/>
      <c r="PW493"/>
      <c r="PX493"/>
      <c r="PY493"/>
      <c r="PZ493"/>
      <c r="QA493"/>
      <c r="QB493"/>
      <c r="QC493"/>
      <c r="QD493"/>
      <c r="QE493"/>
      <c r="QF493"/>
      <c r="QG493"/>
      <c r="QH493"/>
      <c r="QI493"/>
      <c r="QJ493"/>
      <c r="QK493"/>
      <c r="QL493"/>
      <c r="QM493"/>
      <c r="QN493"/>
      <c r="QO493"/>
      <c r="QP493"/>
      <c r="QQ493"/>
      <c r="QR493"/>
      <c r="QS493"/>
      <c r="QT493"/>
      <c r="QU493"/>
      <c r="QV493"/>
      <c r="QW493"/>
      <c r="QX493"/>
      <c r="QY493"/>
      <c r="QZ493"/>
      <c r="RA493"/>
      <c r="RB493"/>
      <c r="RC493"/>
      <c r="RD493"/>
      <c r="RE493"/>
      <c r="RF493"/>
      <c r="RG493"/>
      <c r="RH493"/>
      <c r="RI493"/>
      <c r="RJ493"/>
      <c r="RK493"/>
      <c r="RL493"/>
      <c r="RM493"/>
      <c r="RN493"/>
      <c r="RO493"/>
      <c r="RP493"/>
      <c r="RQ493"/>
      <c r="RR493"/>
      <c r="RS493"/>
      <c r="RT493"/>
      <c r="RU493"/>
      <c r="RV493"/>
      <c r="RW493"/>
      <c r="RX493"/>
      <c r="RY493"/>
      <c r="RZ493"/>
      <c r="SA493"/>
      <c r="SB493"/>
      <c r="SC493"/>
      <c r="SD493"/>
      <c r="SE493"/>
      <c r="SF493"/>
      <c r="SG493"/>
      <c r="SH493"/>
      <c r="SI493"/>
      <c r="SJ493"/>
      <c r="SK493"/>
      <c r="SL493"/>
      <c r="SM493"/>
      <c r="SN493"/>
      <c r="SO493"/>
      <c r="SP493"/>
      <c r="SQ493"/>
      <c r="SR493"/>
      <c r="SS493"/>
      <c r="ST493"/>
      <c r="SU493"/>
      <c r="SV493"/>
      <c r="SW493"/>
      <c r="SX493"/>
      <c r="SY493"/>
      <c r="SZ493"/>
      <c r="TA493"/>
      <c r="TB493"/>
      <c r="TC493"/>
      <c r="TD493"/>
      <c r="TE493"/>
      <c r="TF493"/>
      <c r="TG493"/>
      <c r="TH493"/>
    </row>
    <row r="494" spans="3:528" x14ac:dyDescent="0.25">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c r="KT494"/>
      <c r="KU494"/>
      <c r="KV494"/>
      <c r="KW494"/>
      <c r="KX494"/>
      <c r="KY494"/>
      <c r="KZ494"/>
      <c r="LA494"/>
      <c r="LB494"/>
      <c r="LC494"/>
      <c r="LD494"/>
      <c r="LE494"/>
      <c r="LF494"/>
      <c r="LG494"/>
      <c r="LH494"/>
      <c r="LI494"/>
      <c r="LJ494"/>
      <c r="LK494"/>
      <c r="LL494"/>
      <c r="LM494"/>
      <c r="LN494"/>
      <c r="LO494"/>
      <c r="LP494"/>
      <c r="LQ494"/>
      <c r="LR494"/>
      <c r="LS494"/>
      <c r="LT494"/>
      <c r="LU494"/>
      <c r="LV494"/>
      <c r="LW494"/>
      <c r="LX494"/>
      <c r="LY494"/>
      <c r="LZ494"/>
      <c r="MA494"/>
      <c r="MB494"/>
      <c r="MC494"/>
      <c r="MD494"/>
      <c r="ME494"/>
      <c r="MF494"/>
      <c r="MG494"/>
      <c r="MH494"/>
      <c r="MI494"/>
      <c r="MJ494"/>
      <c r="MK494"/>
      <c r="ML494"/>
      <c r="MM494"/>
      <c r="MN494"/>
      <c r="MO494"/>
      <c r="MP494"/>
      <c r="MQ494"/>
      <c r="MR494"/>
      <c r="MS494"/>
      <c r="MT494"/>
      <c r="MU494"/>
      <c r="MV494"/>
      <c r="MW494"/>
      <c r="MX494"/>
      <c r="MY494"/>
      <c r="MZ494"/>
      <c r="NA494"/>
      <c r="NB494"/>
      <c r="NC494"/>
      <c r="ND494"/>
      <c r="NE494"/>
      <c r="NF494"/>
      <c r="NG494"/>
      <c r="NH494"/>
      <c r="NI494"/>
      <c r="NJ494"/>
      <c r="NK494"/>
      <c r="NL494"/>
      <c r="NM494"/>
      <c r="NN494"/>
      <c r="NO494"/>
      <c r="NP494"/>
      <c r="NQ494"/>
      <c r="NR494"/>
      <c r="NS494"/>
      <c r="NT494"/>
      <c r="NU494"/>
      <c r="NV494"/>
      <c r="NW494"/>
      <c r="NX494"/>
      <c r="NY494"/>
      <c r="NZ494"/>
      <c r="OA494"/>
      <c r="OB494"/>
      <c r="OC494"/>
      <c r="OD494"/>
      <c r="OE494"/>
      <c r="OF494"/>
      <c r="OG494"/>
      <c r="OH494"/>
      <c r="OI494"/>
      <c r="OJ494"/>
      <c r="OK494"/>
      <c r="OL494"/>
      <c r="OM494"/>
      <c r="ON494"/>
      <c r="OO494"/>
      <c r="OP494"/>
      <c r="OQ494"/>
      <c r="OR494"/>
      <c r="OS494"/>
      <c r="OT494"/>
      <c r="OU494"/>
      <c r="OV494"/>
      <c r="OW494"/>
      <c r="OX494"/>
      <c r="OY494"/>
      <c r="OZ494"/>
      <c r="PA494"/>
      <c r="PB494"/>
      <c r="PC494"/>
      <c r="PD494"/>
      <c r="PE494"/>
      <c r="PF494"/>
      <c r="PG494"/>
      <c r="PH494"/>
      <c r="PI494"/>
      <c r="PJ494"/>
      <c r="PK494"/>
      <c r="PL494"/>
      <c r="PM494"/>
      <c r="PN494"/>
      <c r="PO494"/>
      <c r="PP494"/>
      <c r="PQ494"/>
      <c r="PR494"/>
      <c r="PS494"/>
      <c r="PT494"/>
      <c r="PU494"/>
      <c r="PV494"/>
      <c r="PW494"/>
      <c r="PX494"/>
      <c r="PY494"/>
      <c r="PZ494"/>
      <c r="QA494"/>
      <c r="QB494"/>
      <c r="QC494"/>
      <c r="QD494"/>
      <c r="QE494"/>
      <c r="QF494"/>
      <c r="QG494"/>
      <c r="QH494"/>
      <c r="QI494"/>
      <c r="QJ494"/>
      <c r="QK494"/>
      <c r="QL494"/>
      <c r="QM494"/>
      <c r="QN494"/>
      <c r="QO494"/>
      <c r="QP494"/>
      <c r="QQ494"/>
      <c r="QR494"/>
      <c r="QS494"/>
      <c r="QT494"/>
      <c r="QU494"/>
      <c r="QV494"/>
      <c r="QW494"/>
      <c r="QX494"/>
      <c r="QY494"/>
      <c r="QZ494"/>
      <c r="RA494"/>
      <c r="RB494"/>
      <c r="RC494"/>
      <c r="RD494"/>
      <c r="RE494"/>
      <c r="RF494"/>
      <c r="RG494"/>
      <c r="RH494"/>
      <c r="RI494"/>
      <c r="RJ494"/>
      <c r="RK494"/>
      <c r="RL494"/>
      <c r="RM494"/>
      <c r="RN494"/>
      <c r="RO494"/>
      <c r="RP494"/>
      <c r="RQ494"/>
      <c r="RR494"/>
      <c r="RS494"/>
      <c r="RT494"/>
      <c r="RU494"/>
      <c r="RV494"/>
      <c r="RW494"/>
      <c r="RX494"/>
      <c r="RY494"/>
      <c r="RZ494"/>
      <c r="SA494"/>
      <c r="SB494"/>
      <c r="SC494"/>
      <c r="SD494"/>
      <c r="SE494"/>
      <c r="SF494"/>
      <c r="SG494"/>
      <c r="SH494"/>
      <c r="SI494"/>
      <c r="SJ494"/>
      <c r="SK494"/>
      <c r="SL494"/>
      <c r="SM494"/>
      <c r="SN494"/>
      <c r="SO494"/>
      <c r="SP494"/>
      <c r="SQ494"/>
      <c r="SR494"/>
      <c r="SS494"/>
      <c r="ST494"/>
      <c r="SU494"/>
      <c r="SV494"/>
      <c r="SW494"/>
      <c r="SX494"/>
      <c r="SY494"/>
      <c r="SZ494"/>
      <c r="TA494"/>
      <c r="TB494"/>
      <c r="TC494"/>
      <c r="TD494"/>
      <c r="TE494"/>
      <c r="TF494"/>
      <c r="TG494"/>
      <c r="TH494"/>
    </row>
    <row r="495" spans="3:528" x14ac:dyDescent="0.2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c r="KT495"/>
      <c r="KU495"/>
      <c r="KV495"/>
      <c r="KW495"/>
      <c r="KX495"/>
      <c r="KY495"/>
      <c r="KZ495"/>
      <c r="LA495"/>
      <c r="LB495"/>
      <c r="LC495"/>
      <c r="LD495"/>
      <c r="LE495"/>
      <c r="LF495"/>
      <c r="LG495"/>
      <c r="LH495"/>
      <c r="LI495"/>
      <c r="LJ495"/>
      <c r="LK495"/>
      <c r="LL495"/>
      <c r="LM495"/>
      <c r="LN495"/>
      <c r="LO495"/>
      <c r="LP495"/>
      <c r="LQ495"/>
      <c r="LR495"/>
      <c r="LS495"/>
      <c r="LT495"/>
      <c r="LU495"/>
      <c r="LV495"/>
      <c r="LW495"/>
      <c r="LX495"/>
      <c r="LY495"/>
      <c r="LZ495"/>
      <c r="MA495"/>
      <c r="MB495"/>
      <c r="MC495"/>
      <c r="MD495"/>
      <c r="ME495"/>
      <c r="MF495"/>
      <c r="MG495"/>
      <c r="MH495"/>
      <c r="MI495"/>
      <c r="MJ495"/>
      <c r="MK495"/>
      <c r="ML495"/>
      <c r="MM495"/>
      <c r="MN495"/>
      <c r="MO495"/>
      <c r="MP495"/>
      <c r="MQ495"/>
      <c r="MR495"/>
      <c r="MS495"/>
      <c r="MT495"/>
      <c r="MU495"/>
      <c r="MV495"/>
      <c r="MW495"/>
      <c r="MX495"/>
      <c r="MY495"/>
      <c r="MZ495"/>
      <c r="NA495"/>
      <c r="NB495"/>
      <c r="NC495"/>
      <c r="ND495"/>
      <c r="NE495"/>
      <c r="NF495"/>
      <c r="NG495"/>
      <c r="NH495"/>
      <c r="NI495"/>
      <c r="NJ495"/>
      <c r="NK495"/>
      <c r="NL495"/>
      <c r="NM495"/>
      <c r="NN495"/>
      <c r="NO495"/>
      <c r="NP495"/>
      <c r="NQ495"/>
      <c r="NR495"/>
      <c r="NS495"/>
      <c r="NT495"/>
      <c r="NU495"/>
      <c r="NV495"/>
      <c r="NW495"/>
      <c r="NX495"/>
      <c r="NY495"/>
      <c r="NZ495"/>
      <c r="OA495"/>
      <c r="OB495"/>
      <c r="OC495"/>
      <c r="OD495"/>
      <c r="OE495"/>
      <c r="OF495"/>
      <c r="OG495"/>
      <c r="OH495"/>
      <c r="OI495"/>
      <c r="OJ495"/>
      <c r="OK495"/>
      <c r="OL495"/>
      <c r="OM495"/>
      <c r="ON495"/>
      <c r="OO495"/>
      <c r="OP495"/>
      <c r="OQ495"/>
      <c r="OR495"/>
      <c r="OS495"/>
      <c r="OT495"/>
      <c r="OU495"/>
      <c r="OV495"/>
      <c r="OW495"/>
      <c r="OX495"/>
      <c r="OY495"/>
      <c r="OZ495"/>
      <c r="PA495"/>
      <c r="PB495"/>
      <c r="PC495"/>
      <c r="PD495"/>
      <c r="PE495"/>
      <c r="PF495"/>
      <c r="PG495"/>
      <c r="PH495"/>
      <c r="PI495"/>
      <c r="PJ495"/>
      <c r="PK495"/>
      <c r="PL495"/>
      <c r="PM495"/>
      <c r="PN495"/>
      <c r="PO495"/>
      <c r="PP495"/>
      <c r="PQ495"/>
      <c r="PR495"/>
      <c r="PS495"/>
      <c r="PT495"/>
      <c r="PU495"/>
      <c r="PV495"/>
      <c r="PW495"/>
      <c r="PX495"/>
      <c r="PY495"/>
      <c r="PZ495"/>
      <c r="QA495"/>
      <c r="QB495"/>
      <c r="QC495"/>
      <c r="QD495"/>
      <c r="QE495"/>
      <c r="QF495"/>
      <c r="QG495"/>
      <c r="QH495"/>
      <c r="QI495"/>
      <c r="QJ495"/>
      <c r="QK495"/>
      <c r="QL495"/>
      <c r="QM495"/>
      <c r="QN495"/>
      <c r="QO495"/>
      <c r="QP495"/>
      <c r="QQ495"/>
      <c r="QR495"/>
      <c r="QS495"/>
      <c r="QT495"/>
      <c r="QU495"/>
      <c r="QV495"/>
      <c r="QW495"/>
      <c r="QX495"/>
      <c r="QY495"/>
      <c r="QZ495"/>
      <c r="RA495"/>
      <c r="RB495"/>
      <c r="RC495"/>
      <c r="RD495"/>
      <c r="RE495"/>
      <c r="RF495"/>
      <c r="RG495"/>
      <c r="RH495"/>
      <c r="RI495"/>
      <c r="RJ495"/>
      <c r="RK495"/>
      <c r="RL495"/>
      <c r="RM495"/>
      <c r="RN495"/>
      <c r="RO495"/>
      <c r="RP495"/>
      <c r="RQ495"/>
      <c r="RR495"/>
      <c r="RS495"/>
      <c r="RT495"/>
      <c r="RU495"/>
      <c r="RV495"/>
      <c r="RW495"/>
      <c r="RX495"/>
      <c r="RY495"/>
      <c r="RZ495"/>
      <c r="SA495"/>
      <c r="SB495"/>
      <c r="SC495"/>
      <c r="SD495"/>
      <c r="SE495"/>
      <c r="SF495"/>
      <c r="SG495"/>
      <c r="SH495"/>
      <c r="SI495"/>
      <c r="SJ495"/>
      <c r="SK495"/>
      <c r="SL495"/>
      <c r="SM495"/>
      <c r="SN495"/>
      <c r="SO495"/>
      <c r="SP495"/>
      <c r="SQ495"/>
      <c r="SR495"/>
      <c r="SS495"/>
      <c r="ST495"/>
      <c r="SU495"/>
      <c r="SV495"/>
      <c r="SW495"/>
      <c r="SX495"/>
      <c r="SY495"/>
      <c r="SZ495"/>
      <c r="TA495"/>
      <c r="TB495"/>
      <c r="TC495"/>
      <c r="TD495"/>
      <c r="TE495"/>
      <c r="TF495"/>
      <c r="TG495"/>
      <c r="TH495"/>
    </row>
    <row r="496" spans="3:528" x14ac:dyDescent="0.25">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c r="KT496"/>
      <c r="KU496"/>
      <c r="KV496"/>
      <c r="KW496"/>
      <c r="KX496"/>
      <c r="KY496"/>
      <c r="KZ496"/>
      <c r="LA496"/>
      <c r="LB496"/>
      <c r="LC496"/>
      <c r="LD496"/>
      <c r="LE496"/>
      <c r="LF496"/>
      <c r="LG496"/>
      <c r="LH496"/>
      <c r="LI496"/>
      <c r="LJ496"/>
      <c r="LK496"/>
      <c r="LL496"/>
      <c r="LM496"/>
      <c r="LN496"/>
      <c r="LO496"/>
      <c r="LP496"/>
      <c r="LQ496"/>
      <c r="LR496"/>
      <c r="LS496"/>
      <c r="LT496"/>
      <c r="LU496"/>
      <c r="LV496"/>
      <c r="LW496"/>
      <c r="LX496"/>
      <c r="LY496"/>
      <c r="LZ496"/>
      <c r="MA496"/>
      <c r="MB496"/>
      <c r="MC496"/>
      <c r="MD496"/>
      <c r="ME496"/>
      <c r="MF496"/>
      <c r="MG496"/>
      <c r="MH496"/>
      <c r="MI496"/>
      <c r="MJ496"/>
      <c r="MK496"/>
      <c r="ML496"/>
      <c r="MM496"/>
      <c r="MN496"/>
      <c r="MO496"/>
      <c r="MP496"/>
      <c r="MQ496"/>
      <c r="MR496"/>
      <c r="MS496"/>
      <c r="MT496"/>
      <c r="MU496"/>
      <c r="MV496"/>
      <c r="MW496"/>
      <c r="MX496"/>
      <c r="MY496"/>
      <c r="MZ496"/>
      <c r="NA496"/>
      <c r="NB496"/>
      <c r="NC496"/>
      <c r="ND496"/>
      <c r="NE496"/>
      <c r="NF496"/>
      <c r="NG496"/>
      <c r="NH496"/>
      <c r="NI496"/>
      <c r="NJ496"/>
      <c r="NK496"/>
      <c r="NL496"/>
      <c r="NM496"/>
      <c r="NN496"/>
      <c r="NO496"/>
      <c r="NP496"/>
      <c r="NQ496"/>
      <c r="NR496"/>
      <c r="NS496"/>
      <c r="NT496"/>
      <c r="NU496"/>
      <c r="NV496"/>
      <c r="NW496"/>
      <c r="NX496"/>
      <c r="NY496"/>
      <c r="NZ496"/>
      <c r="OA496"/>
      <c r="OB496"/>
      <c r="OC496"/>
      <c r="OD496"/>
      <c r="OE496"/>
      <c r="OF496"/>
      <c r="OG496"/>
      <c r="OH496"/>
      <c r="OI496"/>
      <c r="OJ496"/>
      <c r="OK496"/>
      <c r="OL496"/>
      <c r="OM496"/>
      <c r="ON496"/>
      <c r="OO496"/>
      <c r="OP496"/>
      <c r="OQ496"/>
      <c r="OR496"/>
      <c r="OS496"/>
      <c r="OT496"/>
      <c r="OU496"/>
      <c r="OV496"/>
      <c r="OW496"/>
      <c r="OX496"/>
      <c r="OY496"/>
      <c r="OZ496"/>
      <c r="PA496"/>
      <c r="PB496"/>
      <c r="PC496"/>
      <c r="PD496"/>
      <c r="PE496"/>
      <c r="PF496"/>
      <c r="PG496"/>
      <c r="PH496"/>
      <c r="PI496"/>
      <c r="PJ496"/>
      <c r="PK496"/>
      <c r="PL496"/>
      <c r="PM496"/>
      <c r="PN496"/>
      <c r="PO496"/>
      <c r="PP496"/>
      <c r="PQ496"/>
      <c r="PR496"/>
      <c r="PS496"/>
      <c r="PT496"/>
      <c r="PU496"/>
      <c r="PV496"/>
      <c r="PW496"/>
      <c r="PX496"/>
      <c r="PY496"/>
      <c r="PZ496"/>
      <c r="QA496"/>
      <c r="QB496"/>
      <c r="QC496"/>
      <c r="QD496"/>
      <c r="QE496"/>
      <c r="QF496"/>
      <c r="QG496"/>
      <c r="QH496"/>
      <c r="QI496"/>
      <c r="QJ496"/>
      <c r="QK496"/>
      <c r="QL496"/>
      <c r="QM496"/>
      <c r="QN496"/>
      <c r="QO496"/>
      <c r="QP496"/>
      <c r="QQ496"/>
      <c r="QR496"/>
      <c r="QS496"/>
      <c r="QT496"/>
      <c r="QU496"/>
      <c r="QV496"/>
      <c r="QW496"/>
      <c r="QX496"/>
      <c r="QY496"/>
      <c r="QZ496"/>
      <c r="RA496"/>
      <c r="RB496"/>
      <c r="RC496"/>
      <c r="RD496"/>
      <c r="RE496"/>
      <c r="RF496"/>
      <c r="RG496"/>
      <c r="RH496"/>
      <c r="RI496"/>
      <c r="RJ496"/>
      <c r="RK496"/>
      <c r="RL496"/>
      <c r="RM496"/>
      <c r="RN496"/>
      <c r="RO496"/>
      <c r="RP496"/>
      <c r="RQ496"/>
      <c r="RR496"/>
      <c r="RS496"/>
      <c r="RT496"/>
      <c r="RU496"/>
      <c r="RV496"/>
      <c r="RW496"/>
      <c r="RX496"/>
      <c r="RY496"/>
      <c r="RZ496"/>
      <c r="SA496"/>
      <c r="SB496"/>
      <c r="SC496"/>
      <c r="SD496"/>
      <c r="SE496"/>
      <c r="SF496"/>
      <c r="SG496"/>
      <c r="SH496"/>
      <c r="SI496"/>
      <c r="SJ496"/>
      <c r="SK496"/>
      <c r="SL496"/>
      <c r="SM496"/>
      <c r="SN496"/>
      <c r="SO496"/>
      <c r="SP496"/>
      <c r="SQ496"/>
      <c r="SR496"/>
      <c r="SS496"/>
      <c r="ST496"/>
      <c r="SU496"/>
      <c r="SV496"/>
      <c r="SW496"/>
      <c r="SX496"/>
      <c r="SY496"/>
      <c r="SZ496"/>
      <c r="TA496"/>
      <c r="TB496"/>
      <c r="TC496"/>
      <c r="TD496"/>
      <c r="TE496"/>
      <c r="TF496"/>
      <c r="TG496"/>
      <c r="TH496"/>
    </row>
    <row r="497" spans="3:528" x14ac:dyDescent="0.25">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c r="KT497"/>
      <c r="KU497"/>
      <c r="KV497"/>
      <c r="KW497"/>
      <c r="KX497"/>
      <c r="KY497"/>
      <c r="KZ497"/>
      <c r="LA497"/>
      <c r="LB497"/>
      <c r="LC497"/>
      <c r="LD497"/>
      <c r="LE497"/>
      <c r="LF497"/>
      <c r="LG497"/>
      <c r="LH497"/>
      <c r="LI497"/>
      <c r="LJ497"/>
      <c r="LK497"/>
      <c r="LL497"/>
      <c r="LM497"/>
      <c r="LN497"/>
      <c r="LO497"/>
      <c r="LP497"/>
      <c r="LQ497"/>
      <c r="LR497"/>
      <c r="LS497"/>
      <c r="LT497"/>
      <c r="LU497"/>
      <c r="LV497"/>
      <c r="LW497"/>
      <c r="LX497"/>
      <c r="LY497"/>
      <c r="LZ497"/>
      <c r="MA497"/>
      <c r="MB497"/>
      <c r="MC497"/>
      <c r="MD497"/>
      <c r="ME497"/>
      <c r="MF497"/>
      <c r="MG497"/>
      <c r="MH497"/>
      <c r="MI497"/>
      <c r="MJ497"/>
      <c r="MK497"/>
      <c r="ML497"/>
      <c r="MM497"/>
      <c r="MN497"/>
      <c r="MO497"/>
      <c r="MP497"/>
      <c r="MQ497"/>
      <c r="MR497"/>
      <c r="MS497"/>
      <c r="MT497"/>
      <c r="MU497"/>
      <c r="MV497"/>
      <c r="MW497"/>
      <c r="MX497"/>
      <c r="MY497"/>
      <c r="MZ497"/>
      <c r="NA497"/>
      <c r="NB497"/>
      <c r="NC497"/>
      <c r="ND497"/>
      <c r="NE497"/>
      <c r="NF497"/>
      <c r="NG497"/>
      <c r="NH497"/>
      <c r="NI497"/>
      <c r="NJ497"/>
      <c r="NK497"/>
      <c r="NL497"/>
      <c r="NM497"/>
      <c r="NN497"/>
      <c r="NO497"/>
      <c r="NP497"/>
      <c r="NQ497"/>
      <c r="NR497"/>
      <c r="NS497"/>
      <c r="NT497"/>
      <c r="NU497"/>
      <c r="NV497"/>
      <c r="NW497"/>
      <c r="NX497"/>
      <c r="NY497"/>
      <c r="NZ497"/>
      <c r="OA497"/>
      <c r="OB497"/>
      <c r="OC497"/>
      <c r="OD497"/>
      <c r="OE497"/>
      <c r="OF497"/>
      <c r="OG497"/>
      <c r="OH497"/>
      <c r="OI497"/>
      <c r="OJ497"/>
      <c r="OK497"/>
      <c r="OL497"/>
      <c r="OM497"/>
      <c r="ON497"/>
      <c r="OO497"/>
      <c r="OP497"/>
      <c r="OQ497"/>
      <c r="OR497"/>
      <c r="OS497"/>
      <c r="OT497"/>
      <c r="OU497"/>
      <c r="OV497"/>
      <c r="OW497"/>
      <c r="OX497"/>
      <c r="OY497"/>
      <c r="OZ497"/>
      <c r="PA497"/>
      <c r="PB497"/>
      <c r="PC497"/>
      <c r="PD497"/>
      <c r="PE497"/>
      <c r="PF497"/>
      <c r="PG497"/>
      <c r="PH497"/>
      <c r="PI497"/>
      <c r="PJ497"/>
      <c r="PK497"/>
      <c r="PL497"/>
      <c r="PM497"/>
      <c r="PN497"/>
      <c r="PO497"/>
      <c r="PP497"/>
      <c r="PQ497"/>
      <c r="PR497"/>
      <c r="PS497"/>
      <c r="PT497"/>
      <c r="PU497"/>
      <c r="PV497"/>
      <c r="PW497"/>
      <c r="PX497"/>
      <c r="PY497"/>
      <c r="PZ497"/>
      <c r="QA497"/>
      <c r="QB497"/>
      <c r="QC497"/>
      <c r="QD497"/>
      <c r="QE497"/>
      <c r="QF497"/>
      <c r="QG497"/>
      <c r="QH497"/>
      <c r="QI497"/>
      <c r="QJ497"/>
      <c r="QK497"/>
      <c r="QL497"/>
      <c r="QM497"/>
      <c r="QN497"/>
      <c r="QO497"/>
      <c r="QP497"/>
      <c r="QQ497"/>
      <c r="QR497"/>
      <c r="QS497"/>
      <c r="QT497"/>
      <c r="QU497"/>
      <c r="QV497"/>
      <c r="QW497"/>
      <c r="QX497"/>
      <c r="QY497"/>
      <c r="QZ497"/>
      <c r="RA497"/>
      <c r="RB497"/>
      <c r="RC497"/>
      <c r="RD497"/>
      <c r="RE497"/>
      <c r="RF497"/>
      <c r="RG497"/>
      <c r="RH497"/>
      <c r="RI497"/>
      <c r="RJ497"/>
      <c r="RK497"/>
      <c r="RL497"/>
      <c r="RM497"/>
      <c r="RN497"/>
      <c r="RO497"/>
      <c r="RP497"/>
      <c r="RQ497"/>
      <c r="RR497"/>
      <c r="RS497"/>
      <c r="RT497"/>
      <c r="RU497"/>
      <c r="RV497"/>
      <c r="RW497"/>
      <c r="RX497"/>
      <c r="RY497"/>
      <c r="RZ497"/>
      <c r="SA497"/>
      <c r="SB497"/>
      <c r="SC497"/>
      <c r="SD497"/>
      <c r="SE497"/>
      <c r="SF497"/>
      <c r="SG497"/>
      <c r="SH497"/>
      <c r="SI497"/>
      <c r="SJ497"/>
      <c r="SK497"/>
      <c r="SL497"/>
      <c r="SM497"/>
      <c r="SN497"/>
      <c r="SO497"/>
      <c r="SP497"/>
      <c r="SQ497"/>
      <c r="SR497"/>
      <c r="SS497"/>
      <c r="ST497"/>
      <c r="SU497"/>
      <c r="SV497"/>
      <c r="SW497"/>
      <c r="SX497"/>
      <c r="SY497"/>
      <c r="SZ497"/>
      <c r="TA497"/>
      <c r="TB497"/>
      <c r="TC497"/>
      <c r="TD497"/>
      <c r="TE497"/>
      <c r="TF497"/>
      <c r="TG497"/>
      <c r="TH497"/>
    </row>
    <row r="498" spans="3:528" x14ac:dyDescent="0.25">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c r="KT498"/>
      <c r="KU498"/>
      <c r="KV498"/>
      <c r="KW498"/>
      <c r="KX498"/>
      <c r="KY498"/>
      <c r="KZ498"/>
      <c r="LA498"/>
      <c r="LB498"/>
      <c r="LC498"/>
      <c r="LD498"/>
      <c r="LE498"/>
      <c r="LF498"/>
      <c r="LG498"/>
      <c r="LH498"/>
      <c r="LI498"/>
      <c r="LJ498"/>
      <c r="LK498"/>
      <c r="LL498"/>
      <c r="LM498"/>
      <c r="LN498"/>
      <c r="LO498"/>
      <c r="LP498"/>
      <c r="LQ498"/>
      <c r="LR498"/>
      <c r="LS498"/>
      <c r="LT498"/>
      <c r="LU498"/>
      <c r="LV498"/>
      <c r="LW498"/>
      <c r="LX498"/>
      <c r="LY498"/>
      <c r="LZ498"/>
      <c r="MA498"/>
      <c r="MB498"/>
      <c r="MC498"/>
      <c r="MD498"/>
      <c r="ME498"/>
      <c r="MF498"/>
      <c r="MG498"/>
      <c r="MH498"/>
      <c r="MI498"/>
      <c r="MJ498"/>
      <c r="MK498"/>
      <c r="ML498"/>
      <c r="MM498"/>
      <c r="MN498"/>
      <c r="MO498"/>
      <c r="MP498"/>
      <c r="MQ498"/>
      <c r="MR498"/>
      <c r="MS498"/>
      <c r="MT498"/>
      <c r="MU498"/>
      <c r="MV498"/>
      <c r="MW498"/>
      <c r="MX498"/>
      <c r="MY498"/>
      <c r="MZ498"/>
      <c r="NA498"/>
      <c r="NB498"/>
      <c r="NC498"/>
      <c r="ND498"/>
      <c r="NE498"/>
      <c r="NF498"/>
      <c r="NG498"/>
      <c r="NH498"/>
      <c r="NI498"/>
      <c r="NJ498"/>
      <c r="NK498"/>
      <c r="NL498"/>
      <c r="NM498"/>
      <c r="NN498"/>
      <c r="NO498"/>
      <c r="NP498"/>
      <c r="NQ498"/>
      <c r="NR498"/>
      <c r="NS498"/>
      <c r="NT498"/>
      <c r="NU498"/>
      <c r="NV498"/>
      <c r="NW498"/>
      <c r="NX498"/>
      <c r="NY498"/>
      <c r="NZ498"/>
      <c r="OA498"/>
      <c r="OB498"/>
      <c r="OC498"/>
      <c r="OD498"/>
      <c r="OE498"/>
      <c r="OF498"/>
      <c r="OG498"/>
      <c r="OH498"/>
      <c r="OI498"/>
      <c r="OJ498"/>
      <c r="OK498"/>
      <c r="OL498"/>
      <c r="OM498"/>
      <c r="ON498"/>
      <c r="OO498"/>
      <c r="OP498"/>
      <c r="OQ498"/>
      <c r="OR498"/>
      <c r="OS498"/>
      <c r="OT498"/>
      <c r="OU498"/>
      <c r="OV498"/>
      <c r="OW498"/>
      <c r="OX498"/>
      <c r="OY498"/>
      <c r="OZ498"/>
      <c r="PA498"/>
      <c r="PB498"/>
      <c r="PC498"/>
      <c r="PD498"/>
      <c r="PE498"/>
      <c r="PF498"/>
      <c r="PG498"/>
      <c r="PH498"/>
      <c r="PI498"/>
      <c r="PJ498"/>
      <c r="PK498"/>
      <c r="PL498"/>
      <c r="PM498"/>
      <c r="PN498"/>
      <c r="PO498"/>
      <c r="PP498"/>
      <c r="PQ498"/>
      <c r="PR498"/>
      <c r="PS498"/>
      <c r="PT498"/>
      <c r="PU498"/>
      <c r="PV498"/>
      <c r="PW498"/>
      <c r="PX498"/>
      <c r="PY498"/>
      <c r="PZ498"/>
      <c r="QA498"/>
      <c r="QB498"/>
      <c r="QC498"/>
      <c r="QD498"/>
      <c r="QE498"/>
      <c r="QF498"/>
      <c r="QG498"/>
      <c r="QH498"/>
      <c r="QI498"/>
      <c r="QJ498"/>
      <c r="QK498"/>
      <c r="QL498"/>
      <c r="QM498"/>
      <c r="QN498"/>
      <c r="QO498"/>
      <c r="QP498"/>
      <c r="QQ498"/>
      <c r="QR498"/>
      <c r="QS498"/>
      <c r="QT498"/>
      <c r="QU498"/>
      <c r="QV498"/>
      <c r="QW498"/>
      <c r="QX498"/>
      <c r="QY498"/>
      <c r="QZ498"/>
      <c r="RA498"/>
      <c r="RB498"/>
      <c r="RC498"/>
      <c r="RD498"/>
      <c r="RE498"/>
      <c r="RF498"/>
      <c r="RG498"/>
      <c r="RH498"/>
      <c r="RI498"/>
      <c r="RJ498"/>
      <c r="RK498"/>
      <c r="RL498"/>
      <c r="RM498"/>
      <c r="RN498"/>
      <c r="RO498"/>
      <c r="RP498"/>
      <c r="RQ498"/>
      <c r="RR498"/>
      <c r="RS498"/>
      <c r="RT498"/>
      <c r="RU498"/>
      <c r="RV498"/>
      <c r="RW498"/>
      <c r="RX498"/>
      <c r="RY498"/>
      <c r="RZ498"/>
      <c r="SA498"/>
      <c r="SB498"/>
      <c r="SC498"/>
      <c r="SD498"/>
      <c r="SE498"/>
      <c r="SF498"/>
      <c r="SG498"/>
      <c r="SH498"/>
      <c r="SI498"/>
      <c r="SJ498"/>
      <c r="SK498"/>
      <c r="SL498"/>
      <c r="SM498"/>
      <c r="SN498"/>
      <c r="SO498"/>
      <c r="SP498"/>
      <c r="SQ498"/>
      <c r="SR498"/>
      <c r="SS498"/>
      <c r="ST498"/>
      <c r="SU498"/>
      <c r="SV498"/>
      <c r="SW498"/>
      <c r="SX498"/>
      <c r="SY498"/>
      <c r="SZ498"/>
      <c r="TA498"/>
      <c r="TB498"/>
      <c r="TC498"/>
      <c r="TD498"/>
      <c r="TE498"/>
      <c r="TF498"/>
      <c r="TG498"/>
      <c r="TH498"/>
    </row>
    <row r="499" spans="3:528" x14ac:dyDescent="0.25">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c r="KT499"/>
      <c r="KU499"/>
      <c r="KV499"/>
      <c r="KW499"/>
      <c r="KX499"/>
      <c r="KY499"/>
      <c r="KZ499"/>
      <c r="LA499"/>
      <c r="LB499"/>
      <c r="LC499"/>
      <c r="LD499"/>
      <c r="LE499"/>
      <c r="LF499"/>
      <c r="LG499"/>
      <c r="LH499"/>
      <c r="LI499"/>
      <c r="LJ499"/>
      <c r="LK499"/>
      <c r="LL499"/>
      <c r="LM499"/>
      <c r="LN499"/>
      <c r="LO499"/>
      <c r="LP499"/>
      <c r="LQ499"/>
      <c r="LR499"/>
      <c r="LS499"/>
      <c r="LT499"/>
      <c r="LU499"/>
      <c r="LV499"/>
      <c r="LW499"/>
      <c r="LX499"/>
      <c r="LY499"/>
      <c r="LZ499"/>
      <c r="MA499"/>
      <c r="MB499"/>
      <c r="MC499"/>
      <c r="MD499"/>
      <c r="ME499"/>
      <c r="MF499"/>
      <c r="MG499"/>
      <c r="MH499"/>
      <c r="MI499"/>
      <c r="MJ499"/>
      <c r="MK499"/>
      <c r="ML499"/>
      <c r="MM499"/>
      <c r="MN499"/>
      <c r="MO499"/>
      <c r="MP499"/>
      <c r="MQ499"/>
      <c r="MR499"/>
      <c r="MS499"/>
      <c r="MT499"/>
      <c r="MU499"/>
      <c r="MV499"/>
      <c r="MW499"/>
      <c r="MX499"/>
      <c r="MY499"/>
      <c r="MZ499"/>
      <c r="NA499"/>
      <c r="NB499"/>
      <c r="NC499"/>
      <c r="ND499"/>
      <c r="NE499"/>
      <c r="NF499"/>
      <c r="NG499"/>
      <c r="NH499"/>
      <c r="NI499"/>
      <c r="NJ499"/>
      <c r="NK499"/>
      <c r="NL499"/>
      <c r="NM499"/>
      <c r="NN499"/>
      <c r="NO499"/>
      <c r="NP499"/>
      <c r="NQ499"/>
      <c r="NR499"/>
      <c r="NS499"/>
      <c r="NT499"/>
      <c r="NU499"/>
      <c r="NV499"/>
      <c r="NW499"/>
      <c r="NX499"/>
      <c r="NY499"/>
      <c r="NZ499"/>
      <c r="OA499"/>
      <c r="OB499"/>
      <c r="OC499"/>
      <c r="OD499"/>
      <c r="OE499"/>
      <c r="OF499"/>
      <c r="OG499"/>
      <c r="OH499"/>
      <c r="OI499"/>
      <c r="OJ499"/>
      <c r="OK499"/>
      <c r="OL499"/>
      <c r="OM499"/>
      <c r="ON499"/>
      <c r="OO499"/>
      <c r="OP499"/>
      <c r="OQ499"/>
      <c r="OR499"/>
      <c r="OS499"/>
      <c r="OT499"/>
      <c r="OU499"/>
      <c r="OV499"/>
      <c r="OW499"/>
      <c r="OX499"/>
      <c r="OY499"/>
      <c r="OZ499"/>
      <c r="PA499"/>
      <c r="PB499"/>
      <c r="PC499"/>
      <c r="PD499"/>
      <c r="PE499"/>
      <c r="PF499"/>
      <c r="PG499"/>
      <c r="PH499"/>
      <c r="PI499"/>
      <c r="PJ499"/>
      <c r="PK499"/>
      <c r="PL499"/>
      <c r="PM499"/>
      <c r="PN499"/>
      <c r="PO499"/>
      <c r="PP499"/>
      <c r="PQ499"/>
      <c r="PR499"/>
      <c r="PS499"/>
      <c r="PT499"/>
      <c r="PU499"/>
      <c r="PV499"/>
      <c r="PW499"/>
      <c r="PX499"/>
      <c r="PY499"/>
      <c r="PZ499"/>
      <c r="QA499"/>
      <c r="QB499"/>
      <c r="QC499"/>
      <c r="QD499"/>
      <c r="QE499"/>
      <c r="QF499"/>
      <c r="QG499"/>
      <c r="QH499"/>
      <c r="QI499"/>
      <c r="QJ499"/>
      <c r="QK499"/>
      <c r="QL499"/>
      <c r="QM499"/>
      <c r="QN499"/>
      <c r="QO499"/>
      <c r="QP499"/>
      <c r="QQ499"/>
      <c r="QR499"/>
      <c r="QS499"/>
      <c r="QT499"/>
      <c r="QU499"/>
      <c r="QV499"/>
      <c r="QW499"/>
      <c r="QX499"/>
      <c r="QY499"/>
      <c r="QZ499"/>
      <c r="RA499"/>
      <c r="RB499"/>
      <c r="RC499"/>
      <c r="RD499"/>
      <c r="RE499"/>
      <c r="RF499"/>
      <c r="RG499"/>
      <c r="RH499"/>
      <c r="RI499"/>
      <c r="RJ499"/>
      <c r="RK499"/>
      <c r="RL499"/>
      <c r="RM499"/>
      <c r="RN499"/>
      <c r="RO499"/>
      <c r="RP499"/>
      <c r="RQ499"/>
      <c r="RR499"/>
      <c r="RS499"/>
      <c r="RT499"/>
      <c r="RU499"/>
      <c r="RV499"/>
      <c r="RW499"/>
      <c r="RX499"/>
      <c r="RY499"/>
      <c r="RZ499"/>
      <c r="SA499"/>
      <c r="SB499"/>
      <c r="SC499"/>
      <c r="SD499"/>
      <c r="SE499"/>
      <c r="SF499"/>
      <c r="SG499"/>
      <c r="SH499"/>
      <c r="SI499"/>
      <c r="SJ499"/>
      <c r="SK499"/>
      <c r="SL499"/>
      <c r="SM499"/>
      <c r="SN499"/>
      <c r="SO499"/>
      <c r="SP499"/>
      <c r="SQ499"/>
      <c r="SR499"/>
      <c r="SS499"/>
      <c r="ST499"/>
      <c r="SU499"/>
      <c r="SV499"/>
      <c r="SW499"/>
      <c r="SX499"/>
      <c r="SY499"/>
      <c r="SZ499"/>
      <c r="TA499"/>
      <c r="TB499"/>
      <c r="TC499"/>
      <c r="TD499"/>
      <c r="TE499"/>
      <c r="TF499"/>
      <c r="TG499"/>
      <c r="TH499"/>
    </row>
    <row r="500" spans="3:528" x14ac:dyDescent="0.25">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c r="KT500"/>
      <c r="KU500"/>
      <c r="KV500"/>
      <c r="KW500"/>
      <c r="KX500"/>
      <c r="KY500"/>
      <c r="KZ500"/>
      <c r="LA500"/>
      <c r="LB500"/>
      <c r="LC500"/>
      <c r="LD500"/>
      <c r="LE500"/>
      <c r="LF500"/>
      <c r="LG500"/>
      <c r="LH500"/>
      <c r="LI500"/>
      <c r="LJ500"/>
      <c r="LK500"/>
      <c r="LL500"/>
      <c r="LM500"/>
      <c r="LN500"/>
      <c r="LO500"/>
      <c r="LP500"/>
      <c r="LQ500"/>
      <c r="LR500"/>
      <c r="LS500"/>
      <c r="LT500"/>
      <c r="LU500"/>
      <c r="LV500"/>
      <c r="LW500"/>
      <c r="LX500"/>
      <c r="LY500"/>
      <c r="LZ500"/>
      <c r="MA500"/>
      <c r="MB500"/>
      <c r="MC500"/>
      <c r="MD500"/>
      <c r="ME500"/>
      <c r="MF500"/>
      <c r="MG500"/>
      <c r="MH500"/>
      <c r="MI500"/>
      <c r="MJ500"/>
      <c r="MK500"/>
      <c r="ML500"/>
      <c r="MM500"/>
      <c r="MN500"/>
      <c r="MO500"/>
      <c r="MP500"/>
      <c r="MQ500"/>
      <c r="MR500"/>
      <c r="MS500"/>
      <c r="MT500"/>
      <c r="MU500"/>
      <c r="MV500"/>
      <c r="MW500"/>
      <c r="MX500"/>
      <c r="MY500"/>
      <c r="MZ500"/>
      <c r="NA500"/>
      <c r="NB500"/>
      <c r="NC500"/>
      <c r="ND500"/>
      <c r="NE500"/>
      <c r="NF500"/>
      <c r="NG500"/>
      <c r="NH500"/>
      <c r="NI500"/>
      <c r="NJ500"/>
      <c r="NK500"/>
      <c r="NL500"/>
      <c r="NM500"/>
      <c r="NN500"/>
      <c r="NO500"/>
      <c r="NP500"/>
      <c r="NQ500"/>
      <c r="NR500"/>
      <c r="NS500"/>
      <c r="NT500"/>
      <c r="NU500"/>
      <c r="NV500"/>
      <c r="NW500"/>
      <c r="NX500"/>
      <c r="NY500"/>
      <c r="NZ500"/>
      <c r="OA500"/>
      <c r="OB500"/>
      <c r="OC500"/>
      <c r="OD500"/>
      <c r="OE500"/>
      <c r="OF500"/>
      <c r="OG500"/>
      <c r="OH500"/>
      <c r="OI500"/>
      <c r="OJ500"/>
      <c r="OK500"/>
      <c r="OL500"/>
      <c r="OM500"/>
      <c r="ON500"/>
      <c r="OO500"/>
      <c r="OP500"/>
      <c r="OQ500"/>
      <c r="OR500"/>
      <c r="OS500"/>
      <c r="OT500"/>
      <c r="OU500"/>
      <c r="OV500"/>
      <c r="OW500"/>
      <c r="OX500"/>
      <c r="OY500"/>
      <c r="OZ500"/>
      <c r="PA500"/>
      <c r="PB500"/>
      <c r="PC500"/>
      <c r="PD500"/>
      <c r="PE500"/>
      <c r="PF500"/>
      <c r="PG500"/>
      <c r="PH500"/>
      <c r="PI500"/>
      <c r="PJ500"/>
      <c r="PK500"/>
      <c r="PL500"/>
      <c r="PM500"/>
      <c r="PN500"/>
      <c r="PO500"/>
      <c r="PP500"/>
      <c r="PQ500"/>
      <c r="PR500"/>
      <c r="PS500"/>
      <c r="PT500"/>
      <c r="PU500"/>
      <c r="PV500"/>
      <c r="PW500"/>
      <c r="PX500"/>
      <c r="PY500"/>
      <c r="PZ500"/>
      <c r="QA500"/>
      <c r="QB500"/>
      <c r="QC500"/>
      <c r="QD500"/>
      <c r="QE500"/>
      <c r="QF500"/>
      <c r="QG500"/>
      <c r="QH500"/>
      <c r="QI500"/>
      <c r="QJ500"/>
      <c r="QK500"/>
      <c r="QL500"/>
      <c r="QM500"/>
      <c r="QN500"/>
      <c r="QO500"/>
      <c r="QP500"/>
      <c r="QQ500"/>
      <c r="QR500"/>
      <c r="QS500"/>
      <c r="QT500"/>
      <c r="QU500"/>
      <c r="QV500"/>
      <c r="QW500"/>
      <c r="QX500"/>
      <c r="QY500"/>
      <c r="QZ500"/>
      <c r="RA500"/>
      <c r="RB500"/>
      <c r="RC500"/>
      <c r="RD500"/>
      <c r="RE500"/>
      <c r="RF500"/>
      <c r="RG500"/>
      <c r="RH500"/>
      <c r="RI500"/>
      <c r="RJ500"/>
      <c r="RK500"/>
      <c r="RL500"/>
      <c r="RM500"/>
      <c r="RN500"/>
      <c r="RO500"/>
      <c r="RP500"/>
      <c r="RQ500"/>
      <c r="RR500"/>
      <c r="RS500"/>
      <c r="RT500"/>
      <c r="RU500"/>
      <c r="RV500"/>
      <c r="RW500"/>
      <c r="RX500"/>
      <c r="RY500"/>
      <c r="RZ500"/>
      <c r="SA500"/>
      <c r="SB500"/>
      <c r="SC500"/>
      <c r="SD500"/>
      <c r="SE500"/>
      <c r="SF500"/>
      <c r="SG500"/>
      <c r="SH500"/>
      <c r="SI500"/>
      <c r="SJ500"/>
      <c r="SK500"/>
      <c r="SL500"/>
      <c r="SM500"/>
      <c r="SN500"/>
      <c r="SO500"/>
      <c r="SP500"/>
      <c r="SQ500"/>
      <c r="SR500"/>
      <c r="SS500"/>
      <c r="ST500"/>
      <c r="SU500"/>
      <c r="SV500"/>
      <c r="SW500"/>
      <c r="SX500"/>
      <c r="SY500"/>
      <c r="SZ500"/>
      <c r="TA500"/>
      <c r="TB500"/>
      <c r="TC500"/>
      <c r="TD500"/>
      <c r="TE500"/>
      <c r="TF500"/>
      <c r="TG500"/>
      <c r="TH500"/>
    </row>
    <row r="501" spans="3:528" x14ac:dyDescent="0.25">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c r="KT501"/>
      <c r="KU501"/>
      <c r="KV501"/>
      <c r="KW501"/>
      <c r="KX501"/>
      <c r="KY501"/>
      <c r="KZ501"/>
      <c r="LA501"/>
      <c r="LB501"/>
      <c r="LC501"/>
      <c r="LD501"/>
      <c r="LE501"/>
      <c r="LF501"/>
      <c r="LG501"/>
      <c r="LH501"/>
      <c r="LI501"/>
      <c r="LJ501"/>
      <c r="LK501"/>
      <c r="LL501"/>
      <c r="LM501"/>
      <c r="LN501"/>
      <c r="LO501"/>
      <c r="LP501"/>
      <c r="LQ501"/>
      <c r="LR501"/>
      <c r="LS501"/>
      <c r="LT501"/>
      <c r="LU501"/>
      <c r="LV501"/>
      <c r="LW501"/>
      <c r="LX501"/>
      <c r="LY501"/>
      <c r="LZ501"/>
      <c r="MA501"/>
      <c r="MB501"/>
      <c r="MC501"/>
      <c r="MD501"/>
      <c r="ME501"/>
      <c r="MF501"/>
      <c r="MG501"/>
      <c r="MH501"/>
      <c r="MI501"/>
      <c r="MJ501"/>
      <c r="MK501"/>
      <c r="ML501"/>
      <c r="MM501"/>
      <c r="MN501"/>
      <c r="MO501"/>
      <c r="MP501"/>
      <c r="MQ501"/>
      <c r="MR501"/>
      <c r="MS501"/>
      <c r="MT501"/>
      <c r="MU501"/>
      <c r="MV501"/>
      <c r="MW501"/>
      <c r="MX501"/>
      <c r="MY501"/>
      <c r="MZ501"/>
      <c r="NA501"/>
      <c r="NB501"/>
      <c r="NC501"/>
      <c r="ND501"/>
      <c r="NE501"/>
      <c r="NF501"/>
      <c r="NG501"/>
      <c r="NH501"/>
      <c r="NI501"/>
      <c r="NJ501"/>
      <c r="NK501"/>
      <c r="NL501"/>
      <c r="NM501"/>
      <c r="NN501"/>
      <c r="NO501"/>
      <c r="NP501"/>
      <c r="NQ501"/>
      <c r="NR501"/>
      <c r="NS501"/>
      <c r="NT501"/>
      <c r="NU501"/>
      <c r="NV501"/>
      <c r="NW501"/>
      <c r="NX501"/>
      <c r="NY501"/>
      <c r="NZ501"/>
      <c r="OA501"/>
      <c r="OB501"/>
      <c r="OC501"/>
      <c r="OD501"/>
      <c r="OE501"/>
      <c r="OF501"/>
      <c r="OG501"/>
      <c r="OH501"/>
      <c r="OI501"/>
      <c r="OJ501"/>
      <c r="OK501"/>
      <c r="OL501"/>
      <c r="OM501"/>
      <c r="ON501"/>
      <c r="OO501"/>
      <c r="OP501"/>
      <c r="OQ501"/>
      <c r="OR501"/>
      <c r="OS501"/>
      <c r="OT501"/>
      <c r="OU501"/>
      <c r="OV501"/>
      <c r="OW501"/>
      <c r="OX501"/>
      <c r="OY501"/>
      <c r="OZ501"/>
      <c r="PA501"/>
      <c r="PB501"/>
      <c r="PC501"/>
      <c r="PD501"/>
      <c r="PE501"/>
      <c r="PF501"/>
      <c r="PG501"/>
      <c r="PH501"/>
      <c r="PI501"/>
      <c r="PJ501"/>
      <c r="PK501"/>
      <c r="PL501"/>
      <c r="PM501"/>
      <c r="PN501"/>
      <c r="PO501"/>
      <c r="PP501"/>
      <c r="PQ501"/>
      <c r="PR501"/>
      <c r="PS501"/>
      <c r="PT501"/>
      <c r="PU501"/>
      <c r="PV501"/>
      <c r="PW501"/>
      <c r="PX501"/>
      <c r="PY501"/>
      <c r="PZ501"/>
      <c r="QA501"/>
      <c r="QB501"/>
      <c r="QC501"/>
      <c r="QD501"/>
      <c r="QE501"/>
      <c r="QF501"/>
      <c r="QG501"/>
      <c r="QH501"/>
      <c r="QI501"/>
      <c r="QJ501"/>
      <c r="QK501"/>
      <c r="QL501"/>
      <c r="QM501"/>
      <c r="QN501"/>
      <c r="QO501"/>
      <c r="QP501"/>
      <c r="QQ501"/>
      <c r="QR501"/>
      <c r="QS501"/>
      <c r="QT501"/>
      <c r="QU501"/>
      <c r="QV501"/>
      <c r="QW501"/>
      <c r="QX501"/>
      <c r="QY501"/>
      <c r="QZ501"/>
      <c r="RA501"/>
      <c r="RB501"/>
      <c r="RC501"/>
      <c r="RD501"/>
      <c r="RE501"/>
      <c r="RF501"/>
      <c r="RG501"/>
      <c r="RH501"/>
      <c r="RI501"/>
      <c r="RJ501"/>
      <c r="RK501"/>
      <c r="RL501"/>
      <c r="RM501"/>
      <c r="RN501"/>
      <c r="RO501"/>
      <c r="RP501"/>
      <c r="RQ501"/>
      <c r="RR501"/>
      <c r="RS501"/>
      <c r="RT501"/>
      <c r="RU501"/>
      <c r="RV501"/>
      <c r="RW501"/>
      <c r="RX501"/>
      <c r="RY501"/>
      <c r="RZ501"/>
      <c r="SA501"/>
      <c r="SB501"/>
      <c r="SC501"/>
      <c r="SD501"/>
      <c r="SE501"/>
      <c r="SF501"/>
      <c r="SG501"/>
      <c r="SH501"/>
      <c r="SI501"/>
      <c r="SJ501"/>
      <c r="SK501"/>
      <c r="SL501"/>
      <c r="SM501"/>
      <c r="SN501"/>
      <c r="SO501"/>
      <c r="SP501"/>
      <c r="SQ501"/>
      <c r="SR501"/>
      <c r="SS501"/>
      <c r="ST501"/>
      <c r="SU501"/>
      <c r="SV501"/>
      <c r="SW501"/>
      <c r="SX501"/>
      <c r="SY501"/>
      <c r="SZ501"/>
      <c r="TA501"/>
      <c r="TB501"/>
      <c r="TC501"/>
      <c r="TD501"/>
      <c r="TE501"/>
      <c r="TF501"/>
      <c r="TG501"/>
      <c r="TH501"/>
    </row>
    <row r="502" spans="3:528" x14ac:dyDescent="0.25">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c r="KT502"/>
      <c r="KU502"/>
      <c r="KV502"/>
      <c r="KW502"/>
      <c r="KX502"/>
      <c r="KY502"/>
      <c r="KZ502"/>
      <c r="LA502"/>
      <c r="LB502"/>
      <c r="LC502"/>
      <c r="LD502"/>
      <c r="LE502"/>
      <c r="LF502"/>
      <c r="LG502"/>
      <c r="LH502"/>
      <c r="LI502"/>
      <c r="LJ502"/>
      <c r="LK502"/>
      <c r="LL502"/>
      <c r="LM502"/>
      <c r="LN502"/>
      <c r="LO502"/>
      <c r="LP502"/>
      <c r="LQ502"/>
      <c r="LR502"/>
      <c r="LS502"/>
      <c r="LT502"/>
      <c r="LU502"/>
      <c r="LV502"/>
      <c r="LW502"/>
      <c r="LX502"/>
      <c r="LY502"/>
      <c r="LZ502"/>
      <c r="MA502"/>
      <c r="MB502"/>
      <c r="MC502"/>
      <c r="MD502"/>
      <c r="ME502"/>
      <c r="MF502"/>
      <c r="MG502"/>
      <c r="MH502"/>
      <c r="MI502"/>
      <c r="MJ502"/>
      <c r="MK502"/>
      <c r="ML502"/>
      <c r="MM502"/>
      <c r="MN502"/>
      <c r="MO502"/>
      <c r="MP502"/>
      <c r="MQ502"/>
      <c r="MR502"/>
      <c r="MS502"/>
      <c r="MT502"/>
      <c r="MU502"/>
      <c r="MV502"/>
      <c r="MW502"/>
      <c r="MX502"/>
      <c r="MY502"/>
      <c r="MZ502"/>
      <c r="NA502"/>
      <c r="NB502"/>
      <c r="NC502"/>
      <c r="ND502"/>
      <c r="NE502"/>
      <c r="NF502"/>
      <c r="NG502"/>
      <c r="NH502"/>
      <c r="NI502"/>
      <c r="NJ502"/>
      <c r="NK502"/>
      <c r="NL502"/>
      <c r="NM502"/>
      <c r="NN502"/>
      <c r="NO502"/>
      <c r="NP502"/>
      <c r="NQ502"/>
      <c r="NR502"/>
      <c r="NS502"/>
      <c r="NT502"/>
      <c r="NU502"/>
      <c r="NV502"/>
      <c r="NW502"/>
      <c r="NX502"/>
      <c r="NY502"/>
      <c r="NZ502"/>
      <c r="OA502"/>
      <c r="OB502"/>
      <c r="OC502"/>
      <c r="OD502"/>
      <c r="OE502"/>
      <c r="OF502"/>
      <c r="OG502"/>
      <c r="OH502"/>
      <c r="OI502"/>
      <c r="OJ502"/>
      <c r="OK502"/>
      <c r="OL502"/>
      <c r="OM502"/>
      <c r="ON502"/>
      <c r="OO502"/>
      <c r="OP502"/>
      <c r="OQ502"/>
      <c r="OR502"/>
      <c r="OS502"/>
      <c r="OT502"/>
      <c r="OU502"/>
      <c r="OV502"/>
      <c r="OW502"/>
      <c r="OX502"/>
      <c r="OY502"/>
      <c r="OZ502"/>
      <c r="PA502"/>
      <c r="PB502"/>
      <c r="PC502"/>
      <c r="PD502"/>
      <c r="PE502"/>
      <c r="PF502"/>
      <c r="PG502"/>
      <c r="PH502"/>
      <c r="PI502"/>
      <c r="PJ502"/>
      <c r="PK502"/>
      <c r="PL502"/>
      <c r="PM502"/>
      <c r="PN502"/>
      <c r="PO502"/>
      <c r="PP502"/>
      <c r="PQ502"/>
      <c r="PR502"/>
      <c r="PS502"/>
      <c r="PT502"/>
      <c r="PU502"/>
      <c r="PV502"/>
      <c r="PW502"/>
      <c r="PX502"/>
      <c r="PY502"/>
      <c r="PZ502"/>
      <c r="QA502"/>
      <c r="QB502"/>
      <c r="QC502"/>
      <c r="QD502"/>
      <c r="QE502"/>
      <c r="QF502"/>
      <c r="QG502"/>
      <c r="QH502"/>
      <c r="QI502"/>
      <c r="QJ502"/>
      <c r="QK502"/>
      <c r="QL502"/>
      <c r="QM502"/>
      <c r="QN502"/>
      <c r="QO502"/>
      <c r="QP502"/>
      <c r="QQ502"/>
      <c r="QR502"/>
      <c r="QS502"/>
      <c r="QT502"/>
      <c r="QU502"/>
      <c r="QV502"/>
      <c r="QW502"/>
      <c r="QX502"/>
      <c r="QY502"/>
      <c r="QZ502"/>
      <c r="RA502"/>
      <c r="RB502"/>
      <c r="RC502"/>
      <c r="RD502"/>
      <c r="RE502"/>
      <c r="RF502"/>
      <c r="RG502"/>
      <c r="RH502"/>
      <c r="RI502"/>
      <c r="RJ502"/>
      <c r="RK502"/>
      <c r="RL502"/>
      <c r="RM502"/>
      <c r="RN502"/>
      <c r="RO502"/>
      <c r="RP502"/>
      <c r="RQ502"/>
      <c r="RR502"/>
      <c r="RS502"/>
      <c r="RT502"/>
      <c r="RU502"/>
      <c r="RV502"/>
      <c r="RW502"/>
      <c r="RX502"/>
      <c r="RY502"/>
      <c r="RZ502"/>
      <c r="SA502"/>
      <c r="SB502"/>
      <c r="SC502"/>
      <c r="SD502"/>
      <c r="SE502"/>
      <c r="SF502"/>
      <c r="SG502"/>
      <c r="SH502"/>
      <c r="SI502"/>
      <c r="SJ502"/>
      <c r="SK502"/>
      <c r="SL502"/>
      <c r="SM502"/>
      <c r="SN502"/>
      <c r="SO502"/>
      <c r="SP502"/>
      <c r="SQ502"/>
      <c r="SR502"/>
      <c r="SS502"/>
      <c r="ST502"/>
      <c r="SU502"/>
      <c r="SV502"/>
      <c r="SW502"/>
      <c r="SX502"/>
      <c r="SY502"/>
      <c r="SZ502"/>
      <c r="TA502"/>
      <c r="TB502"/>
      <c r="TC502"/>
      <c r="TD502"/>
      <c r="TE502"/>
      <c r="TF502"/>
      <c r="TG502"/>
      <c r="TH502"/>
    </row>
    <row r="503" spans="3:528" x14ac:dyDescent="0.25">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c r="KT503"/>
      <c r="KU503"/>
      <c r="KV503"/>
      <c r="KW503"/>
      <c r="KX503"/>
      <c r="KY503"/>
      <c r="KZ503"/>
      <c r="LA503"/>
      <c r="LB503"/>
      <c r="LC503"/>
      <c r="LD503"/>
      <c r="LE503"/>
      <c r="LF503"/>
      <c r="LG503"/>
      <c r="LH503"/>
      <c r="LI503"/>
      <c r="LJ503"/>
      <c r="LK503"/>
      <c r="LL503"/>
      <c r="LM503"/>
      <c r="LN503"/>
      <c r="LO503"/>
      <c r="LP503"/>
      <c r="LQ503"/>
      <c r="LR503"/>
      <c r="LS503"/>
      <c r="LT503"/>
      <c r="LU503"/>
      <c r="LV503"/>
      <c r="LW503"/>
      <c r="LX503"/>
      <c r="LY503"/>
      <c r="LZ503"/>
      <c r="MA503"/>
      <c r="MB503"/>
      <c r="MC503"/>
      <c r="MD503"/>
      <c r="ME503"/>
      <c r="MF503"/>
      <c r="MG503"/>
      <c r="MH503"/>
      <c r="MI503"/>
      <c r="MJ503"/>
      <c r="MK503"/>
      <c r="ML503"/>
      <c r="MM503"/>
      <c r="MN503"/>
      <c r="MO503"/>
      <c r="MP503"/>
      <c r="MQ503"/>
      <c r="MR503"/>
      <c r="MS503"/>
      <c r="MT503"/>
      <c r="MU503"/>
      <c r="MV503"/>
      <c r="MW503"/>
      <c r="MX503"/>
      <c r="MY503"/>
      <c r="MZ503"/>
      <c r="NA503"/>
      <c r="NB503"/>
      <c r="NC503"/>
      <c r="ND503"/>
      <c r="NE503"/>
      <c r="NF503"/>
      <c r="NG503"/>
      <c r="NH503"/>
      <c r="NI503"/>
      <c r="NJ503"/>
      <c r="NK503"/>
      <c r="NL503"/>
      <c r="NM503"/>
      <c r="NN503"/>
      <c r="NO503"/>
      <c r="NP503"/>
      <c r="NQ503"/>
      <c r="NR503"/>
      <c r="NS503"/>
      <c r="NT503"/>
      <c r="NU503"/>
      <c r="NV503"/>
      <c r="NW503"/>
      <c r="NX503"/>
      <c r="NY503"/>
      <c r="NZ503"/>
      <c r="OA503"/>
      <c r="OB503"/>
      <c r="OC503"/>
      <c r="OD503"/>
      <c r="OE503"/>
      <c r="OF503"/>
      <c r="OG503"/>
      <c r="OH503"/>
      <c r="OI503"/>
      <c r="OJ503"/>
      <c r="OK503"/>
      <c r="OL503"/>
      <c r="OM503"/>
      <c r="ON503"/>
      <c r="OO503"/>
      <c r="OP503"/>
      <c r="OQ503"/>
      <c r="OR503"/>
      <c r="OS503"/>
      <c r="OT503"/>
      <c r="OU503"/>
      <c r="OV503"/>
      <c r="OW503"/>
      <c r="OX503"/>
      <c r="OY503"/>
      <c r="OZ503"/>
      <c r="PA503"/>
      <c r="PB503"/>
      <c r="PC503"/>
      <c r="PD503"/>
      <c r="PE503"/>
      <c r="PF503"/>
      <c r="PG503"/>
      <c r="PH503"/>
      <c r="PI503"/>
      <c r="PJ503"/>
      <c r="PK503"/>
      <c r="PL503"/>
      <c r="PM503"/>
      <c r="PN503"/>
      <c r="PO503"/>
      <c r="PP503"/>
      <c r="PQ503"/>
      <c r="PR503"/>
      <c r="PS503"/>
      <c r="PT503"/>
      <c r="PU503"/>
      <c r="PV503"/>
      <c r="PW503"/>
      <c r="PX503"/>
      <c r="PY503"/>
      <c r="PZ503"/>
      <c r="QA503"/>
      <c r="QB503"/>
      <c r="QC503"/>
      <c r="QD503"/>
      <c r="QE503"/>
      <c r="QF503"/>
      <c r="QG503"/>
      <c r="QH503"/>
      <c r="QI503"/>
      <c r="QJ503"/>
      <c r="QK503"/>
      <c r="QL503"/>
      <c r="QM503"/>
      <c r="QN503"/>
      <c r="QO503"/>
      <c r="QP503"/>
      <c r="QQ503"/>
      <c r="QR503"/>
      <c r="QS503"/>
      <c r="QT503"/>
      <c r="QU503"/>
      <c r="QV503"/>
      <c r="QW503"/>
      <c r="QX503"/>
      <c r="QY503"/>
      <c r="QZ503"/>
      <c r="RA503"/>
      <c r="RB503"/>
      <c r="RC503"/>
      <c r="RD503"/>
      <c r="RE503"/>
      <c r="RF503"/>
      <c r="RG503"/>
      <c r="RH503"/>
      <c r="RI503"/>
      <c r="RJ503"/>
      <c r="RK503"/>
      <c r="RL503"/>
      <c r="RM503"/>
      <c r="RN503"/>
      <c r="RO503"/>
      <c r="RP503"/>
      <c r="RQ503"/>
      <c r="RR503"/>
      <c r="RS503"/>
      <c r="RT503"/>
      <c r="RU503"/>
      <c r="RV503"/>
      <c r="RW503"/>
      <c r="RX503"/>
      <c r="RY503"/>
      <c r="RZ503"/>
      <c r="SA503"/>
      <c r="SB503"/>
      <c r="SC503"/>
      <c r="SD503"/>
      <c r="SE503"/>
      <c r="SF503"/>
      <c r="SG503"/>
      <c r="SH503"/>
      <c r="SI503"/>
      <c r="SJ503"/>
      <c r="SK503"/>
      <c r="SL503"/>
      <c r="SM503"/>
      <c r="SN503"/>
      <c r="SO503"/>
      <c r="SP503"/>
      <c r="SQ503"/>
      <c r="SR503"/>
      <c r="SS503"/>
      <c r="ST503"/>
      <c r="SU503"/>
      <c r="SV503"/>
      <c r="SW503"/>
      <c r="SX503"/>
      <c r="SY503"/>
      <c r="SZ503"/>
      <c r="TA503"/>
      <c r="TB503"/>
      <c r="TC503"/>
      <c r="TD503"/>
      <c r="TE503"/>
      <c r="TF503"/>
      <c r="TG503"/>
      <c r="TH503"/>
    </row>
    <row r="504" spans="3:528" x14ac:dyDescent="0.25">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c r="KT504"/>
      <c r="KU504"/>
      <c r="KV504"/>
      <c r="KW504"/>
      <c r="KX504"/>
      <c r="KY504"/>
      <c r="KZ504"/>
      <c r="LA504"/>
      <c r="LB504"/>
      <c r="LC504"/>
      <c r="LD504"/>
      <c r="LE504"/>
      <c r="LF504"/>
      <c r="LG504"/>
      <c r="LH504"/>
      <c r="LI504"/>
      <c r="LJ504"/>
      <c r="LK504"/>
      <c r="LL504"/>
      <c r="LM504"/>
      <c r="LN504"/>
      <c r="LO504"/>
      <c r="LP504"/>
      <c r="LQ504"/>
      <c r="LR504"/>
      <c r="LS504"/>
      <c r="LT504"/>
      <c r="LU504"/>
      <c r="LV504"/>
      <c r="LW504"/>
      <c r="LX504"/>
      <c r="LY504"/>
      <c r="LZ504"/>
      <c r="MA504"/>
      <c r="MB504"/>
      <c r="MC504"/>
      <c r="MD504"/>
      <c r="ME504"/>
      <c r="MF504"/>
      <c r="MG504"/>
      <c r="MH504"/>
      <c r="MI504"/>
      <c r="MJ504"/>
      <c r="MK504"/>
      <c r="ML504"/>
      <c r="MM504"/>
      <c r="MN504"/>
      <c r="MO504"/>
      <c r="MP504"/>
      <c r="MQ504"/>
      <c r="MR504"/>
      <c r="MS504"/>
      <c r="MT504"/>
      <c r="MU504"/>
      <c r="MV504"/>
      <c r="MW504"/>
      <c r="MX504"/>
      <c r="MY504"/>
      <c r="MZ504"/>
      <c r="NA504"/>
      <c r="NB504"/>
      <c r="NC504"/>
      <c r="ND504"/>
      <c r="NE504"/>
      <c r="NF504"/>
      <c r="NG504"/>
      <c r="NH504"/>
      <c r="NI504"/>
      <c r="NJ504"/>
      <c r="NK504"/>
      <c r="NL504"/>
      <c r="NM504"/>
      <c r="NN504"/>
      <c r="NO504"/>
      <c r="NP504"/>
      <c r="NQ504"/>
      <c r="NR504"/>
      <c r="NS504"/>
      <c r="NT504"/>
      <c r="NU504"/>
      <c r="NV504"/>
      <c r="NW504"/>
      <c r="NX504"/>
      <c r="NY504"/>
      <c r="NZ504"/>
      <c r="OA504"/>
      <c r="OB504"/>
      <c r="OC504"/>
      <c r="OD504"/>
      <c r="OE504"/>
      <c r="OF504"/>
      <c r="OG504"/>
      <c r="OH504"/>
      <c r="OI504"/>
      <c r="OJ504"/>
      <c r="OK504"/>
      <c r="OL504"/>
      <c r="OM504"/>
      <c r="ON504"/>
      <c r="OO504"/>
      <c r="OP504"/>
      <c r="OQ504"/>
      <c r="OR504"/>
      <c r="OS504"/>
      <c r="OT504"/>
      <c r="OU504"/>
      <c r="OV504"/>
      <c r="OW504"/>
      <c r="OX504"/>
      <c r="OY504"/>
      <c r="OZ504"/>
      <c r="PA504"/>
      <c r="PB504"/>
      <c r="PC504"/>
      <c r="PD504"/>
      <c r="PE504"/>
      <c r="PF504"/>
      <c r="PG504"/>
      <c r="PH504"/>
      <c r="PI504"/>
      <c r="PJ504"/>
      <c r="PK504"/>
      <c r="PL504"/>
      <c r="PM504"/>
      <c r="PN504"/>
      <c r="PO504"/>
      <c r="PP504"/>
      <c r="PQ504"/>
      <c r="PR504"/>
      <c r="PS504"/>
      <c r="PT504"/>
      <c r="PU504"/>
      <c r="PV504"/>
      <c r="PW504"/>
      <c r="PX504"/>
      <c r="PY504"/>
      <c r="PZ504"/>
      <c r="QA504"/>
      <c r="QB504"/>
      <c r="QC504"/>
      <c r="QD504"/>
      <c r="QE504"/>
      <c r="QF504"/>
      <c r="QG504"/>
      <c r="QH504"/>
      <c r="QI504"/>
      <c r="QJ504"/>
      <c r="QK504"/>
      <c r="QL504"/>
      <c r="QM504"/>
      <c r="QN504"/>
      <c r="QO504"/>
      <c r="QP504"/>
      <c r="QQ504"/>
      <c r="QR504"/>
      <c r="QS504"/>
      <c r="QT504"/>
      <c r="QU504"/>
      <c r="QV504"/>
      <c r="QW504"/>
      <c r="QX504"/>
      <c r="QY504"/>
      <c r="QZ504"/>
      <c r="RA504"/>
      <c r="RB504"/>
      <c r="RC504"/>
      <c r="RD504"/>
      <c r="RE504"/>
      <c r="RF504"/>
      <c r="RG504"/>
      <c r="RH504"/>
      <c r="RI504"/>
      <c r="RJ504"/>
      <c r="RK504"/>
      <c r="RL504"/>
      <c r="RM504"/>
      <c r="RN504"/>
      <c r="RO504"/>
      <c r="RP504"/>
      <c r="RQ504"/>
      <c r="RR504"/>
      <c r="RS504"/>
      <c r="RT504"/>
      <c r="RU504"/>
      <c r="RV504"/>
      <c r="RW504"/>
      <c r="RX504"/>
      <c r="RY504"/>
      <c r="RZ504"/>
      <c r="SA504"/>
      <c r="SB504"/>
      <c r="SC504"/>
      <c r="SD504"/>
      <c r="SE504"/>
      <c r="SF504"/>
      <c r="SG504"/>
      <c r="SH504"/>
      <c r="SI504"/>
      <c r="SJ504"/>
      <c r="SK504"/>
      <c r="SL504"/>
      <c r="SM504"/>
      <c r="SN504"/>
      <c r="SO504"/>
      <c r="SP504"/>
      <c r="SQ504"/>
      <c r="SR504"/>
      <c r="SS504"/>
      <c r="ST504"/>
      <c r="SU504"/>
      <c r="SV504"/>
      <c r="SW504"/>
      <c r="SX504"/>
      <c r="SY504"/>
      <c r="SZ504"/>
      <c r="TA504"/>
      <c r="TB504"/>
      <c r="TC504"/>
      <c r="TD504"/>
      <c r="TE504"/>
      <c r="TF504"/>
      <c r="TG504"/>
      <c r="TH504"/>
    </row>
    <row r="505" spans="3:528" x14ac:dyDescent="0.2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c r="KT505"/>
      <c r="KU505"/>
      <c r="KV505"/>
      <c r="KW505"/>
      <c r="KX505"/>
      <c r="KY505"/>
      <c r="KZ505"/>
      <c r="LA505"/>
      <c r="LB505"/>
      <c r="LC505"/>
      <c r="LD505"/>
      <c r="LE505"/>
      <c r="LF505"/>
      <c r="LG505"/>
      <c r="LH505"/>
      <c r="LI505"/>
      <c r="LJ505"/>
      <c r="LK505"/>
      <c r="LL505"/>
      <c r="LM505"/>
      <c r="LN505"/>
      <c r="LO505"/>
      <c r="LP505"/>
      <c r="LQ505"/>
      <c r="LR505"/>
      <c r="LS505"/>
      <c r="LT505"/>
      <c r="LU505"/>
      <c r="LV505"/>
      <c r="LW505"/>
      <c r="LX505"/>
      <c r="LY505"/>
      <c r="LZ505"/>
      <c r="MA505"/>
      <c r="MB505"/>
      <c r="MC505"/>
      <c r="MD505"/>
      <c r="ME505"/>
      <c r="MF505"/>
      <c r="MG505"/>
      <c r="MH505"/>
      <c r="MI505"/>
      <c r="MJ505"/>
      <c r="MK505"/>
      <c r="ML505"/>
      <c r="MM505"/>
      <c r="MN505"/>
      <c r="MO505"/>
      <c r="MP505"/>
      <c r="MQ505"/>
      <c r="MR505"/>
      <c r="MS505"/>
      <c r="MT505"/>
      <c r="MU505"/>
      <c r="MV505"/>
      <c r="MW505"/>
      <c r="MX505"/>
      <c r="MY505"/>
      <c r="MZ505"/>
      <c r="NA505"/>
      <c r="NB505"/>
      <c r="NC505"/>
      <c r="ND505"/>
      <c r="NE505"/>
      <c r="NF505"/>
      <c r="NG505"/>
      <c r="NH505"/>
      <c r="NI505"/>
      <c r="NJ505"/>
      <c r="NK505"/>
      <c r="NL505"/>
      <c r="NM505"/>
      <c r="NN505"/>
      <c r="NO505"/>
      <c r="NP505"/>
      <c r="NQ505"/>
      <c r="NR505"/>
      <c r="NS505"/>
      <c r="NT505"/>
      <c r="NU505"/>
      <c r="NV505"/>
      <c r="NW505"/>
      <c r="NX505"/>
      <c r="NY505"/>
      <c r="NZ505"/>
      <c r="OA505"/>
      <c r="OB505"/>
      <c r="OC505"/>
      <c r="OD505"/>
      <c r="OE505"/>
      <c r="OF505"/>
      <c r="OG505"/>
      <c r="OH505"/>
      <c r="OI505"/>
      <c r="OJ505"/>
      <c r="OK505"/>
      <c r="OL505"/>
      <c r="OM505"/>
      <c r="ON505"/>
      <c r="OO505"/>
      <c r="OP505"/>
      <c r="OQ505"/>
      <c r="OR505"/>
      <c r="OS505"/>
      <c r="OT505"/>
      <c r="OU505"/>
      <c r="OV505"/>
      <c r="OW505"/>
      <c r="OX505"/>
      <c r="OY505"/>
      <c r="OZ505"/>
      <c r="PA505"/>
      <c r="PB505"/>
      <c r="PC505"/>
      <c r="PD505"/>
      <c r="PE505"/>
      <c r="PF505"/>
      <c r="PG505"/>
      <c r="PH505"/>
      <c r="PI505"/>
      <c r="PJ505"/>
      <c r="PK505"/>
      <c r="PL505"/>
      <c r="PM505"/>
      <c r="PN505"/>
      <c r="PO505"/>
      <c r="PP505"/>
      <c r="PQ505"/>
      <c r="PR505"/>
      <c r="PS505"/>
      <c r="PT505"/>
      <c r="PU505"/>
      <c r="PV505"/>
      <c r="PW505"/>
      <c r="PX505"/>
      <c r="PY505"/>
      <c r="PZ505"/>
      <c r="QA505"/>
      <c r="QB505"/>
      <c r="QC505"/>
      <c r="QD505"/>
      <c r="QE505"/>
      <c r="QF505"/>
      <c r="QG505"/>
      <c r="QH505"/>
      <c r="QI505"/>
      <c r="QJ505"/>
      <c r="QK505"/>
      <c r="QL505"/>
      <c r="QM505"/>
      <c r="QN505"/>
      <c r="QO505"/>
      <c r="QP505"/>
      <c r="QQ505"/>
      <c r="QR505"/>
      <c r="QS505"/>
      <c r="QT505"/>
      <c r="QU505"/>
      <c r="QV505"/>
      <c r="QW505"/>
      <c r="QX505"/>
      <c r="QY505"/>
      <c r="QZ505"/>
      <c r="RA505"/>
      <c r="RB505"/>
      <c r="RC505"/>
      <c r="RD505"/>
      <c r="RE505"/>
      <c r="RF505"/>
      <c r="RG505"/>
      <c r="RH505"/>
      <c r="RI505"/>
      <c r="RJ505"/>
      <c r="RK505"/>
      <c r="RL505"/>
      <c r="RM505"/>
      <c r="RN505"/>
      <c r="RO505"/>
      <c r="RP505"/>
      <c r="RQ505"/>
      <c r="RR505"/>
      <c r="RS505"/>
      <c r="RT505"/>
      <c r="RU505"/>
      <c r="RV505"/>
      <c r="RW505"/>
      <c r="RX505"/>
      <c r="RY505"/>
      <c r="RZ505"/>
      <c r="SA505"/>
      <c r="SB505"/>
      <c r="SC505"/>
      <c r="SD505"/>
      <c r="SE505"/>
      <c r="SF505"/>
      <c r="SG505"/>
      <c r="SH505"/>
      <c r="SI505"/>
      <c r="SJ505"/>
      <c r="SK505"/>
      <c r="SL505"/>
      <c r="SM505"/>
      <c r="SN505"/>
      <c r="SO505"/>
      <c r="SP505"/>
      <c r="SQ505"/>
      <c r="SR505"/>
      <c r="SS505"/>
      <c r="ST505"/>
      <c r="SU505"/>
      <c r="SV505"/>
      <c r="SW505"/>
      <c r="SX505"/>
      <c r="SY505"/>
      <c r="SZ505"/>
      <c r="TA505"/>
      <c r="TB505"/>
      <c r="TC505"/>
      <c r="TD505"/>
      <c r="TE505"/>
      <c r="TF505"/>
      <c r="TG505"/>
      <c r="TH505"/>
    </row>
    <row r="506" spans="3:528" x14ac:dyDescent="0.25">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c r="KT506"/>
      <c r="KU506"/>
      <c r="KV506"/>
      <c r="KW506"/>
      <c r="KX506"/>
      <c r="KY506"/>
      <c r="KZ506"/>
      <c r="LA506"/>
      <c r="LB506"/>
      <c r="LC506"/>
      <c r="LD506"/>
      <c r="LE506"/>
      <c r="LF506"/>
      <c r="LG506"/>
      <c r="LH506"/>
      <c r="LI506"/>
      <c r="LJ506"/>
      <c r="LK506"/>
      <c r="LL506"/>
      <c r="LM506"/>
      <c r="LN506"/>
      <c r="LO506"/>
      <c r="LP506"/>
      <c r="LQ506"/>
      <c r="LR506"/>
      <c r="LS506"/>
      <c r="LT506"/>
      <c r="LU506"/>
      <c r="LV506"/>
      <c r="LW506"/>
      <c r="LX506"/>
      <c r="LY506"/>
      <c r="LZ506"/>
      <c r="MA506"/>
      <c r="MB506"/>
      <c r="MC506"/>
      <c r="MD506"/>
      <c r="ME506"/>
      <c r="MF506"/>
      <c r="MG506"/>
      <c r="MH506"/>
      <c r="MI506"/>
      <c r="MJ506"/>
      <c r="MK506"/>
      <c r="ML506"/>
      <c r="MM506"/>
      <c r="MN506"/>
      <c r="MO506"/>
      <c r="MP506"/>
      <c r="MQ506"/>
      <c r="MR506"/>
      <c r="MS506"/>
      <c r="MT506"/>
      <c r="MU506"/>
      <c r="MV506"/>
      <c r="MW506"/>
      <c r="MX506"/>
      <c r="MY506"/>
      <c r="MZ506"/>
      <c r="NA506"/>
      <c r="NB506"/>
      <c r="NC506"/>
      <c r="ND506"/>
      <c r="NE506"/>
      <c r="NF506"/>
      <c r="NG506"/>
      <c r="NH506"/>
      <c r="NI506"/>
      <c r="NJ506"/>
      <c r="NK506"/>
      <c r="NL506"/>
      <c r="NM506"/>
      <c r="NN506"/>
      <c r="NO506"/>
      <c r="NP506"/>
      <c r="NQ506"/>
      <c r="NR506"/>
      <c r="NS506"/>
      <c r="NT506"/>
      <c r="NU506"/>
      <c r="NV506"/>
      <c r="NW506"/>
      <c r="NX506"/>
      <c r="NY506"/>
      <c r="NZ506"/>
      <c r="OA506"/>
      <c r="OB506"/>
      <c r="OC506"/>
      <c r="OD506"/>
      <c r="OE506"/>
      <c r="OF506"/>
      <c r="OG506"/>
      <c r="OH506"/>
      <c r="OI506"/>
      <c r="OJ506"/>
      <c r="OK506"/>
      <c r="OL506"/>
      <c r="OM506"/>
      <c r="ON506"/>
      <c r="OO506"/>
      <c r="OP506"/>
      <c r="OQ506"/>
      <c r="OR506"/>
      <c r="OS506"/>
      <c r="OT506"/>
      <c r="OU506"/>
      <c r="OV506"/>
      <c r="OW506"/>
      <c r="OX506"/>
      <c r="OY506"/>
      <c r="OZ506"/>
      <c r="PA506"/>
      <c r="PB506"/>
      <c r="PC506"/>
      <c r="PD506"/>
      <c r="PE506"/>
      <c r="PF506"/>
      <c r="PG506"/>
      <c r="PH506"/>
      <c r="PI506"/>
      <c r="PJ506"/>
      <c r="PK506"/>
      <c r="PL506"/>
      <c r="PM506"/>
      <c r="PN506"/>
      <c r="PO506"/>
      <c r="PP506"/>
      <c r="PQ506"/>
      <c r="PR506"/>
      <c r="PS506"/>
      <c r="PT506"/>
      <c r="PU506"/>
      <c r="PV506"/>
      <c r="PW506"/>
      <c r="PX506"/>
      <c r="PY506"/>
      <c r="PZ506"/>
      <c r="QA506"/>
      <c r="QB506"/>
      <c r="QC506"/>
      <c r="QD506"/>
      <c r="QE506"/>
      <c r="QF506"/>
      <c r="QG506"/>
      <c r="QH506"/>
      <c r="QI506"/>
      <c r="QJ506"/>
      <c r="QK506"/>
      <c r="QL506"/>
      <c r="QM506"/>
      <c r="QN506"/>
      <c r="QO506"/>
      <c r="QP506"/>
      <c r="QQ506"/>
      <c r="QR506"/>
      <c r="QS506"/>
      <c r="QT506"/>
      <c r="QU506"/>
      <c r="QV506"/>
      <c r="QW506"/>
      <c r="QX506"/>
      <c r="QY506"/>
      <c r="QZ506"/>
      <c r="RA506"/>
      <c r="RB506"/>
      <c r="RC506"/>
      <c r="RD506"/>
      <c r="RE506"/>
      <c r="RF506"/>
      <c r="RG506"/>
      <c r="RH506"/>
      <c r="RI506"/>
      <c r="RJ506"/>
      <c r="RK506"/>
      <c r="RL506"/>
      <c r="RM506"/>
      <c r="RN506"/>
      <c r="RO506"/>
      <c r="RP506"/>
      <c r="RQ506"/>
      <c r="RR506"/>
      <c r="RS506"/>
      <c r="RT506"/>
      <c r="RU506"/>
      <c r="RV506"/>
      <c r="RW506"/>
      <c r="RX506"/>
      <c r="RY506"/>
      <c r="RZ506"/>
      <c r="SA506"/>
      <c r="SB506"/>
      <c r="SC506"/>
      <c r="SD506"/>
      <c r="SE506"/>
      <c r="SF506"/>
      <c r="SG506"/>
      <c r="SH506"/>
      <c r="SI506"/>
      <c r="SJ506"/>
      <c r="SK506"/>
      <c r="SL506"/>
      <c r="SM506"/>
      <c r="SN506"/>
      <c r="SO506"/>
      <c r="SP506"/>
      <c r="SQ506"/>
      <c r="SR506"/>
      <c r="SS506"/>
      <c r="ST506"/>
      <c r="SU506"/>
      <c r="SV506"/>
      <c r="SW506"/>
      <c r="SX506"/>
      <c r="SY506"/>
      <c r="SZ506"/>
      <c r="TA506"/>
      <c r="TB506"/>
      <c r="TC506"/>
      <c r="TD506"/>
      <c r="TE506"/>
      <c r="TF506"/>
      <c r="TG506"/>
      <c r="TH506"/>
    </row>
    <row r="507" spans="3:528" x14ac:dyDescent="0.25">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c r="KT507"/>
      <c r="KU507"/>
      <c r="KV507"/>
      <c r="KW507"/>
      <c r="KX507"/>
      <c r="KY507"/>
      <c r="KZ507"/>
      <c r="LA507"/>
      <c r="LB507"/>
      <c r="LC507"/>
      <c r="LD507"/>
      <c r="LE507"/>
      <c r="LF507"/>
      <c r="LG507"/>
      <c r="LH507"/>
      <c r="LI507"/>
      <c r="LJ507"/>
      <c r="LK507"/>
      <c r="LL507"/>
      <c r="LM507"/>
      <c r="LN507"/>
      <c r="LO507"/>
      <c r="LP507"/>
      <c r="LQ507"/>
      <c r="LR507"/>
      <c r="LS507"/>
      <c r="LT507"/>
      <c r="LU507"/>
      <c r="LV507"/>
      <c r="LW507"/>
      <c r="LX507"/>
      <c r="LY507"/>
      <c r="LZ507"/>
      <c r="MA507"/>
      <c r="MB507"/>
      <c r="MC507"/>
      <c r="MD507"/>
      <c r="ME507"/>
      <c r="MF507"/>
      <c r="MG507"/>
      <c r="MH507"/>
      <c r="MI507"/>
      <c r="MJ507"/>
      <c r="MK507"/>
      <c r="ML507"/>
      <c r="MM507"/>
      <c r="MN507"/>
      <c r="MO507"/>
      <c r="MP507"/>
      <c r="MQ507"/>
      <c r="MR507"/>
      <c r="MS507"/>
      <c r="MT507"/>
      <c r="MU507"/>
      <c r="MV507"/>
      <c r="MW507"/>
      <c r="MX507"/>
      <c r="MY507"/>
      <c r="MZ507"/>
      <c r="NA507"/>
      <c r="NB507"/>
      <c r="NC507"/>
      <c r="ND507"/>
      <c r="NE507"/>
      <c r="NF507"/>
      <c r="NG507"/>
      <c r="NH507"/>
      <c r="NI507"/>
      <c r="NJ507"/>
      <c r="NK507"/>
      <c r="NL507"/>
      <c r="NM507"/>
      <c r="NN507"/>
      <c r="NO507"/>
      <c r="NP507"/>
      <c r="NQ507"/>
      <c r="NR507"/>
      <c r="NS507"/>
      <c r="NT507"/>
      <c r="NU507"/>
      <c r="NV507"/>
      <c r="NW507"/>
      <c r="NX507"/>
      <c r="NY507"/>
      <c r="NZ507"/>
      <c r="OA507"/>
      <c r="OB507"/>
      <c r="OC507"/>
      <c r="OD507"/>
      <c r="OE507"/>
      <c r="OF507"/>
      <c r="OG507"/>
      <c r="OH507"/>
      <c r="OI507"/>
      <c r="OJ507"/>
      <c r="OK507"/>
      <c r="OL507"/>
      <c r="OM507"/>
      <c r="ON507"/>
      <c r="OO507"/>
      <c r="OP507"/>
      <c r="OQ507"/>
      <c r="OR507"/>
      <c r="OS507"/>
      <c r="OT507"/>
      <c r="OU507"/>
      <c r="OV507"/>
      <c r="OW507"/>
      <c r="OX507"/>
      <c r="OY507"/>
      <c r="OZ507"/>
      <c r="PA507"/>
      <c r="PB507"/>
      <c r="PC507"/>
      <c r="PD507"/>
      <c r="PE507"/>
      <c r="PF507"/>
      <c r="PG507"/>
      <c r="PH507"/>
      <c r="PI507"/>
      <c r="PJ507"/>
      <c r="PK507"/>
      <c r="PL507"/>
      <c r="PM507"/>
      <c r="PN507"/>
      <c r="PO507"/>
      <c r="PP507"/>
      <c r="PQ507"/>
      <c r="PR507"/>
      <c r="PS507"/>
      <c r="PT507"/>
      <c r="PU507"/>
      <c r="PV507"/>
      <c r="PW507"/>
      <c r="PX507"/>
      <c r="PY507"/>
      <c r="PZ507"/>
      <c r="QA507"/>
      <c r="QB507"/>
      <c r="QC507"/>
      <c r="QD507"/>
      <c r="QE507"/>
      <c r="QF507"/>
      <c r="QG507"/>
      <c r="QH507"/>
      <c r="QI507"/>
      <c r="QJ507"/>
      <c r="QK507"/>
      <c r="QL507"/>
      <c r="QM507"/>
      <c r="QN507"/>
      <c r="QO507"/>
      <c r="QP507"/>
      <c r="QQ507"/>
      <c r="QR507"/>
      <c r="QS507"/>
      <c r="QT507"/>
      <c r="QU507"/>
      <c r="QV507"/>
      <c r="QW507"/>
      <c r="QX507"/>
      <c r="QY507"/>
      <c r="QZ507"/>
      <c r="RA507"/>
      <c r="RB507"/>
      <c r="RC507"/>
      <c r="RD507"/>
      <c r="RE507"/>
      <c r="RF507"/>
      <c r="RG507"/>
      <c r="RH507"/>
      <c r="RI507"/>
      <c r="RJ507"/>
      <c r="RK507"/>
      <c r="RL507"/>
      <c r="RM507"/>
      <c r="RN507"/>
      <c r="RO507"/>
      <c r="RP507"/>
      <c r="RQ507"/>
      <c r="RR507"/>
      <c r="RS507"/>
      <c r="RT507"/>
      <c r="RU507"/>
      <c r="RV507"/>
      <c r="RW507"/>
      <c r="RX507"/>
      <c r="RY507"/>
      <c r="RZ507"/>
      <c r="SA507"/>
      <c r="SB507"/>
      <c r="SC507"/>
      <c r="SD507"/>
      <c r="SE507"/>
      <c r="SF507"/>
      <c r="SG507"/>
      <c r="SH507"/>
      <c r="SI507"/>
      <c r="SJ507"/>
      <c r="SK507"/>
      <c r="SL507"/>
      <c r="SM507"/>
      <c r="SN507"/>
      <c r="SO507"/>
      <c r="SP507"/>
      <c r="SQ507"/>
      <c r="SR507"/>
      <c r="SS507"/>
      <c r="ST507"/>
      <c r="SU507"/>
      <c r="SV507"/>
      <c r="SW507"/>
      <c r="SX507"/>
      <c r="SY507"/>
      <c r="SZ507"/>
      <c r="TA507"/>
      <c r="TB507"/>
      <c r="TC507"/>
      <c r="TD507"/>
      <c r="TE507"/>
      <c r="TF507"/>
      <c r="TG507"/>
      <c r="TH507"/>
    </row>
    <row r="508" spans="3:528" x14ac:dyDescent="0.25">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c r="KT508"/>
      <c r="KU508"/>
      <c r="KV508"/>
      <c r="KW508"/>
      <c r="KX508"/>
      <c r="KY508"/>
      <c r="KZ508"/>
      <c r="LA508"/>
      <c r="LB508"/>
      <c r="LC508"/>
      <c r="LD508"/>
      <c r="LE508"/>
      <c r="LF508"/>
      <c r="LG508"/>
      <c r="LH508"/>
      <c r="LI508"/>
      <c r="LJ508"/>
      <c r="LK508"/>
      <c r="LL508"/>
      <c r="LM508"/>
      <c r="LN508"/>
      <c r="LO508"/>
      <c r="LP508"/>
      <c r="LQ508"/>
      <c r="LR508"/>
      <c r="LS508"/>
      <c r="LT508"/>
      <c r="LU508"/>
      <c r="LV508"/>
      <c r="LW508"/>
      <c r="LX508"/>
      <c r="LY508"/>
      <c r="LZ508"/>
      <c r="MA508"/>
      <c r="MB508"/>
      <c r="MC508"/>
      <c r="MD508"/>
      <c r="ME508"/>
      <c r="MF508"/>
      <c r="MG508"/>
      <c r="MH508"/>
      <c r="MI508"/>
      <c r="MJ508"/>
      <c r="MK508"/>
      <c r="ML508"/>
      <c r="MM508"/>
      <c r="MN508"/>
      <c r="MO508"/>
      <c r="MP508"/>
      <c r="MQ508"/>
      <c r="MR508"/>
      <c r="MS508"/>
      <c r="MT508"/>
      <c r="MU508"/>
      <c r="MV508"/>
      <c r="MW508"/>
      <c r="MX508"/>
      <c r="MY508"/>
      <c r="MZ508"/>
      <c r="NA508"/>
      <c r="NB508"/>
      <c r="NC508"/>
      <c r="ND508"/>
      <c r="NE508"/>
      <c r="NF508"/>
      <c r="NG508"/>
      <c r="NH508"/>
      <c r="NI508"/>
      <c r="NJ508"/>
      <c r="NK508"/>
      <c r="NL508"/>
      <c r="NM508"/>
      <c r="NN508"/>
      <c r="NO508"/>
      <c r="NP508"/>
      <c r="NQ508"/>
      <c r="NR508"/>
      <c r="NS508"/>
      <c r="NT508"/>
      <c r="NU508"/>
      <c r="NV508"/>
      <c r="NW508"/>
      <c r="NX508"/>
      <c r="NY508"/>
      <c r="NZ508"/>
      <c r="OA508"/>
      <c r="OB508"/>
      <c r="OC508"/>
      <c r="OD508"/>
      <c r="OE508"/>
      <c r="OF508"/>
      <c r="OG508"/>
      <c r="OH508"/>
      <c r="OI508"/>
      <c r="OJ508"/>
      <c r="OK508"/>
      <c r="OL508"/>
      <c r="OM508"/>
      <c r="ON508"/>
      <c r="OO508"/>
      <c r="OP508"/>
      <c r="OQ508"/>
      <c r="OR508"/>
      <c r="OS508"/>
      <c r="OT508"/>
      <c r="OU508"/>
      <c r="OV508"/>
      <c r="OW508"/>
      <c r="OX508"/>
      <c r="OY508"/>
      <c r="OZ508"/>
      <c r="PA508"/>
      <c r="PB508"/>
      <c r="PC508"/>
      <c r="PD508"/>
      <c r="PE508"/>
      <c r="PF508"/>
      <c r="PG508"/>
      <c r="PH508"/>
      <c r="PI508"/>
      <c r="PJ508"/>
      <c r="PK508"/>
      <c r="PL508"/>
      <c r="PM508"/>
      <c r="PN508"/>
      <c r="PO508"/>
      <c r="PP508"/>
      <c r="PQ508"/>
      <c r="PR508"/>
      <c r="PS508"/>
      <c r="PT508"/>
      <c r="PU508"/>
      <c r="PV508"/>
      <c r="PW508"/>
      <c r="PX508"/>
      <c r="PY508"/>
      <c r="PZ508"/>
      <c r="QA508"/>
      <c r="QB508"/>
      <c r="QC508"/>
      <c r="QD508"/>
      <c r="QE508"/>
      <c r="QF508"/>
      <c r="QG508"/>
      <c r="QH508"/>
      <c r="QI508"/>
      <c r="QJ508"/>
      <c r="QK508"/>
      <c r="QL508"/>
      <c r="QM508"/>
      <c r="QN508"/>
      <c r="QO508"/>
      <c r="QP508"/>
      <c r="QQ508"/>
      <c r="QR508"/>
      <c r="QS508"/>
      <c r="QT508"/>
      <c r="QU508"/>
      <c r="QV508"/>
      <c r="QW508"/>
      <c r="QX508"/>
      <c r="QY508"/>
      <c r="QZ508"/>
      <c r="RA508"/>
      <c r="RB508"/>
      <c r="RC508"/>
      <c r="RD508"/>
      <c r="RE508"/>
      <c r="RF508"/>
      <c r="RG508"/>
      <c r="RH508"/>
      <c r="RI508"/>
      <c r="RJ508"/>
      <c r="RK508"/>
      <c r="RL508"/>
      <c r="RM508"/>
      <c r="RN508"/>
      <c r="RO508"/>
      <c r="RP508"/>
      <c r="RQ508"/>
      <c r="RR508"/>
      <c r="RS508"/>
      <c r="RT508"/>
      <c r="RU508"/>
      <c r="RV508"/>
      <c r="RW508"/>
      <c r="RX508"/>
      <c r="RY508"/>
      <c r="RZ508"/>
      <c r="SA508"/>
      <c r="SB508"/>
      <c r="SC508"/>
      <c r="SD508"/>
      <c r="SE508"/>
      <c r="SF508"/>
      <c r="SG508"/>
      <c r="SH508"/>
      <c r="SI508"/>
      <c r="SJ508"/>
      <c r="SK508"/>
      <c r="SL508"/>
      <c r="SM508"/>
      <c r="SN508"/>
      <c r="SO508"/>
      <c r="SP508"/>
      <c r="SQ508"/>
      <c r="SR508"/>
      <c r="SS508"/>
      <c r="ST508"/>
      <c r="SU508"/>
      <c r="SV508"/>
      <c r="SW508"/>
      <c r="SX508"/>
      <c r="SY508"/>
      <c r="SZ508"/>
      <c r="TA508"/>
      <c r="TB508"/>
      <c r="TC508"/>
      <c r="TD508"/>
      <c r="TE508"/>
      <c r="TF508"/>
      <c r="TG508"/>
      <c r="TH508"/>
    </row>
    <row r="509" spans="3:528" x14ac:dyDescent="0.25">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c r="KT509"/>
      <c r="KU509"/>
      <c r="KV509"/>
      <c r="KW509"/>
      <c r="KX509"/>
      <c r="KY509"/>
      <c r="KZ509"/>
      <c r="LA509"/>
      <c r="LB509"/>
      <c r="LC509"/>
      <c r="LD509"/>
      <c r="LE509"/>
      <c r="LF509"/>
      <c r="LG509"/>
      <c r="LH509"/>
      <c r="LI509"/>
      <c r="LJ509"/>
      <c r="LK509"/>
      <c r="LL509"/>
      <c r="LM509"/>
      <c r="LN509"/>
      <c r="LO509"/>
      <c r="LP509"/>
      <c r="LQ509"/>
      <c r="LR509"/>
      <c r="LS509"/>
      <c r="LT509"/>
      <c r="LU509"/>
      <c r="LV509"/>
      <c r="LW509"/>
      <c r="LX509"/>
      <c r="LY509"/>
      <c r="LZ509"/>
      <c r="MA509"/>
      <c r="MB509"/>
      <c r="MC509"/>
      <c r="MD509"/>
      <c r="ME509"/>
      <c r="MF509"/>
      <c r="MG509"/>
      <c r="MH509"/>
      <c r="MI509"/>
      <c r="MJ509"/>
      <c r="MK509"/>
      <c r="ML509"/>
      <c r="MM509"/>
      <c r="MN509"/>
      <c r="MO509"/>
      <c r="MP509"/>
      <c r="MQ509"/>
      <c r="MR509"/>
      <c r="MS509"/>
      <c r="MT509"/>
      <c r="MU509"/>
      <c r="MV509"/>
      <c r="MW509"/>
      <c r="MX509"/>
      <c r="MY509"/>
      <c r="MZ509"/>
      <c r="NA509"/>
      <c r="NB509"/>
      <c r="NC509"/>
      <c r="ND509"/>
      <c r="NE509"/>
      <c r="NF509"/>
      <c r="NG509"/>
      <c r="NH509"/>
      <c r="NI509"/>
      <c r="NJ509"/>
      <c r="NK509"/>
      <c r="NL509"/>
      <c r="NM509"/>
      <c r="NN509"/>
      <c r="NO509"/>
      <c r="NP509"/>
      <c r="NQ509"/>
      <c r="NR509"/>
      <c r="NS509"/>
      <c r="NT509"/>
      <c r="NU509"/>
      <c r="NV509"/>
      <c r="NW509"/>
      <c r="NX509"/>
      <c r="NY509"/>
      <c r="NZ509"/>
      <c r="OA509"/>
      <c r="OB509"/>
      <c r="OC509"/>
      <c r="OD509"/>
      <c r="OE509"/>
      <c r="OF509"/>
      <c r="OG509"/>
      <c r="OH509"/>
      <c r="OI509"/>
      <c r="OJ509"/>
      <c r="OK509"/>
      <c r="OL509"/>
      <c r="OM509"/>
      <c r="ON509"/>
      <c r="OO509"/>
      <c r="OP509"/>
      <c r="OQ509"/>
      <c r="OR509"/>
      <c r="OS509"/>
      <c r="OT509"/>
      <c r="OU509"/>
      <c r="OV509"/>
      <c r="OW509"/>
      <c r="OX509"/>
      <c r="OY509"/>
      <c r="OZ509"/>
      <c r="PA509"/>
      <c r="PB509"/>
      <c r="PC509"/>
      <c r="PD509"/>
      <c r="PE509"/>
      <c r="PF509"/>
      <c r="PG509"/>
      <c r="PH509"/>
      <c r="PI509"/>
      <c r="PJ509"/>
      <c r="PK509"/>
      <c r="PL509"/>
      <c r="PM509"/>
      <c r="PN509"/>
      <c r="PO509"/>
      <c r="PP509"/>
      <c r="PQ509"/>
      <c r="PR509"/>
      <c r="PS509"/>
      <c r="PT509"/>
      <c r="PU509"/>
      <c r="PV509"/>
      <c r="PW509"/>
      <c r="PX509"/>
      <c r="PY509"/>
      <c r="PZ509"/>
      <c r="QA509"/>
      <c r="QB509"/>
      <c r="QC509"/>
      <c r="QD509"/>
      <c r="QE509"/>
      <c r="QF509"/>
      <c r="QG509"/>
      <c r="QH509"/>
      <c r="QI509"/>
      <c r="QJ509"/>
      <c r="QK509"/>
      <c r="QL509"/>
      <c r="QM509"/>
      <c r="QN509"/>
      <c r="QO509"/>
      <c r="QP509"/>
      <c r="QQ509"/>
      <c r="QR509"/>
      <c r="QS509"/>
      <c r="QT509"/>
      <c r="QU509"/>
      <c r="QV509"/>
      <c r="QW509"/>
      <c r="QX509"/>
      <c r="QY509"/>
      <c r="QZ509"/>
      <c r="RA509"/>
      <c r="RB509"/>
      <c r="RC509"/>
      <c r="RD509"/>
      <c r="RE509"/>
      <c r="RF509"/>
      <c r="RG509"/>
      <c r="RH509"/>
      <c r="RI509"/>
      <c r="RJ509"/>
      <c r="RK509"/>
      <c r="RL509"/>
      <c r="RM509"/>
      <c r="RN509"/>
      <c r="RO509"/>
      <c r="RP509"/>
      <c r="RQ509"/>
      <c r="RR509"/>
      <c r="RS509"/>
      <c r="RT509"/>
      <c r="RU509"/>
      <c r="RV509"/>
      <c r="RW509"/>
      <c r="RX509"/>
      <c r="RY509"/>
      <c r="RZ509"/>
      <c r="SA509"/>
      <c r="SB509"/>
      <c r="SC509"/>
      <c r="SD509"/>
      <c r="SE509"/>
      <c r="SF509"/>
      <c r="SG509"/>
      <c r="SH509"/>
      <c r="SI509"/>
      <c r="SJ509"/>
      <c r="SK509"/>
      <c r="SL509"/>
      <c r="SM509"/>
      <c r="SN509"/>
      <c r="SO509"/>
      <c r="SP509"/>
      <c r="SQ509"/>
      <c r="SR509"/>
      <c r="SS509"/>
      <c r="ST509"/>
      <c r="SU509"/>
      <c r="SV509"/>
      <c r="SW509"/>
      <c r="SX509"/>
      <c r="SY509"/>
      <c r="SZ509"/>
      <c r="TA509"/>
      <c r="TB509"/>
      <c r="TC509"/>
      <c r="TD509"/>
      <c r="TE509"/>
      <c r="TF509"/>
      <c r="TG509"/>
      <c r="TH509"/>
    </row>
    <row r="510" spans="3:528" x14ac:dyDescent="0.25">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c r="KT510"/>
      <c r="KU510"/>
      <c r="KV510"/>
      <c r="KW510"/>
      <c r="KX510"/>
      <c r="KY510"/>
      <c r="KZ510"/>
      <c r="LA510"/>
      <c r="LB510"/>
      <c r="LC510"/>
      <c r="LD510"/>
      <c r="LE510"/>
      <c r="LF510"/>
      <c r="LG510"/>
      <c r="LH510"/>
      <c r="LI510"/>
      <c r="LJ510"/>
      <c r="LK510"/>
      <c r="LL510"/>
      <c r="LM510"/>
      <c r="LN510"/>
      <c r="LO510"/>
      <c r="LP510"/>
      <c r="LQ510"/>
      <c r="LR510"/>
      <c r="LS510"/>
      <c r="LT510"/>
      <c r="LU510"/>
      <c r="LV510"/>
      <c r="LW510"/>
      <c r="LX510"/>
      <c r="LY510"/>
      <c r="LZ510"/>
      <c r="MA510"/>
      <c r="MB510"/>
      <c r="MC510"/>
      <c r="MD510"/>
      <c r="ME510"/>
      <c r="MF510"/>
      <c r="MG510"/>
      <c r="MH510"/>
      <c r="MI510"/>
      <c r="MJ510"/>
      <c r="MK510"/>
      <c r="ML510"/>
      <c r="MM510"/>
      <c r="MN510"/>
      <c r="MO510"/>
      <c r="MP510"/>
      <c r="MQ510"/>
      <c r="MR510"/>
      <c r="MS510"/>
      <c r="MT510"/>
      <c r="MU510"/>
      <c r="MV510"/>
      <c r="MW510"/>
      <c r="MX510"/>
      <c r="MY510"/>
      <c r="MZ510"/>
      <c r="NA510"/>
      <c r="NB510"/>
      <c r="NC510"/>
      <c r="ND510"/>
      <c r="NE510"/>
      <c r="NF510"/>
      <c r="NG510"/>
      <c r="NH510"/>
      <c r="NI510"/>
      <c r="NJ510"/>
      <c r="NK510"/>
      <c r="NL510"/>
      <c r="NM510"/>
      <c r="NN510"/>
      <c r="NO510"/>
      <c r="NP510"/>
      <c r="NQ510"/>
      <c r="NR510"/>
      <c r="NS510"/>
      <c r="NT510"/>
      <c r="NU510"/>
      <c r="NV510"/>
      <c r="NW510"/>
      <c r="NX510"/>
      <c r="NY510"/>
      <c r="NZ510"/>
      <c r="OA510"/>
      <c r="OB510"/>
      <c r="OC510"/>
      <c r="OD510"/>
      <c r="OE510"/>
      <c r="OF510"/>
      <c r="OG510"/>
      <c r="OH510"/>
      <c r="OI510"/>
      <c r="OJ510"/>
      <c r="OK510"/>
      <c r="OL510"/>
      <c r="OM510"/>
      <c r="ON510"/>
      <c r="OO510"/>
      <c r="OP510"/>
      <c r="OQ510"/>
      <c r="OR510"/>
      <c r="OS510"/>
      <c r="OT510"/>
      <c r="OU510"/>
      <c r="OV510"/>
      <c r="OW510"/>
      <c r="OX510"/>
      <c r="OY510"/>
      <c r="OZ510"/>
      <c r="PA510"/>
      <c r="PB510"/>
      <c r="PC510"/>
      <c r="PD510"/>
      <c r="PE510"/>
      <c r="PF510"/>
      <c r="PG510"/>
      <c r="PH510"/>
      <c r="PI510"/>
      <c r="PJ510"/>
      <c r="PK510"/>
      <c r="PL510"/>
      <c r="PM510"/>
      <c r="PN510"/>
      <c r="PO510"/>
      <c r="PP510"/>
      <c r="PQ510"/>
      <c r="PR510"/>
      <c r="PS510"/>
      <c r="PT510"/>
      <c r="PU510"/>
      <c r="PV510"/>
      <c r="PW510"/>
      <c r="PX510"/>
      <c r="PY510"/>
      <c r="PZ510"/>
      <c r="QA510"/>
      <c r="QB510"/>
      <c r="QC510"/>
      <c r="QD510"/>
      <c r="QE510"/>
      <c r="QF510"/>
      <c r="QG510"/>
      <c r="QH510"/>
      <c r="QI510"/>
      <c r="QJ510"/>
      <c r="QK510"/>
      <c r="QL510"/>
      <c r="QM510"/>
      <c r="QN510"/>
      <c r="QO510"/>
      <c r="QP510"/>
      <c r="QQ510"/>
      <c r="QR510"/>
      <c r="QS510"/>
      <c r="QT510"/>
      <c r="QU510"/>
      <c r="QV510"/>
      <c r="QW510"/>
      <c r="QX510"/>
      <c r="QY510"/>
      <c r="QZ510"/>
      <c r="RA510"/>
      <c r="RB510"/>
      <c r="RC510"/>
      <c r="RD510"/>
      <c r="RE510"/>
      <c r="RF510"/>
      <c r="RG510"/>
      <c r="RH510"/>
      <c r="RI510"/>
      <c r="RJ510"/>
      <c r="RK510"/>
      <c r="RL510"/>
      <c r="RM510"/>
      <c r="RN510"/>
      <c r="RO510"/>
      <c r="RP510"/>
      <c r="RQ510"/>
      <c r="RR510"/>
      <c r="RS510"/>
      <c r="RT510"/>
      <c r="RU510"/>
      <c r="RV510"/>
      <c r="RW510"/>
      <c r="RX510"/>
      <c r="RY510"/>
      <c r="RZ510"/>
      <c r="SA510"/>
      <c r="SB510"/>
      <c r="SC510"/>
      <c r="SD510"/>
      <c r="SE510"/>
      <c r="SF510"/>
      <c r="SG510"/>
      <c r="SH510"/>
      <c r="SI510"/>
      <c r="SJ510"/>
      <c r="SK510"/>
      <c r="SL510"/>
      <c r="SM510"/>
      <c r="SN510"/>
      <c r="SO510"/>
      <c r="SP510"/>
      <c r="SQ510"/>
      <c r="SR510"/>
      <c r="SS510"/>
      <c r="ST510"/>
      <c r="SU510"/>
      <c r="SV510"/>
      <c r="SW510"/>
      <c r="SX510"/>
      <c r="SY510"/>
      <c r="SZ510"/>
      <c r="TA510"/>
      <c r="TB510"/>
      <c r="TC510"/>
      <c r="TD510"/>
      <c r="TE510"/>
      <c r="TF510"/>
      <c r="TG510"/>
      <c r="TH510"/>
    </row>
    <row r="511" spans="3:528" x14ac:dyDescent="0.25">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c r="KT511"/>
      <c r="KU511"/>
      <c r="KV511"/>
      <c r="KW511"/>
      <c r="KX511"/>
      <c r="KY511"/>
      <c r="KZ511"/>
      <c r="LA511"/>
      <c r="LB511"/>
      <c r="LC511"/>
      <c r="LD511"/>
      <c r="LE511"/>
      <c r="LF511"/>
      <c r="LG511"/>
      <c r="LH511"/>
      <c r="LI511"/>
      <c r="LJ511"/>
      <c r="LK511"/>
      <c r="LL511"/>
      <c r="LM511"/>
      <c r="LN511"/>
      <c r="LO511"/>
      <c r="LP511"/>
      <c r="LQ511"/>
      <c r="LR511"/>
      <c r="LS511"/>
      <c r="LT511"/>
      <c r="LU511"/>
      <c r="LV511"/>
      <c r="LW511"/>
      <c r="LX511"/>
      <c r="LY511"/>
      <c r="LZ511"/>
      <c r="MA511"/>
      <c r="MB511"/>
      <c r="MC511"/>
      <c r="MD511"/>
      <c r="ME511"/>
      <c r="MF511"/>
      <c r="MG511"/>
      <c r="MH511"/>
      <c r="MI511"/>
      <c r="MJ511"/>
      <c r="MK511"/>
      <c r="ML511"/>
      <c r="MM511"/>
      <c r="MN511"/>
      <c r="MO511"/>
      <c r="MP511"/>
      <c r="MQ511"/>
      <c r="MR511"/>
      <c r="MS511"/>
      <c r="MT511"/>
      <c r="MU511"/>
      <c r="MV511"/>
      <c r="MW511"/>
      <c r="MX511"/>
      <c r="MY511"/>
      <c r="MZ511"/>
      <c r="NA511"/>
      <c r="NB511"/>
      <c r="NC511"/>
      <c r="ND511"/>
      <c r="NE511"/>
      <c r="NF511"/>
      <c r="NG511"/>
      <c r="NH511"/>
      <c r="NI511"/>
      <c r="NJ511"/>
      <c r="NK511"/>
      <c r="NL511"/>
      <c r="NM511"/>
      <c r="NN511"/>
      <c r="NO511"/>
      <c r="NP511"/>
      <c r="NQ511"/>
      <c r="NR511"/>
      <c r="NS511"/>
      <c r="NT511"/>
      <c r="NU511"/>
      <c r="NV511"/>
      <c r="NW511"/>
      <c r="NX511"/>
      <c r="NY511"/>
      <c r="NZ511"/>
      <c r="OA511"/>
      <c r="OB511"/>
      <c r="OC511"/>
      <c r="OD511"/>
      <c r="OE511"/>
      <c r="OF511"/>
      <c r="OG511"/>
      <c r="OH511"/>
      <c r="OI511"/>
      <c r="OJ511"/>
      <c r="OK511"/>
      <c r="OL511"/>
      <c r="OM511"/>
      <c r="ON511"/>
      <c r="OO511"/>
      <c r="OP511"/>
      <c r="OQ511"/>
      <c r="OR511"/>
      <c r="OS511"/>
      <c r="OT511"/>
      <c r="OU511"/>
      <c r="OV511"/>
      <c r="OW511"/>
      <c r="OX511"/>
      <c r="OY511"/>
      <c r="OZ511"/>
      <c r="PA511"/>
      <c r="PB511"/>
      <c r="PC511"/>
      <c r="PD511"/>
      <c r="PE511"/>
      <c r="PF511"/>
      <c r="PG511"/>
      <c r="PH511"/>
      <c r="PI511"/>
      <c r="PJ511"/>
      <c r="PK511"/>
      <c r="PL511"/>
      <c r="PM511"/>
      <c r="PN511"/>
      <c r="PO511"/>
      <c r="PP511"/>
      <c r="PQ511"/>
      <c r="PR511"/>
      <c r="PS511"/>
      <c r="PT511"/>
      <c r="PU511"/>
      <c r="PV511"/>
      <c r="PW511"/>
      <c r="PX511"/>
      <c r="PY511"/>
      <c r="PZ511"/>
      <c r="QA511"/>
      <c r="QB511"/>
      <c r="QC511"/>
      <c r="QD511"/>
      <c r="QE511"/>
      <c r="QF511"/>
      <c r="QG511"/>
      <c r="QH511"/>
      <c r="QI511"/>
      <c r="QJ511"/>
      <c r="QK511"/>
      <c r="QL511"/>
      <c r="QM511"/>
      <c r="QN511"/>
      <c r="QO511"/>
      <c r="QP511"/>
      <c r="QQ511"/>
      <c r="QR511"/>
      <c r="QS511"/>
      <c r="QT511"/>
      <c r="QU511"/>
      <c r="QV511"/>
      <c r="QW511"/>
      <c r="QX511"/>
      <c r="QY511"/>
      <c r="QZ511"/>
      <c r="RA511"/>
      <c r="RB511"/>
      <c r="RC511"/>
      <c r="RD511"/>
      <c r="RE511"/>
      <c r="RF511"/>
      <c r="RG511"/>
      <c r="RH511"/>
      <c r="RI511"/>
      <c r="RJ511"/>
      <c r="RK511"/>
      <c r="RL511"/>
      <c r="RM511"/>
      <c r="RN511"/>
      <c r="RO511"/>
      <c r="RP511"/>
      <c r="RQ511"/>
      <c r="RR511"/>
      <c r="RS511"/>
      <c r="RT511"/>
      <c r="RU511"/>
      <c r="RV511"/>
      <c r="RW511"/>
      <c r="RX511"/>
      <c r="RY511"/>
      <c r="RZ511"/>
      <c r="SA511"/>
      <c r="SB511"/>
      <c r="SC511"/>
      <c r="SD511"/>
      <c r="SE511"/>
      <c r="SF511"/>
      <c r="SG511"/>
      <c r="SH511"/>
      <c r="SI511"/>
      <c r="SJ511"/>
      <c r="SK511"/>
      <c r="SL511"/>
      <c r="SM511"/>
      <c r="SN511"/>
      <c r="SO511"/>
      <c r="SP511"/>
      <c r="SQ511"/>
      <c r="SR511"/>
      <c r="SS511"/>
      <c r="ST511"/>
      <c r="SU511"/>
      <c r="SV511"/>
      <c r="SW511"/>
      <c r="SX511"/>
      <c r="SY511"/>
      <c r="SZ511"/>
      <c r="TA511"/>
      <c r="TB511"/>
      <c r="TC511"/>
      <c r="TD511"/>
      <c r="TE511"/>
      <c r="TF511"/>
      <c r="TG511"/>
      <c r="TH511"/>
    </row>
    <row r="512" spans="3:528" x14ac:dyDescent="0.25">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c r="KT512"/>
      <c r="KU512"/>
      <c r="KV512"/>
      <c r="KW512"/>
      <c r="KX512"/>
      <c r="KY512"/>
      <c r="KZ512"/>
      <c r="LA512"/>
      <c r="LB512"/>
      <c r="LC512"/>
      <c r="LD512"/>
      <c r="LE512"/>
      <c r="LF512"/>
      <c r="LG512"/>
      <c r="LH512"/>
      <c r="LI512"/>
      <c r="LJ512"/>
      <c r="LK512"/>
      <c r="LL512"/>
      <c r="LM512"/>
      <c r="LN512"/>
      <c r="LO512"/>
      <c r="LP512"/>
      <c r="LQ512"/>
      <c r="LR512"/>
      <c r="LS512"/>
      <c r="LT512"/>
      <c r="LU512"/>
      <c r="LV512"/>
      <c r="LW512"/>
      <c r="LX512"/>
      <c r="LY512"/>
      <c r="LZ512"/>
      <c r="MA512"/>
      <c r="MB512"/>
      <c r="MC512"/>
      <c r="MD512"/>
      <c r="ME512"/>
      <c r="MF512"/>
      <c r="MG512"/>
      <c r="MH512"/>
      <c r="MI512"/>
      <c r="MJ512"/>
      <c r="MK512"/>
      <c r="ML512"/>
      <c r="MM512"/>
      <c r="MN512"/>
      <c r="MO512"/>
      <c r="MP512"/>
      <c r="MQ512"/>
      <c r="MR512"/>
      <c r="MS512"/>
      <c r="MT512"/>
      <c r="MU512"/>
      <c r="MV512"/>
      <c r="MW512"/>
      <c r="MX512"/>
      <c r="MY512"/>
      <c r="MZ512"/>
      <c r="NA512"/>
      <c r="NB512"/>
      <c r="NC512"/>
      <c r="ND512"/>
      <c r="NE512"/>
      <c r="NF512"/>
      <c r="NG512"/>
      <c r="NH512"/>
      <c r="NI512"/>
      <c r="NJ512"/>
      <c r="NK512"/>
      <c r="NL512"/>
      <c r="NM512"/>
      <c r="NN512"/>
      <c r="NO512"/>
      <c r="NP512"/>
      <c r="NQ512"/>
      <c r="NR512"/>
      <c r="NS512"/>
      <c r="NT512"/>
      <c r="NU512"/>
      <c r="NV512"/>
      <c r="NW512"/>
      <c r="NX512"/>
      <c r="NY512"/>
      <c r="NZ512"/>
      <c r="OA512"/>
      <c r="OB512"/>
      <c r="OC512"/>
      <c r="OD512"/>
      <c r="OE512"/>
      <c r="OF512"/>
      <c r="OG512"/>
      <c r="OH512"/>
      <c r="OI512"/>
      <c r="OJ512"/>
      <c r="OK512"/>
      <c r="OL512"/>
      <c r="OM512"/>
      <c r="ON512"/>
      <c r="OO512"/>
      <c r="OP512"/>
      <c r="OQ512"/>
      <c r="OR512"/>
      <c r="OS512"/>
      <c r="OT512"/>
      <c r="OU512"/>
      <c r="OV512"/>
      <c r="OW512"/>
      <c r="OX512"/>
      <c r="OY512"/>
      <c r="OZ512"/>
      <c r="PA512"/>
      <c r="PB512"/>
      <c r="PC512"/>
      <c r="PD512"/>
      <c r="PE512"/>
      <c r="PF512"/>
      <c r="PG512"/>
      <c r="PH512"/>
      <c r="PI512"/>
      <c r="PJ512"/>
      <c r="PK512"/>
      <c r="PL512"/>
      <c r="PM512"/>
      <c r="PN512"/>
      <c r="PO512"/>
      <c r="PP512"/>
      <c r="PQ512"/>
      <c r="PR512"/>
      <c r="PS512"/>
      <c r="PT512"/>
      <c r="PU512"/>
      <c r="PV512"/>
      <c r="PW512"/>
      <c r="PX512"/>
      <c r="PY512"/>
      <c r="PZ512"/>
      <c r="QA512"/>
      <c r="QB512"/>
      <c r="QC512"/>
      <c r="QD512"/>
      <c r="QE512"/>
      <c r="QF512"/>
      <c r="QG512"/>
      <c r="QH512"/>
      <c r="QI512"/>
      <c r="QJ512"/>
      <c r="QK512"/>
      <c r="QL512"/>
      <c r="QM512"/>
      <c r="QN512"/>
      <c r="QO512"/>
      <c r="QP512"/>
      <c r="QQ512"/>
      <c r="QR512"/>
      <c r="QS512"/>
      <c r="QT512"/>
      <c r="QU512"/>
      <c r="QV512"/>
      <c r="QW512"/>
      <c r="QX512"/>
      <c r="QY512"/>
      <c r="QZ512"/>
      <c r="RA512"/>
      <c r="RB512"/>
      <c r="RC512"/>
      <c r="RD512"/>
      <c r="RE512"/>
      <c r="RF512"/>
      <c r="RG512"/>
      <c r="RH512"/>
      <c r="RI512"/>
      <c r="RJ512"/>
      <c r="RK512"/>
      <c r="RL512"/>
      <c r="RM512"/>
      <c r="RN512"/>
      <c r="RO512"/>
      <c r="RP512"/>
      <c r="RQ512"/>
      <c r="RR512"/>
      <c r="RS512"/>
      <c r="RT512"/>
      <c r="RU512"/>
      <c r="RV512"/>
      <c r="RW512"/>
      <c r="RX512"/>
      <c r="RY512"/>
      <c r="RZ512"/>
      <c r="SA512"/>
      <c r="SB512"/>
      <c r="SC512"/>
      <c r="SD512"/>
      <c r="SE512"/>
      <c r="SF512"/>
      <c r="SG512"/>
      <c r="SH512"/>
      <c r="SI512"/>
      <c r="SJ512"/>
      <c r="SK512"/>
      <c r="SL512"/>
      <c r="SM512"/>
      <c r="SN512"/>
      <c r="SO512"/>
      <c r="SP512"/>
      <c r="SQ512"/>
      <c r="SR512"/>
      <c r="SS512"/>
      <c r="ST512"/>
      <c r="SU512"/>
      <c r="SV512"/>
      <c r="SW512"/>
      <c r="SX512"/>
      <c r="SY512"/>
      <c r="SZ512"/>
      <c r="TA512"/>
      <c r="TB512"/>
      <c r="TC512"/>
      <c r="TD512"/>
      <c r="TE512"/>
      <c r="TF512"/>
      <c r="TG512"/>
      <c r="TH512"/>
    </row>
    <row r="513" spans="3:528" x14ac:dyDescent="0.25">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c r="KT513"/>
      <c r="KU513"/>
      <c r="KV513"/>
      <c r="KW513"/>
      <c r="KX513"/>
      <c r="KY513"/>
      <c r="KZ513"/>
      <c r="LA513"/>
      <c r="LB513"/>
      <c r="LC513"/>
      <c r="LD513"/>
      <c r="LE513"/>
      <c r="LF513"/>
      <c r="LG513"/>
      <c r="LH513"/>
      <c r="LI513"/>
      <c r="LJ513"/>
      <c r="LK513"/>
      <c r="LL513"/>
      <c r="LM513"/>
      <c r="LN513"/>
      <c r="LO513"/>
      <c r="LP513"/>
      <c r="LQ513"/>
      <c r="LR513"/>
      <c r="LS513"/>
      <c r="LT513"/>
      <c r="LU513"/>
      <c r="LV513"/>
      <c r="LW513"/>
      <c r="LX513"/>
      <c r="LY513"/>
      <c r="LZ513"/>
      <c r="MA513"/>
      <c r="MB513"/>
      <c r="MC513"/>
      <c r="MD513"/>
      <c r="ME513"/>
      <c r="MF513"/>
      <c r="MG513"/>
      <c r="MH513"/>
      <c r="MI513"/>
      <c r="MJ513"/>
      <c r="MK513"/>
      <c r="ML513"/>
      <c r="MM513"/>
      <c r="MN513"/>
      <c r="MO513"/>
      <c r="MP513"/>
      <c r="MQ513"/>
      <c r="MR513"/>
      <c r="MS513"/>
      <c r="MT513"/>
      <c r="MU513"/>
      <c r="MV513"/>
      <c r="MW513"/>
      <c r="MX513"/>
      <c r="MY513"/>
      <c r="MZ513"/>
      <c r="NA513"/>
      <c r="NB513"/>
      <c r="NC513"/>
      <c r="ND513"/>
      <c r="NE513"/>
      <c r="NF513"/>
      <c r="NG513"/>
      <c r="NH513"/>
      <c r="NI513"/>
      <c r="NJ513"/>
      <c r="NK513"/>
      <c r="NL513"/>
      <c r="NM513"/>
      <c r="NN513"/>
      <c r="NO513"/>
      <c r="NP513"/>
      <c r="NQ513"/>
      <c r="NR513"/>
      <c r="NS513"/>
      <c r="NT513"/>
      <c r="NU513"/>
      <c r="NV513"/>
      <c r="NW513"/>
      <c r="NX513"/>
      <c r="NY513"/>
      <c r="NZ513"/>
      <c r="OA513"/>
      <c r="OB513"/>
      <c r="OC513"/>
      <c r="OD513"/>
      <c r="OE513"/>
      <c r="OF513"/>
      <c r="OG513"/>
      <c r="OH513"/>
      <c r="OI513"/>
      <c r="OJ513"/>
      <c r="OK513"/>
      <c r="OL513"/>
      <c r="OM513"/>
      <c r="ON513"/>
      <c r="OO513"/>
      <c r="OP513"/>
      <c r="OQ513"/>
      <c r="OR513"/>
      <c r="OS513"/>
      <c r="OT513"/>
      <c r="OU513"/>
      <c r="OV513"/>
      <c r="OW513"/>
      <c r="OX513"/>
      <c r="OY513"/>
      <c r="OZ513"/>
      <c r="PA513"/>
      <c r="PB513"/>
      <c r="PC513"/>
      <c r="PD513"/>
      <c r="PE513"/>
      <c r="PF513"/>
      <c r="PG513"/>
      <c r="PH513"/>
      <c r="PI513"/>
      <c r="PJ513"/>
      <c r="PK513"/>
      <c r="PL513"/>
      <c r="PM513"/>
      <c r="PN513"/>
      <c r="PO513"/>
      <c r="PP513"/>
      <c r="PQ513"/>
      <c r="PR513"/>
      <c r="PS513"/>
      <c r="PT513"/>
      <c r="PU513"/>
      <c r="PV513"/>
      <c r="PW513"/>
      <c r="PX513"/>
      <c r="PY513"/>
      <c r="PZ513"/>
      <c r="QA513"/>
      <c r="QB513"/>
      <c r="QC513"/>
      <c r="QD513"/>
      <c r="QE513"/>
      <c r="QF513"/>
      <c r="QG513"/>
      <c r="QH513"/>
      <c r="QI513"/>
      <c r="QJ513"/>
      <c r="QK513"/>
      <c r="QL513"/>
      <c r="QM513"/>
      <c r="QN513"/>
      <c r="QO513"/>
      <c r="QP513"/>
      <c r="QQ513"/>
      <c r="QR513"/>
      <c r="QS513"/>
      <c r="QT513"/>
      <c r="QU513"/>
      <c r="QV513"/>
      <c r="QW513"/>
      <c r="QX513"/>
      <c r="QY513"/>
      <c r="QZ513"/>
      <c r="RA513"/>
      <c r="RB513"/>
      <c r="RC513"/>
      <c r="RD513"/>
      <c r="RE513"/>
      <c r="RF513"/>
      <c r="RG513"/>
      <c r="RH513"/>
      <c r="RI513"/>
      <c r="RJ513"/>
      <c r="RK513"/>
      <c r="RL513"/>
      <c r="RM513"/>
      <c r="RN513"/>
      <c r="RO513"/>
      <c r="RP513"/>
      <c r="RQ513"/>
      <c r="RR513"/>
      <c r="RS513"/>
      <c r="RT513"/>
      <c r="RU513"/>
      <c r="RV513"/>
      <c r="RW513"/>
      <c r="RX513"/>
      <c r="RY513"/>
      <c r="RZ513"/>
      <c r="SA513"/>
      <c r="SB513"/>
      <c r="SC513"/>
      <c r="SD513"/>
      <c r="SE513"/>
      <c r="SF513"/>
      <c r="SG513"/>
      <c r="SH513"/>
      <c r="SI513"/>
      <c r="SJ513"/>
      <c r="SK513"/>
      <c r="SL513"/>
      <c r="SM513"/>
      <c r="SN513"/>
      <c r="SO513"/>
      <c r="SP513"/>
      <c r="SQ513"/>
      <c r="SR513"/>
      <c r="SS513"/>
      <c r="ST513"/>
      <c r="SU513"/>
      <c r="SV513"/>
      <c r="SW513"/>
      <c r="SX513"/>
      <c r="SY513"/>
      <c r="SZ513"/>
      <c r="TA513"/>
      <c r="TB513"/>
      <c r="TC513"/>
      <c r="TD513"/>
      <c r="TE513"/>
      <c r="TF513"/>
      <c r="TG513"/>
      <c r="TH513"/>
    </row>
    <row r="514" spans="3:528" x14ac:dyDescent="0.25">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c r="KT514"/>
      <c r="KU514"/>
      <c r="KV514"/>
      <c r="KW514"/>
      <c r="KX514"/>
      <c r="KY514"/>
      <c r="KZ514"/>
      <c r="LA514"/>
      <c r="LB514"/>
      <c r="LC514"/>
      <c r="LD514"/>
      <c r="LE514"/>
      <c r="LF514"/>
      <c r="LG514"/>
      <c r="LH514"/>
      <c r="LI514"/>
      <c r="LJ514"/>
      <c r="LK514"/>
      <c r="LL514"/>
      <c r="LM514"/>
      <c r="LN514"/>
      <c r="LO514"/>
      <c r="LP514"/>
      <c r="LQ514"/>
      <c r="LR514"/>
      <c r="LS514"/>
      <c r="LT514"/>
      <c r="LU514"/>
      <c r="LV514"/>
      <c r="LW514"/>
      <c r="LX514"/>
      <c r="LY514"/>
      <c r="LZ514"/>
      <c r="MA514"/>
      <c r="MB514"/>
      <c r="MC514"/>
      <c r="MD514"/>
      <c r="ME514"/>
      <c r="MF514"/>
      <c r="MG514"/>
      <c r="MH514"/>
      <c r="MI514"/>
      <c r="MJ514"/>
      <c r="MK514"/>
      <c r="ML514"/>
      <c r="MM514"/>
      <c r="MN514"/>
      <c r="MO514"/>
      <c r="MP514"/>
      <c r="MQ514"/>
      <c r="MR514"/>
      <c r="MS514"/>
      <c r="MT514"/>
      <c r="MU514"/>
      <c r="MV514"/>
      <c r="MW514"/>
      <c r="MX514"/>
      <c r="MY514"/>
      <c r="MZ514"/>
      <c r="NA514"/>
      <c r="NB514"/>
      <c r="NC514"/>
      <c r="ND514"/>
      <c r="NE514"/>
      <c r="NF514"/>
      <c r="NG514"/>
      <c r="NH514"/>
      <c r="NI514"/>
      <c r="NJ514"/>
      <c r="NK514"/>
      <c r="NL514"/>
      <c r="NM514"/>
      <c r="NN514"/>
      <c r="NO514"/>
      <c r="NP514"/>
      <c r="NQ514"/>
      <c r="NR514"/>
      <c r="NS514"/>
      <c r="NT514"/>
      <c r="NU514"/>
      <c r="NV514"/>
      <c r="NW514"/>
      <c r="NX514"/>
      <c r="NY514"/>
      <c r="NZ514"/>
      <c r="OA514"/>
      <c r="OB514"/>
      <c r="OC514"/>
      <c r="OD514"/>
      <c r="OE514"/>
      <c r="OF514"/>
      <c r="OG514"/>
      <c r="OH514"/>
      <c r="OI514"/>
      <c r="OJ514"/>
      <c r="OK514"/>
      <c r="OL514"/>
      <c r="OM514"/>
      <c r="ON514"/>
      <c r="OO514"/>
      <c r="OP514"/>
      <c r="OQ514"/>
      <c r="OR514"/>
      <c r="OS514"/>
      <c r="OT514"/>
      <c r="OU514"/>
      <c r="OV514"/>
      <c r="OW514"/>
      <c r="OX514"/>
      <c r="OY514"/>
      <c r="OZ514"/>
      <c r="PA514"/>
      <c r="PB514"/>
      <c r="PC514"/>
      <c r="PD514"/>
      <c r="PE514"/>
      <c r="PF514"/>
      <c r="PG514"/>
      <c r="PH514"/>
      <c r="PI514"/>
      <c r="PJ514"/>
      <c r="PK514"/>
      <c r="PL514"/>
      <c r="PM514"/>
      <c r="PN514"/>
      <c r="PO514"/>
      <c r="PP514"/>
      <c r="PQ514"/>
      <c r="PR514"/>
      <c r="PS514"/>
      <c r="PT514"/>
      <c r="PU514"/>
      <c r="PV514"/>
      <c r="PW514"/>
      <c r="PX514"/>
      <c r="PY514"/>
      <c r="PZ514"/>
      <c r="QA514"/>
      <c r="QB514"/>
      <c r="QC514"/>
      <c r="QD514"/>
      <c r="QE514"/>
      <c r="QF514"/>
      <c r="QG514"/>
      <c r="QH514"/>
      <c r="QI514"/>
      <c r="QJ514"/>
      <c r="QK514"/>
      <c r="QL514"/>
      <c r="QM514"/>
      <c r="QN514"/>
      <c r="QO514"/>
      <c r="QP514"/>
      <c r="QQ514"/>
      <c r="QR514"/>
      <c r="QS514"/>
      <c r="QT514"/>
      <c r="QU514"/>
      <c r="QV514"/>
      <c r="QW514"/>
      <c r="QX514"/>
      <c r="QY514"/>
      <c r="QZ514"/>
      <c r="RA514"/>
      <c r="RB514"/>
      <c r="RC514"/>
      <c r="RD514"/>
      <c r="RE514"/>
      <c r="RF514"/>
      <c r="RG514"/>
      <c r="RH514"/>
      <c r="RI514"/>
      <c r="RJ514"/>
      <c r="RK514"/>
      <c r="RL514"/>
      <c r="RM514"/>
      <c r="RN514"/>
      <c r="RO514"/>
      <c r="RP514"/>
      <c r="RQ514"/>
      <c r="RR514"/>
      <c r="RS514"/>
      <c r="RT514"/>
      <c r="RU514"/>
      <c r="RV514"/>
      <c r="RW514"/>
      <c r="RX514"/>
      <c r="RY514"/>
      <c r="RZ514"/>
      <c r="SA514"/>
      <c r="SB514"/>
      <c r="SC514"/>
      <c r="SD514"/>
      <c r="SE514"/>
      <c r="SF514"/>
      <c r="SG514"/>
      <c r="SH514"/>
      <c r="SI514"/>
      <c r="SJ514"/>
      <c r="SK514"/>
      <c r="SL514"/>
      <c r="SM514"/>
      <c r="SN514"/>
      <c r="SO514"/>
      <c r="SP514"/>
      <c r="SQ514"/>
      <c r="SR514"/>
      <c r="SS514"/>
      <c r="ST514"/>
      <c r="SU514"/>
      <c r="SV514"/>
      <c r="SW514"/>
      <c r="SX514"/>
      <c r="SY514"/>
      <c r="SZ514"/>
      <c r="TA514"/>
      <c r="TB514"/>
      <c r="TC514"/>
      <c r="TD514"/>
      <c r="TE514"/>
      <c r="TF514"/>
      <c r="TG514"/>
      <c r="TH514"/>
    </row>
    <row r="515" spans="3:528" x14ac:dyDescent="0.2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c r="KT515"/>
      <c r="KU515"/>
      <c r="KV515"/>
      <c r="KW515"/>
      <c r="KX515"/>
      <c r="KY515"/>
      <c r="KZ515"/>
      <c r="LA515"/>
      <c r="LB515"/>
      <c r="LC515"/>
      <c r="LD515"/>
      <c r="LE515"/>
      <c r="LF515"/>
      <c r="LG515"/>
      <c r="LH515"/>
      <c r="LI515"/>
      <c r="LJ515"/>
      <c r="LK515"/>
      <c r="LL515"/>
      <c r="LM515"/>
      <c r="LN515"/>
      <c r="LO515"/>
      <c r="LP515"/>
      <c r="LQ515"/>
      <c r="LR515"/>
      <c r="LS515"/>
      <c r="LT515"/>
      <c r="LU515"/>
      <c r="LV515"/>
      <c r="LW515"/>
      <c r="LX515"/>
      <c r="LY515"/>
      <c r="LZ515"/>
      <c r="MA515"/>
      <c r="MB515"/>
      <c r="MC515"/>
      <c r="MD515"/>
      <c r="ME515"/>
      <c r="MF515"/>
      <c r="MG515"/>
      <c r="MH515"/>
      <c r="MI515"/>
      <c r="MJ515"/>
      <c r="MK515"/>
      <c r="ML515"/>
      <c r="MM515"/>
      <c r="MN515"/>
      <c r="MO515"/>
      <c r="MP515"/>
      <c r="MQ515"/>
      <c r="MR515"/>
      <c r="MS515"/>
      <c r="MT515"/>
      <c r="MU515"/>
      <c r="MV515"/>
      <c r="MW515"/>
      <c r="MX515"/>
      <c r="MY515"/>
      <c r="MZ515"/>
      <c r="NA515"/>
      <c r="NB515"/>
      <c r="NC515"/>
      <c r="ND515"/>
      <c r="NE515"/>
      <c r="NF515"/>
      <c r="NG515"/>
      <c r="NH515"/>
      <c r="NI515"/>
      <c r="NJ515"/>
      <c r="NK515"/>
      <c r="NL515"/>
      <c r="NM515"/>
      <c r="NN515"/>
      <c r="NO515"/>
      <c r="NP515"/>
      <c r="NQ515"/>
      <c r="NR515"/>
      <c r="NS515"/>
      <c r="NT515"/>
      <c r="NU515"/>
      <c r="NV515"/>
      <c r="NW515"/>
      <c r="NX515"/>
      <c r="NY515"/>
      <c r="NZ515"/>
      <c r="OA515"/>
      <c r="OB515"/>
      <c r="OC515"/>
      <c r="OD515"/>
      <c r="OE515"/>
      <c r="OF515"/>
      <c r="OG515"/>
      <c r="OH515"/>
      <c r="OI515"/>
      <c r="OJ515"/>
      <c r="OK515"/>
      <c r="OL515"/>
      <c r="OM515"/>
      <c r="ON515"/>
      <c r="OO515"/>
      <c r="OP515"/>
      <c r="OQ515"/>
      <c r="OR515"/>
      <c r="OS515"/>
      <c r="OT515"/>
      <c r="OU515"/>
      <c r="OV515"/>
      <c r="OW515"/>
      <c r="OX515"/>
      <c r="OY515"/>
      <c r="OZ515"/>
      <c r="PA515"/>
      <c r="PB515"/>
      <c r="PC515"/>
      <c r="PD515"/>
      <c r="PE515"/>
      <c r="PF515"/>
      <c r="PG515"/>
      <c r="PH515"/>
      <c r="PI515"/>
      <c r="PJ515"/>
      <c r="PK515"/>
      <c r="PL515"/>
      <c r="PM515"/>
      <c r="PN515"/>
      <c r="PO515"/>
      <c r="PP515"/>
      <c r="PQ515"/>
      <c r="PR515"/>
      <c r="PS515"/>
      <c r="PT515"/>
      <c r="PU515"/>
      <c r="PV515"/>
      <c r="PW515"/>
      <c r="PX515"/>
      <c r="PY515"/>
      <c r="PZ515"/>
      <c r="QA515"/>
      <c r="QB515"/>
      <c r="QC515"/>
      <c r="QD515"/>
      <c r="QE515"/>
      <c r="QF515"/>
      <c r="QG515"/>
      <c r="QH515"/>
      <c r="QI515"/>
      <c r="QJ515"/>
      <c r="QK515"/>
      <c r="QL515"/>
      <c r="QM515"/>
      <c r="QN515"/>
      <c r="QO515"/>
      <c r="QP515"/>
      <c r="QQ515"/>
      <c r="QR515"/>
      <c r="QS515"/>
      <c r="QT515"/>
      <c r="QU515"/>
      <c r="QV515"/>
      <c r="QW515"/>
      <c r="QX515"/>
      <c r="QY515"/>
      <c r="QZ515"/>
      <c r="RA515"/>
      <c r="RB515"/>
      <c r="RC515"/>
      <c r="RD515"/>
      <c r="RE515"/>
      <c r="RF515"/>
      <c r="RG515"/>
      <c r="RH515"/>
      <c r="RI515"/>
      <c r="RJ515"/>
      <c r="RK515"/>
      <c r="RL515"/>
      <c r="RM515"/>
      <c r="RN515"/>
      <c r="RO515"/>
      <c r="RP515"/>
      <c r="RQ515"/>
      <c r="RR515"/>
      <c r="RS515"/>
      <c r="RT515"/>
      <c r="RU515"/>
      <c r="RV515"/>
      <c r="RW515"/>
      <c r="RX515"/>
      <c r="RY515"/>
      <c r="RZ515"/>
      <c r="SA515"/>
      <c r="SB515"/>
      <c r="SC515"/>
      <c r="SD515"/>
      <c r="SE515"/>
      <c r="SF515"/>
      <c r="SG515"/>
      <c r="SH515"/>
      <c r="SI515"/>
      <c r="SJ515"/>
      <c r="SK515"/>
      <c r="SL515"/>
      <c r="SM515"/>
      <c r="SN515"/>
      <c r="SO515"/>
      <c r="SP515"/>
      <c r="SQ515"/>
      <c r="SR515"/>
      <c r="SS515"/>
      <c r="ST515"/>
      <c r="SU515"/>
      <c r="SV515"/>
      <c r="SW515"/>
      <c r="SX515"/>
      <c r="SY515"/>
      <c r="SZ515"/>
      <c r="TA515"/>
      <c r="TB515"/>
      <c r="TC515"/>
      <c r="TD515"/>
      <c r="TE515"/>
      <c r="TF515"/>
      <c r="TG515"/>
      <c r="TH515"/>
    </row>
    <row r="516" spans="3:528" x14ac:dyDescent="0.25">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c r="KT516"/>
      <c r="KU516"/>
      <c r="KV516"/>
      <c r="KW516"/>
      <c r="KX516"/>
      <c r="KY516"/>
      <c r="KZ516"/>
      <c r="LA516"/>
      <c r="LB516"/>
      <c r="LC516"/>
      <c r="LD516"/>
      <c r="LE516"/>
      <c r="LF516"/>
      <c r="LG516"/>
      <c r="LH516"/>
      <c r="LI516"/>
      <c r="LJ516"/>
      <c r="LK516"/>
      <c r="LL516"/>
      <c r="LM516"/>
      <c r="LN516"/>
      <c r="LO516"/>
      <c r="LP516"/>
      <c r="LQ516"/>
      <c r="LR516"/>
      <c r="LS516"/>
      <c r="LT516"/>
      <c r="LU516"/>
      <c r="LV516"/>
      <c r="LW516"/>
      <c r="LX516"/>
      <c r="LY516"/>
      <c r="LZ516"/>
      <c r="MA516"/>
      <c r="MB516"/>
      <c r="MC516"/>
      <c r="MD516"/>
      <c r="ME516"/>
      <c r="MF516"/>
      <c r="MG516"/>
      <c r="MH516"/>
      <c r="MI516"/>
      <c r="MJ516"/>
      <c r="MK516"/>
      <c r="ML516"/>
      <c r="MM516"/>
      <c r="MN516"/>
      <c r="MO516"/>
      <c r="MP516"/>
      <c r="MQ516"/>
      <c r="MR516"/>
      <c r="MS516"/>
      <c r="MT516"/>
      <c r="MU516"/>
      <c r="MV516"/>
      <c r="MW516"/>
      <c r="MX516"/>
      <c r="MY516"/>
      <c r="MZ516"/>
      <c r="NA516"/>
      <c r="NB516"/>
      <c r="NC516"/>
      <c r="ND516"/>
      <c r="NE516"/>
      <c r="NF516"/>
      <c r="NG516"/>
      <c r="NH516"/>
      <c r="NI516"/>
      <c r="NJ516"/>
      <c r="NK516"/>
      <c r="NL516"/>
      <c r="NM516"/>
      <c r="NN516"/>
      <c r="NO516"/>
      <c r="NP516"/>
      <c r="NQ516"/>
      <c r="NR516"/>
      <c r="NS516"/>
      <c r="NT516"/>
      <c r="NU516"/>
      <c r="NV516"/>
      <c r="NW516"/>
      <c r="NX516"/>
      <c r="NY516"/>
      <c r="NZ516"/>
      <c r="OA516"/>
      <c r="OB516"/>
      <c r="OC516"/>
      <c r="OD516"/>
      <c r="OE516"/>
      <c r="OF516"/>
      <c r="OG516"/>
      <c r="OH516"/>
      <c r="OI516"/>
      <c r="OJ516"/>
      <c r="OK516"/>
      <c r="OL516"/>
      <c r="OM516"/>
      <c r="ON516"/>
      <c r="OO516"/>
      <c r="OP516"/>
      <c r="OQ516"/>
      <c r="OR516"/>
      <c r="OS516"/>
      <c r="OT516"/>
      <c r="OU516"/>
      <c r="OV516"/>
      <c r="OW516"/>
      <c r="OX516"/>
      <c r="OY516"/>
      <c r="OZ516"/>
      <c r="PA516"/>
      <c r="PB516"/>
      <c r="PC516"/>
      <c r="PD516"/>
      <c r="PE516"/>
      <c r="PF516"/>
      <c r="PG516"/>
      <c r="PH516"/>
      <c r="PI516"/>
      <c r="PJ516"/>
      <c r="PK516"/>
      <c r="PL516"/>
      <c r="PM516"/>
      <c r="PN516"/>
      <c r="PO516"/>
      <c r="PP516"/>
      <c r="PQ516"/>
      <c r="PR516"/>
      <c r="PS516"/>
      <c r="PT516"/>
      <c r="PU516"/>
      <c r="PV516"/>
      <c r="PW516"/>
      <c r="PX516"/>
      <c r="PY516"/>
      <c r="PZ516"/>
      <c r="QA516"/>
      <c r="QB516"/>
      <c r="QC516"/>
      <c r="QD516"/>
      <c r="QE516"/>
      <c r="QF516"/>
      <c r="QG516"/>
      <c r="QH516"/>
      <c r="QI516"/>
      <c r="QJ516"/>
      <c r="QK516"/>
      <c r="QL516"/>
      <c r="QM516"/>
      <c r="QN516"/>
      <c r="QO516"/>
      <c r="QP516"/>
      <c r="QQ516"/>
      <c r="QR516"/>
      <c r="QS516"/>
      <c r="QT516"/>
      <c r="QU516"/>
      <c r="QV516"/>
      <c r="QW516"/>
      <c r="QX516"/>
      <c r="QY516"/>
      <c r="QZ516"/>
      <c r="RA516"/>
      <c r="RB516"/>
      <c r="RC516"/>
      <c r="RD516"/>
      <c r="RE516"/>
      <c r="RF516"/>
      <c r="RG516"/>
      <c r="RH516"/>
      <c r="RI516"/>
      <c r="RJ516"/>
      <c r="RK516"/>
      <c r="RL516"/>
      <c r="RM516"/>
      <c r="RN516"/>
      <c r="RO516"/>
      <c r="RP516"/>
      <c r="RQ516"/>
      <c r="RR516"/>
      <c r="RS516"/>
      <c r="RT516"/>
      <c r="RU516"/>
      <c r="RV516"/>
      <c r="RW516"/>
      <c r="RX516"/>
      <c r="RY516"/>
      <c r="RZ516"/>
      <c r="SA516"/>
      <c r="SB516"/>
      <c r="SC516"/>
      <c r="SD516"/>
      <c r="SE516"/>
      <c r="SF516"/>
      <c r="SG516"/>
      <c r="SH516"/>
      <c r="SI516"/>
      <c r="SJ516"/>
      <c r="SK516"/>
      <c r="SL516"/>
      <c r="SM516"/>
      <c r="SN516"/>
      <c r="SO516"/>
      <c r="SP516"/>
      <c r="SQ516"/>
      <c r="SR516"/>
      <c r="SS516"/>
      <c r="ST516"/>
      <c r="SU516"/>
      <c r="SV516"/>
      <c r="SW516"/>
      <c r="SX516"/>
      <c r="SY516"/>
      <c r="SZ516"/>
      <c r="TA516"/>
      <c r="TB516"/>
      <c r="TC516"/>
      <c r="TD516"/>
      <c r="TE516"/>
      <c r="TF516"/>
      <c r="TG516"/>
      <c r="TH516"/>
    </row>
    <row r="517" spans="3:528" x14ac:dyDescent="0.25">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c r="KT517"/>
      <c r="KU517"/>
      <c r="KV517"/>
      <c r="KW517"/>
      <c r="KX517"/>
      <c r="KY517"/>
      <c r="KZ517"/>
      <c r="LA517"/>
      <c r="LB517"/>
      <c r="LC517"/>
      <c r="LD517"/>
      <c r="LE517"/>
      <c r="LF517"/>
      <c r="LG517"/>
      <c r="LH517"/>
      <c r="LI517"/>
      <c r="LJ517"/>
      <c r="LK517"/>
      <c r="LL517"/>
      <c r="LM517"/>
      <c r="LN517"/>
      <c r="LO517"/>
      <c r="LP517"/>
      <c r="LQ517"/>
      <c r="LR517"/>
      <c r="LS517"/>
      <c r="LT517"/>
      <c r="LU517"/>
      <c r="LV517"/>
      <c r="LW517"/>
      <c r="LX517"/>
      <c r="LY517"/>
      <c r="LZ517"/>
      <c r="MA517"/>
      <c r="MB517"/>
      <c r="MC517"/>
      <c r="MD517"/>
      <c r="ME517"/>
      <c r="MF517"/>
      <c r="MG517"/>
      <c r="MH517"/>
      <c r="MI517"/>
      <c r="MJ517"/>
      <c r="MK517"/>
      <c r="ML517"/>
      <c r="MM517"/>
      <c r="MN517"/>
      <c r="MO517"/>
      <c r="MP517"/>
      <c r="MQ517"/>
      <c r="MR517"/>
      <c r="MS517"/>
      <c r="MT517"/>
      <c r="MU517"/>
      <c r="MV517"/>
      <c r="MW517"/>
      <c r="MX517"/>
      <c r="MY517"/>
      <c r="MZ517"/>
      <c r="NA517"/>
      <c r="NB517"/>
      <c r="NC517"/>
      <c r="ND517"/>
      <c r="NE517"/>
      <c r="NF517"/>
      <c r="NG517"/>
      <c r="NH517"/>
      <c r="NI517"/>
      <c r="NJ517"/>
      <c r="NK517"/>
      <c r="NL517"/>
      <c r="NM517"/>
      <c r="NN517"/>
      <c r="NO517"/>
      <c r="NP517"/>
      <c r="NQ517"/>
      <c r="NR517"/>
      <c r="NS517"/>
      <c r="NT517"/>
      <c r="NU517"/>
      <c r="NV517"/>
      <c r="NW517"/>
      <c r="NX517"/>
      <c r="NY517"/>
      <c r="NZ517"/>
      <c r="OA517"/>
      <c r="OB517"/>
      <c r="OC517"/>
      <c r="OD517"/>
      <c r="OE517"/>
      <c r="OF517"/>
      <c r="OG517"/>
      <c r="OH517"/>
      <c r="OI517"/>
      <c r="OJ517"/>
      <c r="OK517"/>
      <c r="OL517"/>
      <c r="OM517"/>
      <c r="ON517"/>
      <c r="OO517"/>
      <c r="OP517"/>
      <c r="OQ517"/>
      <c r="OR517"/>
      <c r="OS517"/>
      <c r="OT517"/>
      <c r="OU517"/>
      <c r="OV517"/>
      <c r="OW517"/>
      <c r="OX517"/>
      <c r="OY517"/>
      <c r="OZ517"/>
      <c r="PA517"/>
      <c r="PB517"/>
      <c r="PC517"/>
      <c r="PD517"/>
      <c r="PE517"/>
      <c r="PF517"/>
      <c r="PG517"/>
      <c r="PH517"/>
      <c r="PI517"/>
      <c r="PJ517"/>
      <c r="PK517"/>
      <c r="PL517"/>
      <c r="PM517"/>
      <c r="PN517"/>
      <c r="PO517"/>
      <c r="PP517"/>
      <c r="PQ517"/>
      <c r="PR517"/>
      <c r="PS517"/>
      <c r="PT517"/>
      <c r="PU517"/>
      <c r="PV517"/>
      <c r="PW517"/>
      <c r="PX517"/>
      <c r="PY517"/>
      <c r="PZ517"/>
      <c r="QA517"/>
      <c r="QB517"/>
      <c r="QC517"/>
      <c r="QD517"/>
      <c r="QE517"/>
      <c r="QF517"/>
      <c r="QG517"/>
      <c r="QH517"/>
      <c r="QI517"/>
      <c r="QJ517"/>
      <c r="QK517"/>
      <c r="QL517"/>
      <c r="QM517"/>
      <c r="QN517"/>
      <c r="QO517"/>
      <c r="QP517"/>
      <c r="QQ517"/>
      <c r="QR517"/>
      <c r="QS517"/>
      <c r="QT517"/>
      <c r="QU517"/>
      <c r="QV517"/>
      <c r="QW517"/>
      <c r="QX517"/>
      <c r="QY517"/>
      <c r="QZ517"/>
      <c r="RA517"/>
      <c r="RB517"/>
      <c r="RC517"/>
      <c r="RD517"/>
      <c r="RE517"/>
      <c r="RF517"/>
      <c r="RG517"/>
      <c r="RH517"/>
      <c r="RI517"/>
      <c r="RJ517"/>
      <c r="RK517"/>
      <c r="RL517"/>
      <c r="RM517"/>
      <c r="RN517"/>
      <c r="RO517"/>
      <c r="RP517"/>
      <c r="RQ517"/>
      <c r="RR517"/>
      <c r="RS517"/>
      <c r="RT517"/>
      <c r="RU517"/>
      <c r="RV517"/>
      <c r="RW517"/>
      <c r="RX517"/>
      <c r="RY517"/>
      <c r="RZ517"/>
      <c r="SA517"/>
      <c r="SB517"/>
      <c r="SC517"/>
      <c r="SD517"/>
      <c r="SE517"/>
      <c r="SF517"/>
      <c r="SG517"/>
      <c r="SH517"/>
      <c r="SI517"/>
      <c r="SJ517"/>
      <c r="SK517"/>
      <c r="SL517"/>
      <c r="SM517"/>
      <c r="SN517"/>
      <c r="SO517"/>
      <c r="SP517"/>
      <c r="SQ517"/>
      <c r="SR517"/>
      <c r="SS517"/>
      <c r="ST517"/>
      <c r="SU517"/>
      <c r="SV517"/>
      <c r="SW517"/>
      <c r="SX517"/>
      <c r="SY517"/>
      <c r="SZ517"/>
      <c r="TA517"/>
      <c r="TB517"/>
      <c r="TC517"/>
      <c r="TD517"/>
      <c r="TE517"/>
      <c r="TF517"/>
      <c r="TG517"/>
      <c r="TH517"/>
    </row>
    <row r="518" spans="3:528" x14ac:dyDescent="0.25">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c r="KT518"/>
      <c r="KU518"/>
      <c r="KV518"/>
      <c r="KW518"/>
      <c r="KX518"/>
      <c r="KY518"/>
      <c r="KZ518"/>
      <c r="LA518"/>
      <c r="LB518"/>
      <c r="LC518"/>
      <c r="LD518"/>
      <c r="LE518"/>
      <c r="LF518"/>
      <c r="LG518"/>
      <c r="LH518"/>
      <c r="LI518"/>
      <c r="LJ518"/>
      <c r="LK518"/>
      <c r="LL518"/>
      <c r="LM518"/>
      <c r="LN518"/>
      <c r="LO518"/>
      <c r="LP518"/>
      <c r="LQ518"/>
      <c r="LR518"/>
      <c r="LS518"/>
      <c r="LT518"/>
      <c r="LU518"/>
      <c r="LV518"/>
      <c r="LW518"/>
      <c r="LX518"/>
      <c r="LY518"/>
      <c r="LZ518"/>
      <c r="MA518"/>
      <c r="MB518"/>
      <c r="MC518"/>
      <c r="MD518"/>
      <c r="ME518"/>
      <c r="MF518"/>
      <c r="MG518"/>
      <c r="MH518"/>
      <c r="MI518"/>
      <c r="MJ518"/>
      <c r="MK518"/>
      <c r="ML518"/>
      <c r="MM518"/>
      <c r="MN518"/>
      <c r="MO518"/>
      <c r="MP518"/>
      <c r="MQ518"/>
      <c r="MR518"/>
      <c r="MS518"/>
      <c r="MT518"/>
      <c r="MU518"/>
      <c r="MV518"/>
      <c r="MW518"/>
      <c r="MX518"/>
      <c r="MY518"/>
      <c r="MZ518"/>
      <c r="NA518"/>
      <c r="NB518"/>
      <c r="NC518"/>
      <c r="ND518"/>
      <c r="NE518"/>
      <c r="NF518"/>
      <c r="NG518"/>
      <c r="NH518"/>
      <c r="NI518"/>
      <c r="NJ518"/>
      <c r="NK518"/>
      <c r="NL518"/>
      <c r="NM518"/>
      <c r="NN518"/>
      <c r="NO518"/>
      <c r="NP518"/>
      <c r="NQ518"/>
      <c r="NR518"/>
      <c r="NS518"/>
      <c r="NT518"/>
      <c r="NU518"/>
      <c r="NV518"/>
      <c r="NW518"/>
      <c r="NX518"/>
      <c r="NY518"/>
      <c r="NZ518"/>
      <c r="OA518"/>
      <c r="OB518"/>
      <c r="OC518"/>
      <c r="OD518"/>
      <c r="OE518"/>
      <c r="OF518"/>
      <c r="OG518"/>
      <c r="OH518"/>
      <c r="OI518"/>
      <c r="OJ518"/>
      <c r="OK518"/>
      <c r="OL518"/>
      <c r="OM518"/>
      <c r="ON518"/>
      <c r="OO518"/>
      <c r="OP518"/>
      <c r="OQ518"/>
      <c r="OR518"/>
      <c r="OS518"/>
      <c r="OT518"/>
      <c r="OU518"/>
      <c r="OV518"/>
      <c r="OW518"/>
      <c r="OX518"/>
      <c r="OY518"/>
      <c r="OZ518"/>
      <c r="PA518"/>
      <c r="PB518"/>
      <c r="PC518"/>
      <c r="PD518"/>
      <c r="PE518"/>
      <c r="PF518"/>
      <c r="PG518"/>
      <c r="PH518"/>
      <c r="PI518"/>
      <c r="PJ518"/>
      <c r="PK518"/>
      <c r="PL518"/>
      <c r="PM518"/>
      <c r="PN518"/>
      <c r="PO518"/>
      <c r="PP518"/>
      <c r="PQ518"/>
      <c r="PR518"/>
      <c r="PS518"/>
      <c r="PT518"/>
      <c r="PU518"/>
      <c r="PV518"/>
      <c r="PW518"/>
      <c r="PX518"/>
      <c r="PY518"/>
      <c r="PZ518"/>
      <c r="QA518"/>
      <c r="QB518"/>
      <c r="QC518"/>
      <c r="QD518"/>
      <c r="QE518"/>
      <c r="QF518"/>
      <c r="QG518"/>
      <c r="QH518"/>
      <c r="QI518"/>
      <c r="QJ518"/>
      <c r="QK518"/>
      <c r="QL518"/>
      <c r="QM518"/>
      <c r="QN518"/>
      <c r="QO518"/>
      <c r="QP518"/>
      <c r="QQ518"/>
      <c r="QR518"/>
      <c r="QS518"/>
      <c r="QT518"/>
      <c r="QU518"/>
      <c r="QV518"/>
      <c r="QW518"/>
      <c r="QX518"/>
      <c r="QY518"/>
      <c r="QZ518"/>
      <c r="RA518"/>
      <c r="RB518"/>
      <c r="RC518"/>
      <c r="RD518"/>
      <c r="RE518"/>
      <c r="RF518"/>
      <c r="RG518"/>
      <c r="RH518"/>
      <c r="RI518"/>
      <c r="RJ518"/>
      <c r="RK518"/>
      <c r="RL518"/>
      <c r="RM518"/>
      <c r="RN518"/>
      <c r="RO518"/>
      <c r="RP518"/>
      <c r="RQ518"/>
      <c r="RR518"/>
      <c r="RS518"/>
      <c r="RT518"/>
      <c r="RU518"/>
      <c r="RV518"/>
      <c r="RW518"/>
      <c r="RX518"/>
      <c r="RY518"/>
      <c r="RZ518"/>
      <c r="SA518"/>
      <c r="SB518"/>
      <c r="SC518"/>
      <c r="SD518"/>
      <c r="SE518"/>
      <c r="SF518"/>
      <c r="SG518"/>
      <c r="SH518"/>
      <c r="SI518"/>
      <c r="SJ518"/>
      <c r="SK518"/>
      <c r="SL518"/>
      <c r="SM518"/>
      <c r="SN518"/>
      <c r="SO518"/>
      <c r="SP518"/>
      <c r="SQ518"/>
      <c r="SR518"/>
      <c r="SS518"/>
      <c r="ST518"/>
      <c r="SU518"/>
      <c r="SV518"/>
      <c r="SW518"/>
      <c r="SX518"/>
      <c r="SY518"/>
      <c r="SZ518"/>
      <c r="TA518"/>
      <c r="TB518"/>
      <c r="TC518"/>
      <c r="TD518"/>
      <c r="TE518"/>
      <c r="TF518"/>
      <c r="TG518"/>
      <c r="TH518"/>
    </row>
    <row r="519" spans="3:528" x14ac:dyDescent="0.25">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c r="KT519"/>
      <c r="KU519"/>
      <c r="KV519"/>
      <c r="KW519"/>
      <c r="KX519"/>
      <c r="KY519"/>
      <c r="KZ519"/>
      <c r="LA519"/>
      <c r="LB519"/>
      <c r="LC519"/>
      <c r="LD519"/>
      <c r="LE519"/>
      <c r="LF519"/>
      <c r="LG519"/>
      <c r="LH519"/>
      <c r="LI519"/>
      <c r="LJ519"/>
      <c r="LK519"/>
      <c r="LL519"/>
      <c r="LM519"/>
      <c r="LN519"/>
      <c r="LO519"/>
      <c r="LP519"/>
      <c r="LQ519"/>
      <c r="LR519"/>
      <c r="LS519"/>
      <c r="LT519"/>
      <c r="LU519"/>
      <c r="LV519"/>
      <c r="LW519"/>
      <c r="LX519"/>
      <c r="LY519"/>
      <c r="LZ519"/>
      <c r="MA519"/>
      <c r="MB519"/>
      <c r="MC519"/>
      <c r="MD519"/>
      <c r="ME519"/>
      <c r="MF519"/>
      <c r="MG519"/>
      <c r="MH519"/>
      <c r="MI519"/>
      <c r="MJ519"/>
      <c r="MK519"/>
      <c r="ML519"/>
      <c r="MM519"/>
      <c r="MN519"/>
      <c r="MO519"/>
      <c r="MP519"/>
      <c r="MQ519"/>
      <c r="MR519"/>
      <c r="MS519"/>
      <c r="MT519"/>
      <c r="MU519"/>
      <c r="MV519"/>
      <c r="MW519"/>
      <c r="MX519"/>
      <c r="MY519"/>
      <c r="MZ519"/>
      <c r="NA519"/>
      <c r="NB519"/>
      <c r="NC519"/>
      <c r="ND519"/>
      <c r="NE519"/>
      <c r="NF519"/>
      <c r="NG519"/>
      <c r="NH519"/>
      <c r="NI519"/>
      <c r="NJ519"/>
      <c r="NK519"/>
      <c r="NL519"/>
      <c r="NM519"/>
      <c r="NN519"/>
      <c r="NO519"/>
      <c r="NP519"/>
      <c r="NQ519"/>
      <c r="NR519"/>
      <c r="NS519"/>
      <c r="NT519"/>
      <c r="NU519"/>
      <c r="NV519"/>
      <c r="NW519"/>
      <c r="NX519"/>
      <c r="NY519"/>
      <c r="NZ519"/>
      <c r="OA519"/>
      <c r="OB519"/>
      <c r="OC519"/>
      <c r="OD519"/>
      <c r="OE519"/>
      <c r="OF519"/>
      <c r="OG519"/>
      <c r="OH519"/>
      <c r="OI519"/>
      <c r="OJ519"/>
      <c r="OK519"/>
      <c r="OL519"/>
      <c r="OM519"/>
      <c r="ON519"/>
      <c r="OO519"/>
      <c r="OP519"/>
      <c r="OQ519"/>
      <c r="OR519"/>
      <c r="OS519"/>
      <c r="OT519"/>
      <c r="OU519"/>
      <c r="OV519"/>
      <c r="OW519"/>
      <c r="OX519"/>
      <c r="OY519"/>
      <c r="OZ519"/>
      <c r="PA519"/>
      <c r="PB519"/>
      <c r="PC519"/>
      <c r="PD519"/>
      <c r="PE519"/>
      <c r="PF519"/>
      <c r="PG519"/>
      <c r="PH519"/>
      <c r="PI519"/>
      <c r="PJ519"/>
      <c r="PK519"/>
      <c r="PL519"/>
      <c r="PM519"/>
      <c r="PN519"/>
      <c r="PO519"/>
      <c r="PP519"/>
      <c r="PQ519"/>
      <c r="PR519"/>
      <c r="PS519"/>
      <c r="PT519"/>
      <c r="PU519"/>
      <c r="PV519"/>
      <c r="PW519"/>
      <c r="PX519"/>
      <c r="PY519"/>
      <c r="PZ519"/>
      <c r="QA519"/>
      <c r="QB519"/>
      <c r="QC519"/>
      <c r="QD519"/>
      <c r="QE519"/>
      <c r="QF519"/>
      <c r="QG519"/>
      <c r="QH519"/>
      <c r="QI519"/>
      <c r="QJ519"/>
      <c r="QK519"/>
      <c r="QL519"/>
      <c r="QM519"/>
      <c r="QN519"/>
      <c r="QO519"/>
      <c r="QP519"/>
      <c r="QQ519"/>
      <c r="QR519"/>
      <c r="QS519"/>
      <c r="QT519"/>
      <c r="QU519"/>
      <c r="QV519"/>
      <c r="QW519"/>
      <c r="QX519"/>
      <c r="QY519"/>
      <c r="QZ519"/>
      <c r="RA519"/>
      <c r="RB519"/>
      <c r="RC519"/>
      <c r="RD519"/>
      <c r="RE519"/>
      <c r="RF519"/>
      <c r="RG519"/>
      <c r="RH519"/>
      <c r="RI519"/>
      <c r="RJ519"/>
      <c r="RK519"/>
      <c r="RL519"/>
      <c r="RM519"/>
      <c r="RN519"/>
      <c r="RO519"/>
      <c r="RP519"/>
      <c r="RQ519"/>
      <c r="RR519"/>
      <c r="RS519"/>
      <c r="RT519"/>
      <c r="RU519"/>
      <c r="RV519"/>
      <c r="RW519"/>
      <c r="RX519"/>
      <c r="RY519"/>
      <c r="RZ519"/>
      <c r="SA519"/>
      <c r="SB519"/>
      <c r="SC519"/>
      <c r="SD519"/>
      <c r="SE519"/>
      <c r="SF519"/>
      <c r="SG519"/>
      <c r="SH519"/>
      <c r="SI519"/>
      <c r="SJ519"/>
      <c r="SK519"/>
      <c r="SL519"/>
      <c r="SM519"/>
      <c r="SN519"/>
      <c r="SO519"/>
      <c r="SP519"/>
      <c r="SQ519"/>
      <c r="SR519"/>
      <c r="SS519"/>
      <c r="ST519"/>
      <c r="SU519"/>
      <c r="SV519"/>
      <c r="SW519"/>
      <c r="SX519"/>
      <c r="SY519"/>
      <c r="SZ519"/>
      <c r="TA519"/>
      <c r="TB519"/>
      <c r="TC519"/>
      <c r="TD519"/>
      <c r="TE519"/>
      <c r="TF519"/>
      <c r="TG519"/>
      <c r="TH519"/>
    </row>
    <row r="520" spans="3:528" x14ac:dyDescent="0.25">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c r="KT520"/>
      <c r="KU520"/>
      <c r="KV520"/>
      <c r="KW520"/>
      <c r="KX520"/>
      <c r="KY520"/>
      <c r="KZ520"/>
      <c r="LA520"/>
      <c r="LB520"/>
      <c r="LC520"/>
      <c r="LD520"/>
      <c r="LE520"/>
      <c r="LF520"/>
      <c r="LG520"/>
      <c r="LH520"/>
      <c r="LI520"/>
      <c r="LJ520"/>
      <c r="LK520"/>
      <c r="LL520"/>
      <c r="LM520"/>
      <c r="LN520"/>
      <c r="LO520"/>
      <c r="LP520"/>
      <c r="LQ520"/>
      <c r="LR520"/>
      <c r="LS520"/>
      <c r="LT520"/>
      <c r="LU520"/>
      <c r="LV520"/>
      <c r="LW520"/>
      <c r="LX520"/>
      <c r="LY520"/>
      <c r="LZ520"/>
      <c r="MA520"/>
      <c r="MB520"/>
      <c r="MC520"/>
      <c r="MD520"/>
      <c r="ME520"/>
      <c r="MF520"/>
      <c r="MG520"/>
      <c r="MH520"/>
      <c r="MI520"/>
      <c r="MJ520"/>
      <c r="MK520"/>
      <c r="ML520"/>
      <c r="MM520"/>
      <c r="MN520"/>
      <c r="MO520"/>
      <c r="MP520"/>
      <c r="MQ520"/>
      <c r="MR520"/>
      <c r="MS520"/>
      <c r="MT520"/>
      <c r="MU520"/>
      <c r="MV520"/>
      <c r="MW520"/>
      <c r="MX520"/>
      <c r="MY520"/>
      <c r="MZ520"/>
      <c r="NA520"/>
      <c r="NB520"/>
      <c r="NC520"/>
      <c r="ND520"/>
      <c r="NE520"/>
      <c r="NF520"/>
      <c r="NG520"/>
      <c r="NH520"/>
      <c r="NI520"/>
      <c r="NJ520"/>
      <c r="NK520"/>
      <c r="NL520"/>
      <c r="NM520"/>
      <c r="NN520"/>
      <c r="NO520"/>
      <c r="NP520"/>
      <c r="NQ520"/>
      <c r="NR520"/>
      <c r="NS520"/>
      <c r="NT520"/>
      <c r="NU520"/>
      <c r="NV520"/>
      <c r="NW520"/>
      <c r="NX520"/>
      <c r="NY520"/>
      <c r="NZ520"/>
      <c r="OA520"/>
      <c r="OB520"/>
      <c r="OC520"/>
      <c r="OD520"/>
      <c r="OE520"/>
      <c r="OF520"/>
      <c r="OG520"/>
      <c r="OH520"/>
      <c r="OI520"/>
      <c r="OJ520"/>
      <c r="OK520"/>
      <c r="OL520"/>
      <c r="OM520"/>
      <c r="ON520"/>
      <c r="OO520"/>
      <c r="OP520"/>
      <c r="OQ520"/>
      <c r="OR520"/>
      <c r="OS520"/>
      <c r="OT520"/>
      <c r="OU520"/>
      <c r="OV520"/>
      <c r="OW520"/>
      <c r="OX520"/>
      <c r="OY520"/>
      <c r="OZ520"/>
      <c r="PA520"/>
      <c r="PB520"/>
      <c r="PC520"/>
      <c r="PD520"/>
      <c r="PE520"/>
      <c r="PF520"/>
      <c r="PG520"/>
      <c r="PH520"/>
      <c r="PI520"/>
      <c r="PJ520"/>
      <c r="PK520"/>
      <c r="PL520"/>
      <c r="PM520"/>
      <c r="PN520"/>
      <c r="PO520"/>
      <c r="PP520"/>
      <c r="PQ520"/>
      <c r="PR520"/>
      <c r="PS520"/>
      <c r="PT520"/>
      <c r="PU520"/>
      <c r="PV520"/>
      <c r="PW520"/>
      <c r="PX520"/>
      <c r="PY520"/>
      <c r="PZ520"/>
      <c r="QA520"/>
      <c r="QB520"/>
      <c r="QC520"/>
      <c r="QD520"/>
      <c r="QE520"/>
      <c r="QF520"/>
      <c r="QG520"/>
      <c r="QH520"/>
      <c r="QI520"/>
      <c r="QJ520"/>
      <c r="QK520"/>
      <c r="QL520"/>
      <c r="QM520"/>
      <c r="QN520"/>
      <c r="QO520"/>
      <c r="QP520"/>
      <c r="QQ520"/>
      <c r="QR520"/>
      <c r="QS520"/>
      <c r="QT520"/>
      <c r="QU520"/>
      <c r="QV520"/>
      <c r="QW520"/>
      <c r="QX520"/>
      <c r="QY520"/>
      <c r="QZ520"/>
      <c r="RA520"/>
      <c r="RB520"/>
      <c r="RC520"/>
      <c r="RD520"/>
      <c r="RE520"/>
      <c r="RF520"/>
      <c r="RG520"/>
      <c r="RH520"/>
      <c r="RI520"/>
      <c r="RJ520"/>
      <c r="RK520"/>
      <c r="RL520"/>
      <c r="RM520"/>
      <c r="RN520"/>
      <c r="RO520"/>
      <c r="RP520"/>
      <c r="RQ520"/>
      <c r="RR520"/>
      <c r="RS520"/>
      <c r="RT520"/>
      <c r="RU520"/>
      <c r="RV520"/>
      <c r="RW520"/>
      <c r="RX520"/>
      <c r="RY520"/>
      <c r="RZ520"/>
      <c r="SA520"/>
      <c r="SB520"/>
      <c r="SC520"/>
      <c r="SD520"/>
      <c r="SE520"/>
      <c r="SF520"/>
      <c r="SG520"/>
      <c r="SH520"/>
      <c r="SI520"/>
      <c r="SJ520"/>
      <c r="SK520"/>
      <c r="SL520"/>
      <c r="SM520"/>
      <c r="SN520"/>
      <c r="SO520"/>
      <c r="SP520"/>
      <c r="SQ520"/>
      <c r="SR520"/>
      <c r="SS520"/>
      <c r="ST520"/>
      <c r="SU520"/>
      <c r="SV520"/>
      <c r="SW520"/>
      <c r="SX520"/>
      <c r="SY520"/>
      <c r="SZ520"/>
      <c r="TA520"/>
      <c r="TB520"/>
      <c r="TC520"/>
      <c r="TD520"/>
      <c r="TE520"/>
      <c r="TF520"/>
      <c r="TG520"/>
      <c r="TH520"/>
    </row>
    <row r="521" spans="3:528" x14ac:dyDescent="0.25">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c r="KT521"/>
      <c r="KU521"/>
      <c r="KV521"/>
      <c r="KW521"/>
      <c r="KX521"/>
      <c r="KY521"/>
      <c r="KZ521"/>
      <c r="LA521"/>
      <c r="LB521"/>
      <c r="LC521"/>
      <c r="LD521"/>
      <c r="LE521"/>
      <c r="LF521"/>
      <c r="LG521"/>
      <c r="LH521"/>
      <c r="LI521"/>
      <c r="LJ521"/>
      <c r="LK521"/>
      <c r="LL521"/>
      <c r="LM521"/>
      <c r="LN521"/>
      <c r="LO521"/>
      <c r="LP521"/>
      <c r="LQ521"/>
      <c r="LR521"/>
      <c r="LS521"/>
      <c r="LT521"/>
      <c r="LU521"/>
      <c r="LV521"/>
      <c r="LW521"/>
      <c r="LX521"/>
      <c r="LY521"/>
      <c r="LZ521"/>
      <c r="MA521"/>
      <c r="MB521"/>
      <c r="MC521"/>
      <c r="MD521"/>
      <c r="ME521"/>
      <c r="MF521"/>
      <c r="MG521"/>
      <c r="MH521"/>
      <c r="MI521"/>
      <c r="MJ521"/>
      <c r="MK521"/>
      <c r="ML521"/>
      <c r="MM521"/>
      <c r="MN521"/>
      <c r="MO521"/>
      <c r="MP521"/>
      <c r="MQ521"/>
      <c r="MR521"/>
      <c r="MS521"/>
      <c r="MT521"/>
      <c r="MU521"/>
      <c r="MV521"/>
      <c r="MW521"/>
      <c r="MX521"/>
      <c r="MY521"/>
      <c r="MZ521"/>
      <c r="NA521"/>
      <c r="NB521"/>
      <c r="NC521"/>
      <c r="ND521"/>
      <c r="NE521"/>
      <c r="NF521"/>
      <c r="NG521"/>
      <c r="NH521"/>
      <c r="NI521"/>
      <c r="NJ521"/>
      <c r="NK521"/>
      <c r="NL521"/>
      <c r="NM521"/>
      <c r="NN521"/>
      <c r="NO521"/>
      <c r="NP521"/>
      <c r="NQ521"/>
      <c r="NR521"/>
      <c r="NS521"/>
      <c r="NT521"/>
      <c r="NU521"/>
      <c r="NV521"/>
      <c r="NW521"/>
      <c r="NX521"/>
      <c r="NY521"/>
      <c r="NZ521"/>
      <c r="OA521"/>
      <c r="OB521"/>
      <c r="OC521"/>
      <c r="OD521"/>
      <c r="OE521"/>
      <c r="OF521"/>
      <c r="OG521"/>
      <c r="OH521"/>
      <c r="OI521"/>
      <c r="OJ521"/>
      <c r="OK521"/>
      <c r="OL521"/>
      <c r="OM521"/>
      <c r="ON521"/>
      <c r="OO521"/>
      <c r="OP521"/>
      <c r="OQ521"/>
      <c r="OR521"/>
      <c r="OS521"/>
      <c r="OT521"/>
      <c r="OU521"/>
      <c r="OV521"/>
      <c r="OW521"/>
      <c r="OX521"/>
      <c r="OY521"/>
      <c r="OZ521"/>
      <c r="PA521"/>
      <c r="PB521"/>
      <c r="PC521"/>
      <c r="PD521"/>
      <c r="PE521"/>
      <c r="PF521"/>
      <c r="PG521"/>
      <c r="PH521"/>
      <c r="PI521"/>
      <c r="PJ521"/>
      <c r="PK521"/>
      <c r="PL521"/>
      <c r="PM521"/>
      <c r="PN521"/>
      <c r="PO521"/>
      <c r="PP521"/>
      <c r="PQ521"/>
      <c r="PR521"/>
      <c r="PS521"/>
      <c r="PT521"/>
      <c r="PU521"/>
      <c r="PV521"/>
      <c r="PW521"/>
      <c r="PX521"/>
      <c r="PY521"/>
      <c r="PZ521"/>
      <c r="QA521"/>
      <c r="QB521"/>
      <c r="QC521"/>
      <c r="QD521"/>
      <c r="QE521"/>
      <c r="QF521"/>
      <c r="QG521"/>
      <c r="QH521"/>
      <c r="QI521"/>
      <c r="QJ521"/>
      <c r="QK521"/>
      <c r="QL521"/>
      <c r="QM521"/>
      <c r="QN521"/>
      <c r="QO521"/>
      <c r="QP521"/>
      <c r="QQ521"/>
      <c r="QR521"/>
      <c r="QS521"/>
      <c r="QT521"/>
      <c r="QU521"/>
      <c r="QV521"/>
      <c r="QW521"/>
      <c r="QX521"/>
      <c r="QY521"/>
      <c r="QZ521"/>
      <c r="RA521"/>
      <c r="RB521"/>
      <c r="RC521"/>
      <c r="RD521"/>
      <c r="RE521"/>
      <c r="RF521"/>
      <c r="RG521"/>
      <c r="RH521"/>
      <c r="RI521"/>
      <c r="RJ521"/>
      <c r="RK521"/>
      <c r="RL521"/>
      <c r="RM521"/>
      <c r="RN521"/>
      <c r="RO521"/>
      <c r="RP521"/>
      <c r="RQ521"/>
      <c r="RR521"/>
      <c r="RS521"/>
      <c r="RT521"/>
      <c r="RU521"/>
      <c r="RV521"/>
      <c r="RW521"/>
      <c r="RX521"/>
      <c r="RY521"/>
      <c r="RZ521"/>
      <c r="SA521"/>
      <c r="SB521"/>
      <c r="SC521"/>
      <c r="SD521"/>
      <c r="SE521"/>
      <c r="SF521"/>
      <c r="SG521"/>
      <c r="SH521"/>
      <c r="SI521"/>
      <c r="SJ521"/>
      <c r="SK521"/>
      <c r="SL521"/>
      <c r="SM521"/>
      <c r="SN521"/>
      <c r="SO521"/>
      <c r="SP521"/>
      <c r="SQ521"/>
      <c r="SR521"/>
      <c r="SS521"/>
      <c r="ST521"/>
      <c r="SU521"/>
      <c r="SV521"/>
      <c r="SW521"/>
      <c r="SX521"/>
      <c r="SY521"/>
      <c r="SZ521"/>
      <c r="TA521"/>
      <c r="TB521"/>
      <c r="TC521"/>
      <c r="TD521"/>
      <c r="TE521"/>
      <c r="TF521"/>
      <c r="TG521"/>
      <c r="TH521"/>
    </row>
    <row r="522" spans="3:528" x14ac:dyDescent="0.25">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c r="KT522"/>
      <c r="KU522"/>
      <c r="KV522"/>
      <c r="KW522"/>
      <c r="KX522"/>
      <c r="KY522"/>
      <c r="KZ522"/>
      <c r="LA522"/>
      <c r="LB522"/>
      <c r="LC522"/>
      <c r="LD522"/>
      <c r="LE522"/>
      <c r="LF522"/>
      <c r="LG522"/>
      <c r="LH522"/>
      <c r="LI522"/>
      <c r="LJ522"/>
      <c r="LK522"/>
      <c r="LL522"/>
      <c r="LM522"/>
      <c r="LN522"/>
      <c r="LO522"/>
      <c r="LP522"/>
      <c r="LQ522"/>
      <c r="LR522"/>
      <c r="LS522"/>
      <c r="LT522"/>
      <c r="LU522"/>
      <c r="LV522"/>
      <c r="LW522"/>
      <c r="LX522"/>
      <c r="LY522"/>
      <c r="LZ522"/>
      <c r="MA522"/>
      <c r="MB522"/>
      <c r="MC522"/>
      <c r="MD522"/>
      <c r="ME522"/>
      <c r="MF522"/>
      <c r="MG522"/>
      <c r="MH522"/>
      <c r="MI522"/>
      <c r="MJ522"/>
      <c r="MK522"/>
      <c r="ML522"/>
      <c r="MM522"/>
      <c r="MN522"/>
      <c r="MO522"/>
      <c r="MP522"/>
      <c r="MQ522"/>
      <c r="MR522"/>
      <c r="MS522"/>
      <c r="MT522"/>
      <c r="MU522"/>
      <c r="MV522"/>
      <c r="MW522"/>
      <c r="MX522"/>
      <c r="MY522"/>
      <c r="MZ522"/>
      <c r="NA522"/>
      <c r="NB522"/>
      <c r="NC522"/>
      <c r="ND522"/>
      <c r="NE522"/>
      <c r="NF522"/>
      <c r="NG522"/>
      <c r="NH522"/>
      <c r="NI522"/>
      <c r="NJ522"/>
      <c r="NK522"/>
      <c r="NL522"/>
      <c r="NM522"/>
      <c r="NN522"/>
      <c r="NO522"/>
      <c r="NP522"/>
      <c r="NQ522"/>
      <c r="NR522"/>
      <c r="NS522"/>
      <c r="NT522"/>
      <c r="NU522"/>
      <c r="NV522"/>
      <c r="NW522"/>
      <c r="NX522"/>
      <c r="NY522"/>
      <c r="NZ522"/>
      <c r="OA522"/>
      <c r="OB522"/>
      <c r="OC522"/>
      <c r="OD522"/>
      <c r="OE522"/>
      <c r="OF522"/>
      <c r="OG522"/>
      <c r="OH522"/>
      <c r="OI522"/>
      <c r="OJ522"/>
      <c r="OK522"/>
      <c r="OL522"/>
      <c r="OM522"/>
      <c r="ON522"/>
      <c r="OO522"/>
      <c r="OP522"/>
      <c r="OQ522"/>
      <c r="OR522"/>
      <c r="OS522"/>
      <c r="OT522"/>
      <c r="OU522"/>
      <c r="OV522"/>
      <c r="OW522"/>
      <c r="OX522"/>
      <c r="OY522"/>
      <c r="OZ522"/>
      <c r="PA522"/>
      <c r="PB522"/>
      <c r="PC522"/>
      <c r="PD522"/>
      <c r="PE522"/>
      <c r="PF522"/>
      <c r="PG522"/>
      <c r="PH522"/>
      <c r="PI522"/>
      <c r="PJ522"/>
      <c r="PK522"/>
      <c r="PL522"/>
      <c r="PM522"/>
      <c r="PN522"/>
      <c r="PO522"/>
      <c r="PP522"/>
      <c r="PQ522"/>
      <c r="PR522"/>
      <c r="PS522"/>
      <c r="PT522"/>
      <c r="PU522"/>
      <c r="PV522"/>
      <c r="PW522"/>
      <c r="PX522"/>
      <c r="PY522"/>
      <c r="PZ522"/>
      <c r="QA522"/>
      <c r="QB522"/>
      <c r="QC522"/>
      <c r="QD522"/>
      <c r="QE522"/>
      <c r="QF522"/>
      <c r="QG522"/>
      <c r="QH522"/>
      <c r="QI522"/>
      <c r="QJ522"/>
      <c r="QK522"/>
      <c r="QL522"/>
      <c r="QM522"/>
      <c r="QN522"/>
      <c r="QO522"/>
      <c r="QP522"/>
      <c r="QQ522"/>
      <c r="QR522"/>
      <c r="QS522"/>
      <c r="QT522"/>
      <c r="QU522"/>
      <c r="QV522"/>
      <c r="QW522"/>
      <c r="QX522"/>
      <c r="QY522"/>
      <c r="QZ522"/>
      <c r="RA522"/>
      <c r="RB522"/>
      <c r="RC522"/>
      <c r="RD522"/>
      <c r="RE522"/>
      <c r="RF522"/>
      <c r="RG522"/>
      <c r="RH522"/>
      <c r="RI522"/>
      <c r="RJ522"/>
      <c r="RK522"/>
      <c r="RL522"/>
      <c r="RM522"/>
      <c r="RN522"/>
      <c r="RO522"/>
      <c r="RP522"/>
      <c r="RQ522"/>
      <c r="RR522"/>
      <c r="RS522"/>
      <c r="RT522"/>
      <c r="RU522"/>
      <c r="RV522"/>
      <c r="RW522"/>
      <c r="RX522"/>
      <c r="RY522"/>
      <c r="RZ522"/>
      <c r="SA522"/>
      <c r="SB522"/>
      <c r="SC522"/>
      <c r="SD522"/>
      <c r="SE522"/>
      <c r="SF522"/>
      <c r="SG522"/>
      <c r="SH522"/>
      <c r="SI522"/>
      <c r="SJ522"/>
      <c r="SK522"/>
      <c r="SL522"/>
      <c r="SM522"/>
      <c r="SN522"/>
      <c r="SO522"/>
      <c r="SP522"/>
      <c r="SQ522"/>
      <c r="SR522"/>
      <c r="SS522"/>
      <c r="ST522"/>
      <c r="SU522"/>
      <c r="SV522"/>
      <c r="SW522"/>
      <c r="SX522"/>
      <c r="SY522"/>
      <c r="SZ522"/>
      <c r="TA522"/>
      <c r="TB522"/>
      <c r="TC522"/>
      <c r="TD522"/>
      <c r="TE522"/>
      <c r="TF522"/>
      <c r="TG522"/>
      <c r="TH522"/>
    </row>
    <row r="523" spans="3:528" x14ac:dyDescent="0.25">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c r="KT523"/>
      <c r="KU523"/>
      <c r="KV523"/>
      <c r="KW523"/>
      <c r="KX523"/>
      <c r="KY523"/>
      <c r="KZ523"/>
      <c r="LA523"/>
      <c r="LB523"/>
      <c r="LC523"/>
      <c r="LD523"/>
      <c r="LE523"/>
      <c r="LF523"/>
      <c r="LG523"/>
      <c r="LH523"/>
      <c r="LI523"/>
      <c r="LJ523"/>
      <c r="LK523"/>
      <c r="LL523"/>
      <c r="LM523"/>
      <c r="LN523"/>
      <c r="LO523"/>
      <c r="LP523"/>
      <c r="LQ523"/>
      <c r="LR523"/>
      <c r="LS523"/>
      <c r="LT523"/>
      <c r="LU523"/>
      <c r="LV523"/>
      <c r="LW523"/>
      <c r="LX523"/>
      <c r="LY523"/>
      <c r="LZ523"/>
      <c r="MA523"/>
      <c r="MB523"/>
      <c r="MC523"/>
      <c r="MD523"/>
      <c r="ME523"/>
      <c r="MF523"/>
      <c r="MG523"/>
      <c r="MH523"/>
      <c r="MI523"/>
      <c r="MJ523"/>
      <c r="MK523"/>
      <c r="ML523"/>
      <c r="MM523"/>
      <c r="MN523"/>
      <c r="MO523"/>
      <c r="MP523"/>
      <c r="MQ523"/>
      <c r="MR523"/>
      <c r="MS523"/>
      <c r="MT523"/>
      <c r="MU523"/>
      <c r="MV523"/>
      <c r="MW523"/>
      <c r="MX523"/>
      <c r="MY523"/>
      <c r="MZ523"/>
      <c r="NA523"/>
      <c r="NB523"/>
      <c r="NC523"/>
      <c r="ND523"/>
      <c r="NE523"/>
      <c r="NF523"/>
      <c r="NG523"/>
      <c r="NH523"/>
      <c r="NI523"/>
      <c r="NJ523"/>
      <c r="NK523"/>
      <c r="NL523"/>
      <c r="NM523"/>
      <c r="NN523"/>
      <c r="NO523"/>
      <c r="NP523"/>
      <c r="NQ523"/>
      <c r="NR523"/>
      <c r="NS523"/>
      <c r="NT523"/>
      <c r="NU523"/>
      <c r="NV523"/>
      <c r="NW523"/>
      <c r="NX523"/>
      <c r="NY523"/>
      <c r="NZ523"/>
      <c r="OA523"/>
      <c r="OB523"/>
      <c r="OC523"/>
      <c r="OD523"/>
      <c r="OE523"/>
      <c r="OF523"/>
      <c r="OG523"/>
      <c r="OH523"/>
      <c r="OI523"/>
      <c r="OJ523"/>
      <c r="OK523"/>
      <c r="OL523"/>
      <c r="OM523"/>
      <c r="ON523"/>
      <c r="OO523"/>
      <c r="OP523"/>
      <c r="OQ523"/>
      <c r="OR523"/>
      <c r="OS523"/>
      <c r="OT523"/>
      <c r="OU523"/>
      <c r="OV523"/>
      <c r="OW523"/>
      <c r="OX523"/>
      <c r="OY523"/>
      <c r="OZ523"/>
      <c r="PA523"/>
      <c r="PB523"/>
      <c r="PC523"/>
      <c r="PD523"/>
      <c r="PE523"/>
      <c r="PF523"/>
      <c r="PG523"/>
      <c r="PH523"/>
      <c r="PI523"/>
      <c r="PJ523"/>
      <c r="PK523"/>
      <c r="PL523"/>
      <c r="PM523"/>
      <c r="PN523"/>
      <c r="PO523"/>
      <c r="PP523"/>
      <c r="PQ523"/>
      <c r="PR523"/>
      <c r="PS523"/>
      <c r="PT523"/>
      <c r="PU523"/>
      <c r="PV523"/>
      <c r="PW523"/>
      <c r="PX523"/>
      <c r="PY523"/>
      <c r="PZ523"/>
      <c r="QA523"/>
      <c r="QB523"/>
      <c r="QC523"/>
      <c r="QD523"/>
      <c r="QE523"/>
      <c r="QF523"/>
      <c r="QG523"/>
      <c r="QH523"/>
      <c r="QI523"/>
      <c r="QJ523"/>
      <c r="QK523"/>
      <c r="QL523"/>
      <c r="QM523"/>
      <c r="QN523"/>
      <c r="QO523"/>
      <c r="QP523"/>
      <c r="QQ523"/>
      <c r="QR523"/>
      <c r="QS523"/>
      <c r="QT523"/>
      <c r="QU523"/>
      <c r="QV523"/>
      <c r="QW523"/>
      <c r="QX523"/>
      <c r="QY523"/>
      <c r="QZ523"/>
      <c r="RA523"/>
      <c r="RB523"/>
      <c r="RC523"/>
      <c r="RD523"/>
      <c r="RE523"/>
      <c r="RF523"/>
      <c r="RG523"/>
      <c r="RH523"/>
      <c r="RI523"/>
      <c r="RJ523"/>
      <c r="RK523"/>
      <c r="RL523"/>
      <c r="RM523"/>
      <c r="RN523"/>
      <c r="RO523"/>
      <c r="RP523"/>
      <c r="RQ523"/>
      <c r="RR523"/>
      <c r="RS523"/>
      <c r="RT523"/>
      <c r="RU523"/>
      <c r="RV523"/>
      <c r="RW523"/>
      <c r="RX523"/>
      <c r="RY523"/>
      <c r="RZ523"/>
      <c r="SA523"/>
      <c r="SB523"/>
      <c r="SC523"/>
      <c r="SD523"/>
      <c r="SE523"/>
      <c r="SF523"/>
      <c r="SG523"/>
      <c r="SH523"/>
      <c r="SI523"/>
      <c r="SJ523"/>
      <c r="SK523"/>
      <c r="SL523"/>
      <c r="SM523"/>
      <c r="SN523"/>
      <c r="SO523"/>
      <c r="SP523"/>
      <c r="SQ523"/>
      <c r="SR523"/>
      <c r="SS523"/>
      <c r="ST523"/>
      <c r="SU523"/>
      <c r="SV523"/>
      <c r="SW523"/>
      <c r="SX523"/>
      <c r="SY523"/>
      <c r="SZ523"/>
      <c r="TA523"/>
      <c r="TB523"/>
      <c r="TC523"/>
      <c r="TD523"/>
      <c r="TE523"/>
      <c r="TF523"/>
      <c r="TG523"/>
      <c r="TH523"/>
    </row>
    <row r="524" spans="3:528" x14ac:dyDescent="0.25">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c r="KT524"/>
      <c r="KU524"/>
      <c r="KV524"/>
      <c r="KW524"/>
      <c r="KX524"/>
      <c r="KY524"/>
      <c r="KZ524"/>
      <c r="LA524"/>
      <c r="LB524"/>
      <c r="LC524"/>
      <c r="LD524"/>
      <c r="LE524"/>
      <c r="LF524"/>
      <c r="LG524"/>
      <c r="LH524"/>
      <c r="LI524"/>
      <c r="LJ524"/>
      <c r="LK524"/>
      <c r="LL524"/>
      <c r="LM524"/>
      <c r="LN524"/>
      <c r="LO524"/>
      <c r="LP524"/>
      <c r="LQ524"/>
      <c r="LR524"/>
      <c r="LS524"/>
      <c r="LT524"/>
      <c r="LU524"/>
      <c r="LV524"/>
      <c r="LW524"/>
      <c r="LX524"/>
      <c r="LY524"/>
      <c r="LZ524"/>
      <c r="MA524"/>
      <c r="MB524"/>
      <c r="MC524"/>
      <c r="MD524"/>
      <c r="ME524"/>
      <c r="MF524"/>
      <c r="MG524"/>
      <c r="MH524"/>
      <c r="MI524"/>
      <c r="MJ524"/>
      <c r="MK524"/>
      <c r="ML524"/>
      <c r="MM524"/>
      <c r="MN524"/>
      <c r="MO524"/>
      <c r="MP524"/>
      <c r="MQ524"/>
      <c r="MR524"/>
      <c r="MS524"/>
      <c r="MT524"/>
      <c r="MU524"/>
      <c r="MV524"/>
      <c r="MW524"/>
      <c r="MX524"/>
      <c r="MY524"/>
      <c r="MZ524"/>
      <c r="NA524"/>
      <c r="NB524"/>
      <c r="NC524"/>
      <c r="ND524"/>
      <c r="NE524"/>
      <c r="NF524"/>
      <c r="NG524"/>
      <c r="NH524"/>
      <c r="NI524"/>
      <c r="NJ524"/>
      <c r="NK524"/>
      <c r="NL524"/>
      <c r="NM524"/>
      <c r="NN524"/>
      <c r="NO524"/>
      <c r="NP524"/>
      <c r="NQ524"/>
      <c r="NR524"/>
      <c r="NS524"/>
      <c r="NT524"/>
      <c r="NU524"/>
      <c r="NV524"/>
      <c r="NW524"/>
      <c r="NX524"/>
      <c r="NY524"/>
      <c r="NZ524"/>
      <c r="OA524"/>
      <c r="OB524"/>
      <c r="OC524"/>
      <c r="OD524"/>
      <c r="OE524"/>
      <c r="OF524"/>
      <c r="OG524"/>
      <c r="OH524"/>
      <c r="OI524"/>
      <c r="OJ524"/>
      <c r="OK524"/>
      <c r="OL524"/>
      <c r="OM524"/>
      <c r="ON524"/>
      <c r="OO524"/>
      <c r="OP524"/>
      <c r="OQ524"/>
      <c r="OR524"/>
      <c r="OS524"/>
      <c r="OT524"/>
      <c r="OU524"/>
      <c r="OV524"/>
      <c r="OW524"/>
      <c r="OX524"/>
      <c r="OY524"/>
      <c r="OZ524"/>
      <c r="PA524"/>
      <c r="PB524"/>
      <c r="PC524"/>
      <c r="PD524"/>
      <c r="PE524"/>
      <c r="PF524"/>
      <c r="PG524"/>
      <c r="PH524"/>
      <c r="PI524"/>
      <c r="PJ524"/>
      <c r="PK524"/>
      <c r="PL524"/>
      <c r="PM524"/>
      <c r="PN524"/>
      <c r="PO524"/>
      <c r="PP524"/>
      <c r="PQ524"/>
      <c r="PR524"/>
      <c r="PS524"/>
      <c r="PT524"/>
      <c r="PU524"/>
      <c r="PV524"/>
      <c r="PW524"/>
      <c r="PX524"/>
      <c r="PY524"/>
      <c r="PZ524"/>
      <c r="QA524"/>
      <c r="QB524"/>
      <c r="QC524"/>
      <c r="QD524"/>
      <c r="QE524"/>
      <c r="QF524"/>
      <c r="QG524"/>
      <c r="QH524"/>
      <c r="QI524"/>
      <c r="QJ524"/>
      <c r="QK524"/>
      <c r="QL524"/>
      <c r="QM524"/>
      <c r="QN524"/>
      <c r="QO524"/>
      <c r="QP524"/>
      <c r="QQ524"/>
      <c r="QR524"/>
      <c r="QS524"/>
      <c r="QT524"/>
      <c r="QU524"/>
      <c r="QV524"/>
      <c r="QW524"/>
      <c r="QX524"/>
      <c r="QY524"/>
      <c r="QZ524"/>
      <c r="RA524"/>
      <c r="RB524"/>
      <c r="RC524"/>
      <c r="RD524"/>
      <c r="RE524"/>
      <c r="RF524"/>
      <c r="RG524"/>
      <c r="RH524"/>
      <c r="RI524"/>
      <c r="RJ524"/>
      <c r="RK524"/>
      <c r="RL524"/>
      <c r="RM524"/>
      <c r="RN524"/>
      <c r="RO524"/>
      <c r="RP524"/>
      <c r="RQ524"/>
      <c r="RR524"/>
      <c r="RS524"/>
      <c r="RT524"/>
      <c r="RU524"/>
      <c r="RV524"/>
      <c r="RW524"/>
      <c r="RX524"/>
      <c r="RY524"/>
      <c r="RZ524"/>
      <c r="SA524"/>
      <c r="SB524"/>
      <c r="SC524"/>
      <c r="SD524"/>
      <c r="SE524"/>
      <c r="SF524"/>
      <c r="SG524"/>
      <c r="SH524"/>
      <c r="SI524"/>
      <c r="SJ524"/>
      <c r="SK524"/>
      <c r="SL524"/>
      <c r="SM524"/>
      <c r="SN524"/>
      <c r="SO524"/>
      <c r="SP524"/>
      <c r="SQ524"/>
      <c r="SR524"/>
      <c r="SS524"/>
      <c r="ST524"/>
      <c r="SU524"/>
      <c r="SV524"/>
      <c r="SW524"/>
      <c r="SX524"/>
      <c r="SY524"/>
      <c r="SZ524"/>
      <c r="TA524"/>
      <c r="TB524"/>
      <c r="TC524"/>
      <c r="TD524"/>
      <c r="TE524"/>
      <c r="TF524"/>
      <c r="TG524"/>
      <c r="TH524"/>
    </row>
    <row r="525" spans="3:528" x14ac:dyDescent="0.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c r="KT525"/>
      <c r="KU525"/>
      <c r="KV525"/>
      <c r="KW525"/>
      <c r="KX525"/>
      <c r="KY525"/>
      <c r="KZ525"/>
      <c r="LA525"/>
      <c r="LB525"/>
      <c r="LC525"/>
      <c r="LD525"/>
      <c r="LE525"/>
      <c r="LF525"/>
      <c r="LG525"/>
      <c r="LH525"/>
      <c r="LI525"/>
      <c r="LJ525"/>
      <c r="LK525"/>
      <c r="LL525"/>
      <c r="LM525"/>
      <c r="LN525"/>
      <c r="LO525"/>
      <c r="LP525"/>
      <c r="LQ525"/>
      <c r="LR525"/>
      <c r="LS525"/>
      <c r="LT525"/>
      <c r="LU525"/>
      <c r="LV525"/>
      <c r="LW525"/>
      <c r="LX525"/>
      <c r="LY525"/>
      <c r="LZ525"/>
      <c r="MA525"/>
      <c r="MB525"/>
      <c r="MC525"/>
      <c r="MD525"/>
      <c r="ME525"/>
      <c r="MF525"/>
      <c r="MG525"/>
      <c r="MH525"/>
      <c r="MI525"/>
      <c r="MJ525"/>
      <c r="MK525"/>
      <c r="ML525"/>
      <c r="MM525"/>
      <c r="MN525"/>
      <c r="MO525"/>
      <c r="MP525"/>
      <c r="MQ525"/>
      <c r="MR525"/>
      <c r="MS525"/>
      <c r="MT525"/>
      <c r="MU525"/>
      <c r="MV525"/>
      <c r="MW525"/>
      <c r="MX525"/>
      <c r="MY525"/>
      <c r="MZ525"/>
      <c r="NA525"/>
      <c r="NB525"/>
      <c r="NC525"/>
      <c r="ND525"/>
      <c r="NE525"/>
      <c r="NF525"/>
      <c r="NG525"/>
      <c r="NH525"/>
      <c r="NI525"/>
      <c r="NJ525"/>
      <c r="NK525"/>
      <c r="NL525"/>
      <c r="NM525"/>
      <c r="NN525"/>
      <c r="NO525"/>
      <c r="NP525"/>
      <c r="NQ525"/>
      <c r="NR525"/>
      <c r="NS525"/>
      <c r="NT525"/>
      <c r="NU525"/>
      <c r="NV525"/>
      <c r="NW525"/>
      <c r="NX525"/>
      <c r="NY525"/>
      <c r="NZ525"/>
      <c r="OA525"/>
      <c r="OB525"/>
      <c r="OC525"/>
      <c r="OD525"/>
      <c r="OE525"/>
      <c r="OF525"/>
      <c r="OG525"/>
      <c r="OH525"/>
      <c r="OI525"/>
      <c r="OJ525"/>
      <c r="OK525"/>
      <c r="OL525"/>
      <c r="OM525"/>
      <c r="ON525"/>
      <c r="OO525"/>
      <c r="OP525"/>
      <c r="OQ525"/>
      <c r="OR525"/>
      <c r="OS525"/>
      <c r="OT525"/>
      <c r="OU525"/>
      <c r="OV525"/>
      <c r="OW525"/>
      <c r="OX525"/>
      <c r="OY525"/>
      <c r="OZ525"/>
      <c r="PA525"/>
      <c r="PB525"/>
      <c r="PC525"/>
      <c r="PD525"/>
      <c r="PE525"/>
      <c r="PF525"/>
      <c r="PG525"/>
      <c r="PH525"/>
      <c r="PI525"/>
      <c r="PJ525"/>
      <c r="PK525"/>
      <c r="PL525"/>
      <c r="PM525"/>
      <c r="PN525"/>
      <c r="PO525"/>
      <c r="PP525"/>
      <c r="PQ525"/>
      <c r="PR525"/>
      <c r="PS525"/>
      <c r="PT525"/>
      <c r="PU525"/>
      <c r="PV525"/>
      <c r="PW525"/>
      <c r="PX525"/>
      <c r="PY525"/>
      <c r="PZ525"/>
      <c r="QA525"/>
      <c r="QB525"/>
      <c r="QC525"/>
      <c r="QD525"/>
      <c r="QE525"/>
      <c r="QF525"/>
      <c r="QG525"/>
      <c r="QH525"/>
      <c r="QI525"/>
      <c r="QJ525"/>
      <c r="QK525"/>
      <c r="QL525"/>
      <c r="QM525"/>
      <c r="QN525"/>
      <c r="QO525"/>
      <c r="QP525"/>
      <c r="QQ525"/>
      <c r="QR525"/>
      <c r="QS525"/>
      <c r="QT525"/>
      <c r="QU525"/>
      <c r="QV525"/>
      <c r="QW525"/>
      <c r="QX525"/>
      <c r="QY525"/>
      <c r="QZ525"/>
      <c r="RA525"/>
      <c r="RB525"/>
      <c r="RC525"/>
      <c r="RD525"/>
      <c r="RE525"/>
      <c r="RF525"/>
      <c r="RG525"/>
      <c r="RH525"/>
      <c r="RI525"/>
      <c r="RJ525"/>
      <c r="RK525"/>
      <c r="RL525"/>
      <c r="RM525"/>
      <c r="RN525"/>
      <c r="RO525"/>
      <c r="RP525"/>
      <c r="RQ525"/>
      <c r="RR525"/>
      <c r="RS525"/>
      <c r="RT525"/>
      <c r="RU525"/>
      <c r="RV525"/>
      <c r="RW525"/>
      <c r="RX525"/>
      <c r="RY525"/>
      <c r="RZ525"/>
      <c r="SA525"/>
      <c r="SB525"/>
      <c r="SC525"/>
      <c r="SD525"/>
      <c r="SE525"/>
      <c r="SF525"/>
      <c r="SG525"/>
      <c r="SH525"/>
      <c r="SI525"/>
      <c r="SJ525"/>
      <c r="SK525"/>
      <c r="SL525"/>
      <c r="SM525"/>
      <c r="SN525"/>
      <c r="SO525"/>
      <c r="SP525"/>
      <c r="SQ525"/>
      <c r="SR525"/>
      <c r="SS525"/>
      <c r="ST525"/>
      <c r="SU525"/>
      <c r="SV525"/>
      <c r="SW525"/>
      <c r="SX525"/>
      <c r="SY525"/>
      <c r="SZ525"/>
      <c r="TA525"/>
      <c r="TB525"/>
      <c r="TC525"/>
      <c r="TD525"/>
      <c r="TE525"/>
      <c r="TF525"/>
      <c r="TG525"/>
      <c r="TH525"/>
    </row>
    <row r="526" spans="3:528" x14ac:dyDescent="0.25">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c r="KT526"/>
      <c r="KU526"/>
      <c r="KV526"/>
      <c r="KW526"/>
      <c r="KX526"/>
      <c r="KY526"/>
      <c r="KZ526"/>
      <c r="LA526"/>
      <c r="LB526"/>
      <c r="LC526"/>
      <c r="LD526"/>
      <c r="LE526"/>
      <c r="LF526"/>
      <c r="LG526"/>
      <c r="LH526"/>
      <c r="LI526"/>
      <c r="LJ526"/>
      <c r="LK526"/>
      <c r="LL526"/>
      <c r="LM526"/>
      <c r="LN526"/>
      <c r="LO526"/>
      <c r="LP526"/>
      <c r="LQ526"/>
      <c r="LR526"/>
      <c r="LS526"/>
      <c r="LT526"/>
      <c r="LU526"/>
      <c r="LV526"/>
      <c r="LW526"/>
      <c r="LX526"/>
      <c r="LY526"/>
      <c r="LZ526"/>
      <c r="MA526"/>
      <c r="MB526"/>
      <c r="MC526"/>
      <c r="MD526"/>
      <c r="ME526"/>
      <c r="MF526"/>
      <c r="MG526"/>
      <c r="MH526"/>
      <c r="MI526"/>
      <c r="MJ526"/>
      <c r="MK526"/>
      <c r="ML526"/>
      <c r="MM526"/>
      <c r="MN526"/>
      <c r="MO526"/>
      <c r="MP526"/>
      <c r="MQ526"/>
      <c r="MR526"/>
      <c r="MS526"/>
      <c r="MT526"/>
      <c r="MU526"/>
      <c r="MV526"/>
      <c r="MW526"/>
      <c r="MX526"/>
      <c r="MY526"/>
      <c r="MZ526"/>
      <c r="NA526"/>
      <c r="NB526"/>
      <c r="NC526"/>
      <c r="ND526"/>
      <c r="NE526"/>
      <c r="NF526"/>
      <c r="NG526"/>
      <c r="NH526"/>
      <c r="NI526"/>
      <c r="NJ526"/>
      <c r="NK526"/>
      <c r="NL526"/>
      <c r="NM526"/>
      <c r="NN526"/>
      <c r="NO526"/>
      <c r="NP526"/>
      <c r="NQ526"/>
      <c r="NR526"/>
      <c r="NS526"/>
      <c r="NT526"/>
      <c r="NU526"/>
      <c r="NV526"/>
      <c r="NW526"/>
      <c r="NX526"/>
      <c r="NY526"/>
      <c r="NZ526"/>
      <c r="OA526"/>
      <c r="OB526"/>
      <c r="OC526"/>
      <c r="OD526"/>
      <c r="OE526"/>
      <c r="OF526"/>
      <c r="OG526"/>
      <c r="OH526"/>
      <c r="OI526"/>
      <c r="OJ526"/>
      <c r="OK526"/>
      <c r="OL526"/>
      <c r="OM526"/>
      <c r="ON526"/>
      <c r="OO526"/>
      <c r="OP526"/>
      <c r="OQ526"/>
      <c r="OR526"/>
      <c r="OS526"/>
      <c r="OT526"/>
      <c r="OU526"/>
      <c r="OV526"/>
      <c r="OW526"/>
      <c r="OX526"/>
      <c r="OY526"/>
      <c r="OZ526"/>
      <c r="PA526"/>
      <c r="PB526"/>
      <c r="PC526"/>
      <c r="PD526"/>
      <c r="PE526"/>
      <c r="PF526"/>
      <c r="PG526"/>
      <c r="PH526"/>
      <c r="PI526"/>
      <c r="PJ526"/>
      <c r="PK526"/>
      <c r="PL526"/>
      <c r="PM526"/>
      <c r="PN526"/>
      <c r="PO526"/>
      <c r="PP526"/>
      <c r="PQ526"/>
      <c r="PR526"/>
      <c r="PS526"/>
      <c r="PT526"/>
      <c r="PU526"/>
      <c r="PV526"/>
      <c r="PW526"/>
      <c r="PX526"/>
      <c r="PY526"/>
      <c r="PZ526"/>
      <c r="QA526"/>
      <c r="QB526"/>
      <c r="QC526"/>
      <c r="QD526"/>
      <c r="QE526"/>
      <c r="QF526"/>
      <c r="QG526"/>
      <c r="QH526"/>
      <c r="QI526"/>
      <c r="QJ526"/>
      <c r="QK526"/>
      <c r="QL526"/>
      <c r="QM526"/>
      <c r="QN526"/>
      <c r="QO526"/>
      <c r="QP526"/>
      <c r="QQ526"/>
      <c r="QR526"/>
      <c r="QS526"/>
      <c r="QT526"/>
      <c r="QU526"/>
      <c r="QV526"/>
      <c r="QW526"/>
      <c r="QX526"/>
      <c r="QY526"/>
      <c r="QZ526"/>
      <c r="RA526"/>
      <c r="RB526"/>
      <c r="RC526"/>
      <c r="RD526"/>
      <c r="RE526"/>
      <c r="RF526"/>
      <c r="RG526"/>
      <c r="RH526"/>
      <c r="RI526"/>
      <c r="RJ526"/>
      <c r="RK526"/>
      <c r="RL526"/>
      <c r="RM526"/>
      <c r="RN526"/>
      <c r="RO526"/>
      <c r="RP526"/>
      <c r="RQ526"/>
      <c r="RR526"/>
      <c r="RS526"/>
      <c r="RT526"/>
      <c r="RU526"/>
      <c r="RV526"/>
      <c r="RW526"/>
      <c r="RX526"/>
      <c r="RY526"/>
      <c r="RZ526"/>
      <c r="SA526"/>
      <c r="SB526"/>
      <c r="SC526"/>
      <c r="SD526"/>
      <c r="SE526"/>
      <c r="SF526"/>
      <c r="SG526"/>
      <c r="SH526"/>
      <c r="SI526"/>
      <c r="SJ526"/>
      <c r="SK526"/>
      <c r="SL526"/>
      <c r="SM526"/>
      <c r="SN526"/>
      <c r="SO526"/>
      <c r="SP526"/>
      <c r="SQ526"/>
      <c r="SR526"/>
      <c r="SS526"/>
      <c r="ST526"/>
      <c r="SU526"/>
      <c r="SV526"/>
      <c r="SW526"/>
      <c r="SX526"/>
      <c r="SY526"/>
      <c r="SZ526"/>
      <c r="TA526"/>
      <c r="TB526"/>
      <c r="TC526"/>
      <c r="TD526"/>
      <c r="TE526"/>
      <c r="TF526"/>
      <c r="TG526"/>
      <c r="TH526"/>
    </row>
    <row r="527" spans="3:528" x14ac:dyDescent="0.25">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c r="KT527"/>
      <c r="KU527"/>
      <c r="KV527"/>
      <c r="KW527"/>
      <c r="KX527"/>
      <c r="KY527"/>
      <c r="KZ527"/>
      <c r="LA527"/>
      <c r="LB527"/>
      <c r="LC527"/>
      <c r="LD527"/>
      <c r="LE527"/>
      <c r="LF527"/>
      <c r="LG527"/>
      <c r="LH527"/>
      <c r="LI527"/>
      <c r="LJ527"/>
      <c r="LK527"/>
      <c r="LL527"/>
      <c r="LM527"/>
      <c r="LN527"/>
      <c r="LO527"/>
      <c r="LP527"/>
      <c r="LQ527"/>
      <c r="LR527"/>
      <c r="LS527"/>
      <c r="LT527"/>
      <c r="LU527"/>
      <c r="LV527"/>
      <c r="LW527"/>
      <c r="LX527"/>
      <c r="LY527"/>
      <c r="LZ527"/>
      <c r="MA527"/>
      <c r="MB527"/>
      <c r="MC527"/>
      <c r="MD527"/>
      <c r="ME527"/>
      <c r="MF527"/>
      <c r="MG527"/>
      <c r="MH527"/>
      <c r="MI527"/>
      <c r="MJ527"/>
      <c r="MK527"/>
      <c r="ML527"/>
      <c r="MM527"/>
      <c r="MN527"/>
      <c r="MO527"/>
      <c r="MP527"/>
      <c r="MQ527"/>
      <c r="MR527"/>
      <c r="MS527"/>
      <c r="MT527"/>
      <c r="MU527"/>
      <c r="MV527"/>
      <c r="MW527"/>
      <c r="MX527"/>
      <c r="MY527"/>
      <c r="MZ527"/>
      <c r="NA527"/>
      <c r="NB527"/>
      <c r="NC527"/>
      <c r="ND527"/>
      <c r="NE527"/>
      <c r="NF527"/>
      <c r="NG527"/>
      <c r="NH527"/>
      <c r="NI527"/>
      <c r="NJ527"/>
      <c r="NK527"/>
      <c r="NL527"/>
      <c r="NM527"/>
      <c r="NN527"/>
      <c r="NO527"/>
      <c r="NP527"/>
      <c r="NQ527"/>
      <c r="NR527"/>
      <c r="NS527"/>
      <c r="NT527"/>
      <c r="NU527"/>
      <c r="NV527"/>
      <c r="NW527"/>
      <c r="NX527"/>
      <c r="NY527"/>
      <c r="NZ527"/>
      <c r="OA527"/>
      <c r="OB527"/>
      <c r="OC527"/>
      <c r="OD527"/>
      <c r="OE527"/>
      <c r="OF527"/>
      <c r="OG527"/>
      <c r="OH527"/>
      <c r="OI527"/>
      <c r="OJ527"/>
      <c r="OK527"/>
      <c r="OL527"/>
      <c r="OM527"/>
      <c r="ON527"/>
      <c r="OO527"/>
      <c r="OP527"/>
      <c r="OQ527"/>
      <c r="OR527"/>
      <c r="OS527"/>
      <c r="OT527"/>
      <c r="OU527"/>
      <c r="OV527"/>
      <c r="OW527"/>
      <c r="OX527"/>
      <c r="OY527"/>
      <c r="OZ527"/>
      <c r="PA527"/>
      <c r="PB527"/>
      <c r="PC527"/>
      <c r="PD527"/>
      <c r="PE527"/>
      <c r="PF527"/>
      <c r="PG527"/>
      <c r="PH527"/>
      <c r="PI527"/>
      <c r="PJ527"/>
      <c r="PK527"/>
      <c r="PL527"/>
      <c r="PM527"/>
      <c r="PN527"/>
      <c r="PO527"/>
      <c r="PP527"/>
      <c r="PQ527"/>
      <c r="PR527"/>
      <c r="PS527"/>
      <c r="PT527"/>
      <c r="PU527"/>
      <c r="PV527"/>
      <c r="PW527"/>
      <c r="PX527"/>
      <c r="PY527"/>
      <c r="PZ527"/>
      <c r="QA527"/>
      <c r="QB527"/>
      <c r="QC527"/>
      <c r="QD527"/>
      <c r="QE527"/>
      <c r="QF527"/>
      <c r="QG527"/>
      <c r="QH527"/>
      <c r="QI527"/>
      <c r="QJ527"/>
      <c r="QK527"/>
      <c r="QL527"/>
      <c r="QM527"/>
      <c r="QN527"/>
      <c r="QO527"/>
      <c r="QP527"/>
      <c r="QQ527"/>
      <c r="QR527"/>
      <c r="QS527"/>
      <c r="QT527"/>
      <c r="QU527"/>
      <c r="QV527"/>
      <c r="QW527"/>
      <c r="QX527"/>
      <c r="QY527"/>
      <c r="QZ527"/>
      <c r="RA527"/>
      <c r="RB527"/>
      <c r="RC527"/>
      <c r="RD527"/>
      <c r="RE527"/>
      <c r="RF527"/>
      <c r="RG527"/>
      <c r="RH527"/>
      <c r="RI527"/>
      <c r="RJ527"/>
      <c r="RK527"/>
      <c r="RL527"/>
      <c r="RM527"/>
      <c r="RN527"/>
      <c r="RO527"/>
      <c r="RP527"/>
      <c r="RQ527"/>
      <c r="RR527"/>
      <c r="RS527"/>
      <c r="RT527"/>
      <c r="RU527"/>
      <c r="RV527"/>
      <c r="RW527"/>
      <c r="RX527"/>
      <c r="RY527"/>
      <c r="RZ527"/>
      <c r="SA527"/>
      <c r="SB527"/>
      <c r="SC527"/>
      <c r="SD527"/>
      <c r="SE527"/>
      <c r="SF527"/>
      <c r="SG527"/>
      <c r="SH527"/>
      <c r="SI527"/>
      <c r="SJ527"/>
      <c r="SK527"/>
      <c r="SL527"/>
      <c r="SM527"/>
      <c r="SN527"/>
      <c r="SO527"/>
      <c r="SP527"/>
      <c r="SQ527"/>
      <c r="SR527"/>
      <c r="SS527"/>
      <c r="ST527"/>
      <c r="SU527"/>
      <c r="SV527"/>
      <c r="SW527"/>
      <c r="SX527"/>
      <c r="SY527"/>
      <c r="SZ527"/>
      <c r="TA527"/>
      <c r="TB527"/>
      <c r="TC527"/>
      <c r="TD527"/>
      <c r="TE527"/>
      <c r="TF527"/>
      <c r="TG527"/>
      <c r="TH527"/>
    </row>
    <row r="528" spans="3:528" x14ac:dyDescent="0.25">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c r="KT528"/>
      <c r="KU528"/>
      <c r="KV528"/>
      <c r="KW528"/>
      <c r="KX528"/>
      <c r="KY528"/>
      <c r="KZ528"/>
      <c r="LA528"/>
      <c r="LB528"/>
      <c r="LC528"/>
      <c r="LD528"/>
      <c r="LE528"/>
      <c r="LF528"/>
      <c r="LG528"/>
      <c r="LH528"/>
      <c r="LI528"/>
      <c r="LJ528"/>
      <c r="LK528"/>
      <c r="LL528"/>
      <c r="LM528"/>
      <c r="LN528"/>
      <c r="LO528"/>
      <c r="LP528"/>
      <c r="LQ528"/>
      <c r="LR528"/>
      <c r="LS528"/>
      <c r="LT528"/>
      <c r="LU528"/>
      <c r="LV528"/>
      <c r="LW528"/>
      <c r="LX528"/>
      <c r="LY528"/>
      <c r="LZ528"/>
      <c r="MA528"/>
      <c r="MB528"/>
      <c r="MC528"/>
      <c r="MD528"/>
      <c r="ME528"/>
      <c r="MF528"/>
      <c r="MG528"/>
      <c r="MH528"/>
      <c r="MI528"/>
      <c r="MJ528"/>
      <c r="MK528"/>
      <c r="ML528"/>
      <c r="MM528"/>
      <c r="MN528"/>
      <c r="MO528"/>
      <c r="MP528"/>
      <c r="MQ528"/>
      <c r="MR528"/>
      <c r="MS528"/>
      <c r="MT528"/>
      <c r="MU528"/>
      <c r="MV528"/>
      <c r="MW528"/>
      <c r="MX528"/>
      <c r="MY528"/>
      <c r="MZ528"/>
      <c r="NA528"/>
      <c r="NB528"/>
      <c r="NC528"/>
      <c r="ND528"/>
      <c r="NE528"/>
      <c r="NF528"/>
      <c r="NG528"/>
      <c r="NH528"/>
      <c r="NI528"/>
      <c r="NJ528"/>
      <c r="NK528"/>
      <c r="NL528"/>
      <c r="NM528"/>
      <c r="NN528"/>
      <c r="NO528"/>
      <c r="NP528"/>
      <c r="NQ528"/>
      <c r="NR528"/>
      <c r="NS528"/>
      <c r="NT528"/>
      <c r="NU528"/>
      <c r="NV528"/>
      <c r="NW528"/>
      <c r="NX528"/>
      <c r="NY528"/>
      <c r="NZ528"/>
      <c r="OA528"/>
      <c r="OB528"/>
      <c r="OC528"/>
      <c r="OD528"/>
      <c r="OE528"/>
      <c r="OF528"/>
      <c r="OG528"/>
      <c r="OH528"/>
      <c r="OI528"/>
      <c r="OJ528"/>
      <c r="OK528"/>
      <c r="OL528"/>
      <c r="OM528"/>
      <c r="ON528"/>
      <c r="OO528"/>
      <c r="OP528"/>
      <c r="OQ528"/>
      <c r="OR528"/>
      <c r="OS528"/>
      <c r="OT528"/>
      <c r="OU528"/>
      <c r="OV528"/>
      <c r="OW528"/>
      <c r="OX528"/>
      <c r="OY528"/>
      <c r="OZ528"/>
      <c r="PA528"/>
      <c r="PB528"/>
      <c r="PC528"/>
      <c r="PD528"/>
      <c r="PE528"/>
      <c r="PF528"/>
      <c r="PG528"/>
      <c r="PH528"/>
      <c r="PI528"/>
      <c r="PJ528"/>
      <c r="PK528"/>
      <c r="PL528"/>
      <c r="PM528"/>
      <c r="PN528"/>
      <c r="PO528"/>
      <c r="PP528"/>
      <c r="PQ528"/>
      <c r="PR528"/>
      <c r="PS528"/>
      <c r="PT528"/>
      <c r="PU528"/>
      <c r="PV528"/>
      <c r="PW528"/>
      <c r="PX528"/>
      <c r="PY528"/>
      <c r="PZ528"/>
      <c r="QA528"/>
      <c r="QB528"/>
      <c r="QC528"/>
      <c r="QD528"/>
      <c r="QE528"/>
      <c r="QF528"/>
      <c r="QG528"/>
      <c r="QH528"/>
      <c r="QI528"/>
      <c r="QJ528"/>
      <c r="QK528"/>
      <c r="QL528"/>
      <c r="QM528"/>
      <c r="QN528"/>
      <c r="QO528"/>
      <c r="QP528"/>
      <c r="QQ528"/>
      <c r="QR528"/>
      <c r="QS528"/>
      <c r="QT528"/>
      <c r="QU528"/>
      <c r="QV528"/>
      <c r="QW528"/>
      <c r="QX528"/>
      <c r="QY528"/>
      <c r="QZ528"/>
      <c r="RA528"/>
      <c r="RB528"/>
      <c r="RC528"/>
      <c r="RD528"/>
      <c r="RE528"/>
      <c r="RF528"/>
      <c r="RG528"/>
      <c r="RH528"/>
      <c r="RI528"/>
      <c r="RJ528"/>
      <c r="RK528"/>
      <c r="RL528"/>
      <c r="RM528"/>
      <c r="RN528"/>
      <c r="RO528"/>
      <c r="RP528"/>
      <c r="RQ528"/>
      <c r="RR528"/>
      <c r="RS528"/>
      <c r="RT528"/>
      <c r="RU528"/>
      <c r="RV528"/>
      <c r="RW528"/>
      <c r="RX528"/>
      <c r="RY528"/>
      <c r="RZ528"/>
      <c r="SA528"/>
      <c r="SB528"/>
      <c r="SC528"/>
      <c r="SD528"/>
      <c r="SE528"/>
      <c r="SF528"/>
      <c r="SG528"/>
      <c r="SH528"/>
      <c r="SI528"/>
      <c r="SJ528"/>
      <c r="SK528"/>
      <c r="SL528"/>
      <c r="SM528"/>
      <c r="SN528"/>
      <c r="SO528"/>
      <c r="SP528"/>
      <c r="SQ528"/>
      <c r="SR528"/>
      <c r="SS528"/>
      <c r="ST528"/>
      <c r="SU528"/>
      <c r="SV528"/>
      <c r="SW528"/>
      <c r="SX528"/>
      <c r="SY528"/>
      <c r="SZ528"/>
      <c r="TA528"/>
      <c r="TB528"/>
      <c r="TC528"/>
      <c r="TD528"/>
      <c r="TE528"/>
      <c r="TF528"/>
      <c r="TG528"/>
      <c r="TH528"/>
    </row>
    <row r="529" spans="3:528" x14ac:dyDescent="0.25">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c r="KT529"/>
      <c r="KU529"/>
      <c r="KV529"/>
      <c r="KW529"/>
      <c r="KX529"/>
      <c r="KY529"/>
      <c r="KZ529"/>
      <c r="LA529"/>
      <c r="LB529"/>
      <c r="LC529"/>
      <c r="LD529"/>
      <c r="LE529"/>
      <c r="LF529"/>
      <c r="LG529"/>
      <c r="LH529"/>
      <c r="LI529"/>
      <c r="LJ529"/>
      <c r="LK529"/>
      <c r="LL529"/>
      <c r="LM529"/>
      <c r="LN529"/>
      <c r="LO529"/>
      <c r="LP529"/>
      <c r="LQ529"/>
      <c r="LR529"/>
      <c r="LS529"/>
      <c r="LT529"/>
      <c r="LU529"/>
      <c r="LV529"/>
      <c r="LW529"/>
      <c r="LX529"/>
      <c r="LY529"/>
      <c r="LZ529"/>
      <c r="MA529"/>
      <c r="MB529"/>
      <c r="MC529"/>
      <c r="MD529"/>
      <c r="ME529"/>
      <c r="MF529"/>
      <c r="MG529"/>
      <c r="MH529"/>
      <c r="MI529"/>
      <c r="MJ529"/>
      <c r="MK529"/>
      <c r="ML529"/>
      <c r="MM529"/>
      <c r="MN529"/>
      <c r="MO529"/>
      <c r="MP529"/>
      <c r="MQ529"/>
      <c r="MR529"/>
      <c r="MS529"/>
      <c r="MT529"/>
      <c r="MU529"/>
      <c r="MV529"/>
      <c r="MW529"/>
      <c r="MX529"/>
      <c r="MY529"/>
      <c r="MZ529"/>
      <c r="NA529"/>
      <c r="NB529"/>
      <c r="NC529"/>
      <c r="ND529"/>
      <c r="NE529"/>
      <c r="NF529"/>
      <c r="NG529"/>
      <c r="NH529"/>
      <c r="NI529"/>
      <c r="NJ529"/>
      <c r="NK529"/>
      <c r="NL529"/>
      <c r="NM529"/>
      <c r="NN529"/>
      <c r="NO529"/>
      <c r="NP529"/>
      <c r="NQ529"/>
      <c r="NR529"/>
      <c r="NS529"/>
      <c r="NT529"/>
      <c r="NU529"/>
      <c r="NV529"/>
      <c r="NW529"/>
      <c r="NX529"/>
      <c r="NY529"/>
      <c r="NZ529"/>
      <c r="OA529"/>
      <c r="OB529"/>
      <c r="OC529"/>
      <c r="OD529"/>
      <c r="OE529"/>
      <c r="OF529"/>
      <c r="OG529"/>
      <c r="OH529"/>
      <c r="OI529"/>
      <c r="OJ529"/>
      <c r="OK529"/>
      <c r="OL529"/>
      <c r="OM529"/>
      <c r="ON529"/>
      <c r="OO529"/>
      <c r="OP529"/>
      <c r="OQ529"/>
      <c r="OR529"/>
      <c r="OS529"/>
      <c r="OT529"/>
      <c r="OU529"/>
      <c r="OV529"/>
      <c r="OW529"/>
      <c r="OX529"/>
      <c r="OY529"/>
      <c r="OZ529"/>
      <c r="PA529"/>
      <c r="PB529"/>
      <c r="PC529"/>
      <c r="PD529"/>
      <c r="PE529"/>
      <c r="PF529"/>
      <c r="PG529"/>
      <c r="PH529"/>
      <c r="PI529"/>
      <c r="PJ529"/>
      <c r="PK529"/>
      <c r="PL529"/>
      <c r="PM529"/>
      <c r="PN529"/>
      <c r="PO529"/>
      <c r="PP529"/>
      <c r="PQ529"/>
      <c r="PR529"/>
      <c r="PS529"/>
      <c r="PT529"/>
      <c r="PU529"/>
      <c r="PV529"/>
      <c r="PW529"/>
      <c r="PX529"/>
      <c r="PY529"/>
      <c r="PZ529"/>
      <c r="QA529"/>
      <c r="QB529"/>
      <c r="QC529"/>
      <c r="QD529"/>
      <c r="QE529"/>
      <c r="QF529"/>
      <c r="QG529"/>
      <c r="QH529"/>
      <c r="QI529"/>
      <c r="QJ529"/>
      <c r="QK529"/>
      <c r="QL529"/>
      <c r="QM529"/>
      <c r="QN529"/>
      <c r="QO529"/>
      <c r="QP529"/>
      <c r="QQ529"/>
      <c r="QR529"/>
      <c r="QS529"/>
      <c r="QT529"/>
      <c r="QU529"/>
      <c r="QV529"/>
      <c r="QW529"/>
      <c r="QX529"/>
      <c r="QY529"/>
      <c r="QZ529"/>
      <c r="RA529"/>
      <c r="RB529"/>
      <c r="RC529"/>
      <c r="RD529"/>
      <c r="RE529"/>
      <c r="RF529"/>
      <c r="RG529"/>
      <c r="RH529"/>
      <c r="RI529"/>
      <c r="RJ529"/>
      <c r="RK529"/>
      <c r="RL529"/>
      <c r="RM529"/>
      <c r="RN529"/>
      <c r="RO529"/>
      <c r="RP529"/>
      <c r="RQ529"/>
      <c r="RR529"/>
      <c r="RS529"/>
      <c r="RT529"/>
      <c r="RU529"/>
      <c r="RV529"/>
      <c r="RW529"/>
      <c r="RX529"/>
      <c r="RY529"/>
      <c r="RZ529"/>
      <c r="SA529"/>
      <c r="SB529"/>
      <c r="SC529"/>
      <c r="SD529"/>
      <c r="SE529"/>
      <c r="SF529"/>
      <c r="SG529"/>
      <c r="SH529"/>
      <c r="SI529"/>
      <c r="SJ529"/>
      <c r="SK529"/>
      <c r="SL529"/>
      <c r="SM529"/>
      <c r="SN529"/>
      <c r="SO529"/>
      <c r="SP529"/>
      <c r="SQ529"/>
      <c r="SR529"/>
      <c r="SS529"/>
      <c r="ST529"/>
      <c r="SU529"/>
      <c r="SV529"/>
      <c r="SW529"/>
      <c r="SX529"/>
      <c r="SY529"/>
      <c r="SZ529"/>
      <c r="TA529"/>
      <c r="TB529"/>
      <c r="TC529"/>
      <c r="TD529"/>
      <c r="TE529"/>
      <c r="TF529"/>
      <c r="TG529"/>
      <c r="TH529"/>
    </row>
    <row r="530" spans="3:528" x14ac:dyDescent="0.25">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c r="KT530"/>
      <c r="KU530"/>
      <c r="KV530"/>
      <c r="KW530"/>
      <c r="KX530"/>
      <c r="KY530"/>
      <c r="KZ530"/>
      <c r="LA530"/>
      <c r="LB530"/>
      <c r="LC530"/>
      <c r="LD530"/>
      <c r="LE530"/>
      <c r="LF530"/>
      <c r="LG530"/>
      <c r="LH530"/>
      <c r="LI530"/>
      <c r="LJ530"/>
      <c r="LK530"/>
      <c r="LL530"/>
      <c r="LM530"/>
      <c r="LN530"/>
      <c r="LO530"/>
      <c r="LP530"/>
      <c r="LQ530"/>
      <c r="LR530"/>
      <c r="LS530"/>
      <c r="LT530"/>
      <c r="LU530"/>
      <c r="LV530"/>
      <c r="LW530"/>
      <c r="LX530"/>
      <c r="LY530"/>
      <c r="LZ530"/>
      <c r="MA530"/>
      <c r="MB530"/>
      <c r="MC530"/>
      <c r="MD530"/>
      <c r="ME530"/>
      <c r="MF530"/>
      <c r="MG530"/>
      <c r="MH530"/>
      <c r="MI530"/>
      <c r="MJ530"/>
      <c r="MK530"/>
      <c r="ML530"/>
      <c r="MM530"/>
      <c r="MN530"/>
      <c r="MO530"/>
      <c r="MP530"/>
      <c r="MQ530"/>
      <c r="MR530"/>
      <c r="MS530"/>
      <c r="MT530"/>
      <c r="MU530"/>
      <c r="MV530"/>
      <c r="MW530"/>
      <c r="MX530"/>
      <c r="MY530"/>
      <c r="MZ530"/>
      <c r="NA530"/>
      <c r="NB530"/>
      <c r="NC530"/>
      <c r="ND530"/>
      <c r="NE530"/>
      <c r="NF530"/>
      <c r="NG530"/>
      <c r="NH530"/>
      <c r="NI530"/>
      <c r="NJ530"/>
      <c r="NK530"/>
      <c r="NL530"/>
      <c r="NM530"/>
      <c r="NN530"/>
      <c r="NO530"/>
      <c r="NP530"/>
      <c r="NQ530"/>
      <c r="NR530"/>
      <c r="NS530"/>
      <c r="NT530"/>
      <c r="NU530"/>
      <c r="NV530"/>
      <c r="NW530"/>
      <c r="NX530"/>
      <c r="NY530"/>
      <c r="NZ530"/>
      <c r="OA530"/>
      <c r="OB530"/>
      <c r="OC530"/>
      <c r="OD530"/>
      <c r="OE530"/>
      <c r="OF530"/>
      <c r="OG530"/>
      <c r="OH530"/>
      <c r="OI530"/>
      <c r="OJ530"/>
      <c r="OK530"/>
      <c r="OL530"/>
      <c r="OM530"/>
      <c r="ON530"/>
      <c r="OO530"/>
      <c r="OP530"/>
      <c r="OQ530"/>
      <c r="OR530"/>
      <c r="OS530"/>
      <c r="OT530"/>
      <c r="OU530"/>
      <c r="OV530"/>
      <c r="OW530"/>
      <c r="OX530"/>
      <c r="OY530"/>
      <c r="OZ530"/>
      <c r="PA530"/>
      <c r="PB530"/>
      <c r="PC530"/>
      <c r="PD530"/>
      <c r="PE530"/>
      <c r="PF530"/>
      <c r="PG530"/>
      <c r="PH530"/>
      <c r="PI530"/>
      <c r="PJ530"/>
      <c r="PK530"/>
      <c r="PL530"/>
      <c r="PM530"/>
      <c r="PN530"/>
      <c r="PO530"/>
      <c r="PP530"/>
      <c r="PQ530"/>
      <c r="PR530"/>
      <c r="PS530"/>
      <c r="PT530"/>
      <c r="PU530"/>
      <c r="PV530"/>
      <c r="PW530"/>
      <c r="PX530"/>
      <c r="PY530"/>
      <c r="PZ530"/>
      <c r="QA530"/>
      <c r="QB530"/>
      <c r="QC530"/>
      <c r="QD530"/>
      <c r="QE530"/>
      <c r="QF530"/>
      <c r="QG530"/>
      <c r="QH530"/>
      <c r="QI530"/>
      <c r="QJ530"/>
      <c r="QK530"/>
      <c r="QL530"/>
      <c r="QM530"/>
      <c r="QN530"/>
      <c r="QO530"/>
      <c r="QP530"/>
      <c r="QQ530"/>
      <c r="QR530"/>
      <c r="QS530"/>
      <c r="QT530"/>
      <c r="QU530"/>
      <c r="QV530"/>
      <c r="QW530"/>
      <c r="QX530"/>
      <c r="QY530"/>
      <c r="QZ530"/>
      <c r="RA530"/>
      <c r="RB530"/>
      <c r="RC530"/>
      <c r="RD530"/>
      <c r="RE530"/>
      <c r="RF530"/>
      <c r="RG530"/>
      <c r="RH530"/>
      <c r="RI530"/>
      <c r="RJ530"/>
      <c r="RK530"/>
      <c r="RL530"/>
      <c r="RM530"/>
      <c r="RN530"/>
      <c r="RO530"/>
      <c r="RP530"/>
      <c r="RQ530"/>
      <c r="RR530"/>
      <c r="RS530"/>
      <c r="RT530"/>
      <c r="RU530"/>
      <c r="RV530"/>
      <c r="RW530"/>
      <c r="RX530"/>
      <c r="RY530"/>
      <c r="RZ530"/>
      <c r="SA530"/>
      <c r="SB530"/>
      <c r="SC530"/>
      <c r="SD530"/>
      <c r="SE530"/>
      <c r="SF530"/>
      <c r="SG530"/>
      <c r="SH530"/>
      <c r="SI530"/>
      <c r="SJ530"/>
      <c r="SK530"/>
      <c r="SL530"/>
      <c r="SM530"/>
      <c r="SN530"/>
      <c r="SO530"/>
      <c r="SP530"/>
      <c r="SQ530"/>
      <c r="SR530"/>
      <c r="SS530"/>
      <c r="ST530"/>
      <c r="SU530"/>
      <c r="SV530"/>
      <c r="SW530"/>
      <c r="SX530"/>
      <c r="SY530"/>
      <c r="SZ530"/>
      <c r="TA530"/>
      <c r="TB530"/>
      <c r="TC530"/>
      <c r="TD530"/>
      <c r="TE530"/>
      <c r="TF530"/>
      <c r="TG530"/>
      <c r="TH530"/>
    </row>
    <row r="531" spans="3:528" x14ac:dyDescent="0.25">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c r="KT531"/>
      <c r="KU531"/>
      <c r="KV531"/>
      <c r="KW531"/>
      <c r="KX531"/>
      <c r="KY531"/>
      <c r="KZ531"/>
      <c r="LA531"/>
      <c r="LB531"/>
      <c r="LC531"/>
      <c r="LD531"/>
      <c r="LE531"/>
      <c r="LF531"/>
      <c r="LG531"/>
      <c r="LH531"/>
      <c r="LI531"/>
      <c r="LJ531"/>
      <c r="LK531"/>
      <c r="LL531"/>
      <c r="LM531"/>
      <c r="LN531"/>
      <c r="LO531"/>
      <c r="LP531"/>
      <c r="LQ531"/>
      <c r="LR531"/>
      <c r="LS531"/>
      <c r="LT531"/>
      <c r="LU531"/>
      <c r="LV531"/>
      <c r="LW531"/>
      <c r="LX531"/>
      <c r="LY531"/>
      <c r="LZ531"/>
      <c r="MA531"/>
      <c r="MB531"/>
      <c r="MC531"/>
      <c r="MD531"/>
      <c r="ME531"/>
      <c r="MF531"/>
      <c r="MG531"/>
      <c r="MH531"/>
      <c r="MI531"/>
      <c r="MJ531"/>
      <c r="MK531"/>
      <c r="ML531"/>
      <c r="MM531"/>
      <c r="MN531"/>
      <c r="MO531"/>
      <c r="MP531"/>
      <c r="MQ531"/>
      <c r="MR531"/>
      <c r="MS531"/>
      <c r="MT531"/>
      <c r="MU531"/>
      <c r="MV531"/>
      <c r="MW531"/>
      <c r="MX531"/>
      <c r="MY531"/>
      <c r="MZ531"/>
      <c r="NA531"/>
      <c r="NB531"/>
      <c r="NC531"/>
      <c r="ND531"/>
      <c r="NE531"/>
      <c r="NF531"/>
      <c r="NG531"/>
      <c r="NH531"/>
      <c r="NI531"/>
      <c r="NJ531"/>
      <c r="NK531"/>
      <c r="NL531"/>
      <c r="NM531"/>
      <c r="NN531"/>
      <c r="NO531"/>
      <c r="NP531"/>
      <c r="NQ531"/>
      <c r="NR531"/>
      <c r="NS531"/>
      <c r="NT531"/>
      <c r="NU531"/>
      <c r="NV531"/>
      <c r="NW531"/>
      <c r="NX531"/>
      <c r="NY531"/>
      <c r="NZ531"/>
      <c r="OA531"/>
      <c r="OB531"/>
      <c r="OC531"/>
      <c r="OD531"/>
      <c r="OE531"/>
      <c r="OF531"/>
      <c r="OG531"/>
      <c r="OH531"/>
      <c r="OI531"/>
      <c r="OJ531"/>
      <c r="OK531"/>
      <c r="OL531"/>
      <c r="OM531"/>
      <c r="ON531"/>
      <c r="OO531"/>
      <c r="OP531"/>
      <c r="OQ531"/>
      <c r="OR531"/>
      <c r="OS531"/>
      <c r="OT531"/>
      <c r="OU531"/>
      <c r="OV531"/>
      <c r="OW531"/>
      <c r="OX531"/>
      <c r="OY531"/>
      <c r="OZ531"/>
      <c r="PA531"/>
      <c r="PB531"/>
      <c r="PC531"/>
      <c r="PD531"/>
      <c r="PE531"/>
      <c r="PF531"/>
      <c r="PG531"/>
      <c r="PH531"/>
      <c r="PI531"/>
      <c r="PJ531"/>
      <c r="PK531"/>
      <c r="PL531"/>
      <c r="PM531"/>
      <c r="PN531"/>
      <c r="PO531"/>
      <c r="PP531"/>
      <c r="PQ531"/>
      <c r="PR531"/>
      <c r="PS531"/>
      <c r="PT531"/>
      <c r="PU531"/>
      <c r="PV531"/>
      <c r="PW531"/>
      <c r="PX531"/>
      <c r="PY531"/>
      <c r="PZ531"/>
      <c r="QA531"/>
      <c r="QB531"/>
      <c r="QC531"/>
      <c r="QD531"/>
      <c r="QE531"/>
      <c r="QF531"/>
      <c r="QG531"/>
      <c r="QH531"/>
      <c r="QI531"/>
      <c r="QJ531"/>
      <c r="QK531"/>
      <c r="QL531"/>
      <c r="QM531"/>
      <c r="QN531"/>
      <c r="QO531"/>
      <c r="QP531"/>
      <c r="QQ531"/>
      <c r="QR531"/>
      <c r="QS531"/>
      <c r="QT531"/>
      <c r="QU531"/>
      <c r="QV531"/>
      <c r="QW531"/>
      <c r="QX531"/>
      <c r="QY531"/>
      <c r="QZ531"/>
      <c r="RA531"/>
      <c r="RB531"/>
      <c r="RC531"/>
      <c r="RD531"/>
      <c r="RE531"/>
      <c r="RF531"/>
      <c r="RG531"/>
      <c r="RH531"/>
      <c r="RI531"/>
      <c r="RJ531"/>
      <c r="RK531"/>
      <c r="RL531"/>
      <c r="RM531"/>
      <c r="RN531"/>
      <c r="RO531"/>
      <c r="RP531"/>
      <c r="RQ531"/>
      <c r="RR531"/>
      <c r="RS531"/>
      <c r="RT531"/>
      <c r="RU531"/>
      <c r="RV531"/>
      <c r="RW531"/>
      <c r="RX531"/>
      <c r="RY531"/>
      <c r="RZ531"/>
      <c r="SA531"/>
      <c r="SB531"/>
      <c r="SC531"/>
      <c r="SD531"/>
      <c r="SE531"/>
      <c r="SF531"/>
      <c r="SG531"/>
      <c r="SH531"/>
      <c r="SI531"/>
      <c r="SJ531"/>
      <c r="SK531"/>
      <c r="SL531"/>
      <c r="SM531"/>
      <c r="SN531"/>
      <c r="SO531"/>
      <c r="SP531"/>
      <c r="SQ531"/>
      <c r="SR531"/>
      <c r="SS531"/>
      <c r="ST531"/>
      <c r="SU531"/>
      <c r="SV531"/>
      <c r="SW531"/>
      <c r="SX531"/>
      <c r="SY531"/>
      <c r="SZ531"/>
      <c r="TA531"/>
      <c r="TB531"/>
      <c r="TC531"/>
      <c r="TD531"/>
      <c r="TE531"/>
      <c r="TF531"/>
      <c r="TG531"/>
      <c r="TH531"/>
    </row>
    <row r="532" spans="3:528" x14ac:dyDescent="0.25">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c r="KT532"/>
      <c r="KU532"/>
      <c r="KV532"/>
      <c r="KW532"/>
      <c r="KX532"/>
      <c r="KY532"/>
      <c r="KZ532"/>
      <c r="LA532"/>
      <c r="LB532"/>
      <c r="LC532"/>
      <c r="LD532"/>
      <c r="LE532"/>
      <c r="LF532"/>
      <c r="LG532"/>
      <c r="LH532"/>
      <c r="LI532"/>
      <c r="LJ532"/>
      <c r="LK532"/>
      <c r="LL532"/>
      <c r="LM532"/>
      <c r="LN532"/>
      <c r="LO532"/>
      <c r="LP532"/>
      <c r="LQ532"/>
      <c r="LR532"/>
      <c r="LS532"/>
      <c r="LT532"/>
      <c r="LU532"/>
      <c r="LV532"/>
      <c r="LW532"/>
      <c r="LX532"/>
      <c r="LY532"/>
      <c r="LZ532"/>
      <c r="MA532"/>
      <c r="MB532"/>
      <c r="MC532"/>
      <c r="MD532"/>
      <c r="ME532"/>
      <c r="MF532"/>
      <c r="MG532"/>
      <c r="MH532"/>
      <c r="MI532"/>
      <c r="MJ532"/>
      <c r="MK532"/>
      <c r="ML532"/>
      <c r="MM532"/>
      <c r="MN532"/>
      <c r="MO532"/>
      <c r="MP532"/>
      <c r="MQ532"/>
      <c r="MR532"/>
      <c r="MS532"/>
      <c r="MT532"/>
      <c r="MU532"/>
      <c r="MV532"/>
      <c r="MW532"/>
      <c r="MX532"/>
      <c r="MY532"/>
      <c r="MZ532"/>
      <c r="NA532"/>
      <c r="NB532"/>
      <c r="NC532"/>
      <c r="ND532"/>
      <c r="NE532"/>
      <c r="NF532"/>
      <c r="NG532"/>
      <c r="NH532"/>
      <c r="NI532"/>
      <c r="NJ532"/>
      <c r="NK532"/>
      <c r="NL532"/>
      <c r="NM532"/>
      <c r="NN532"/>
      <c r="NO532"/>
      <c r="NP532"/>
      <c r="NQ532"/>
      <c r="NR532"/>
      <c r="NS532"/>
      <c r="NT532"/>
      <c r="NU532"/>
      <c r="NV532"/>
      <c r="NW532"/>
      <c r="NX532"/>
      <c r="NY532"/>
      <c r="NZ532"/>
      <c r="OA532"/>
      <c r="OB532"/>
      <c r="OC532"/>
      <c r="OD532"/>
      <c r="OE532"/>
      <c r="OF532"/>
      <c r="OG532"/>
      <c r="OH532"/>
      <c r="OI532"/>
      <c r="OJ532"/>
      <c r="OK532"/>
      <c r="OL532"/>
      <c r="OM532"/>
      <c r="ON532"/>
      <c r="OO532"/>
      <c r="OP532"/>
      <c r="OQ532"/>
      <c r="OR532"/>
      <c r="OS532"/>
      <c r="OT532"/>
      <c r="OU532"/>
      <c r="OV532"/>
      <c r="OW532"/>
      <c r="OX532"/>
      <c r="OY532"/>
      <c r="OZ532"/>
      <c r="PA532"/>
      <c r="PB532"/>
      <c r="PC532"/>
      <c r="PD532"/>
      <c r="PE532"/>
      <c r="PF532"/>
      <c r="PG532"/>
      <c r="PH532"/>
      <c r="PI532"/>
      <c r="PJ532"/>
      <c r="PK532"/>
      <c r="PL532"/>
      <c r="PM532"/>
      <c r="PN532"/>
      <c r="PO532"/>
      <c r="PP532"/>
      <c r="PQ532"/>
      <c r="PR532"/>
      <c r="PS532"/>
      <c r="PT532"/>
      <c r="PU532"/>
      <c r="PV532"/>
      <c r="PW532"/>
      <c r="PX532"/>
      <c r="PY532"/>
      <c r="PZ532"/>
      <c r="QA532"/>
      <c r="QB532"/>
      <c r="QC532"/>
      <c r="QD532"/>
      <c r="QE532"/>
      <c r="QF532"/>
      <c r="QG532"/>
      <c r="QH532"/>
      <c r="QI532"/>
      <c r="QJ532"/>
      <c r="QK532"/>
      <c r="QL532"/>
      <c r="QM532"/>
      <c r="QN532"/>
      <c r="QO532"/>
      <c r="QP532"/>
      <c r="QQ532"/>
      <c r="QR532"/>
      <c r="QS532"/>
      <c r="QT532"/>
      <c r="QU532"/>
      <c r="QV532"/>
      <c r="QW532"/>
      <c r="QX532"/>
      <c r="QY532"/>
      <c r="QZ532"/>
      <c r="RA532"/>
      <c r="RB532"/>
      <c r="RC532"/>
      <c r="RD532"/>
      <c r="RE532"/>
      <c r="RF532"/>
      <c r="RG532"/>
      <c r="RH532"/>
      <c r="RI532"/>
      <c r="RJ532"/>
      <c r="RK532"/>
      <c r="RL532"/>
      <c r="RM532"/>
      <c r="RN532"/>
      <c r="RO532"/>
      <c r="RP532"/>
      <c r="RQ532"/>
      <c r="RR532"/>
      <c r="RS532"/>
      <c r="RT532"/>
      <c r="RU532"/>
      <c r="RV532"/>
      <c r="RW532"/>
      <c r="RX532"/>
      <c r="RY532"/>
      <c r="RZ532"/>
      <c r="SA532"/>
      <c r="SB532"/>
      <c r="SC532"/>
      <c r="SD532"/>
      <c r="SE532"/>
      <c r="SF532"/>
      <c r="SG532"/>
      <c r="SH532"/>
      <c r="SI532"/>
      <c r="SJ532"/>
      <c r="SK532"/>
      <c r="SL532"/>
      <c r="SM532"/>
      <c r="SN532"/>
      <c r="SO532"/>
      <c r="SP532"/>
      <c r="SQ532"/>
      <c r="SR532"/>
      <c r="SS532"/>
      <c r="ST532"/>
      <c r="SU532"/>
      <c r="SV532"/>
      <c r="SW532"/>
      <c r="SX532"/>
      <c r="SY532"/>
      <c r="SZ532"/>
      <c r="TA532"/>
      <c r="TB532"/>
      <c r="TC532"/>
      <c r="TD532"/>
      <c r="TE532"/>
      <c r="TF532"/>
      <c r="TG532"/>
      <c r="TH532"/>
    </row>
    <row r="533" spans="3:528" x14ac:dyDescent="0.25">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c r="KT533"/>
      <c r="KU533"/>
      <c r="KV533"/>
      <c r="KW533"/>
      <c r="KX533"/>
      <c r="KY533"/>
      <c r="KZ533"/>
      <c r="LA533"/>
      <c r="LB533"/>
      <c r="LC533"/>
      <c r="LD533"/>
      <c r="LE533"/>
      <c r="LF533"/>
      <c r="LG533"/>
      <c r="LH533"/>
      <c r="LI533"/>
      <c r="LJ533"/>
      <c r="LK533"/>
      <c r="LL533"/>
      <c r="LM533"/>
      <c r="LN533"/>
      <c r="LO533"/>
      <c r="LP533"/>
      <c r="LQ533"/>
      <c r="LR533"/>
      <c r="LS533"/>
      <c r="LT533"/>
      <c r="LU533"/>
      <c r="LV533"/>
      <c r="LW533"/>
      <c r="LX533"/>
      <c r="LY533"/>
      <c r="LZ533"/>
      <c r="MA533"/>
      <c r="MB533"/>
      <c r="MC533"/>
      <c r="MD533"/>
      <c r="ME533"/>
      <c r="MF533"/>
      <c r="MG533"/>
      <c r="MH533"/>
      <c r="MI533"/>
      <c r="MJ533"/>
      <c r="MK533"/>
      <c r="ML533"/>
      <c r="MM533"/>
      <c r="MN533"/>
      <c r="MO533"/>
      <c r="MP533"/>
      <c r="MQ533"/>
      <c r="MR533"/>
      <c r="MS533"/>
      <c r="MT533"/>
      <c r="MU533"/>
      <c r="MV533"/>
      <c r="MW533"/>
      <c r="MX533"/>
      <c r="MY533"/>
      <c r="MZ533"/>
      <c r="NA533"/>
      <c r="NB533"/>
      <c r="NC533"/>
      <c r="ND533"/>
      <c r="NE533"/>
      <c r="NF533"/>
      <c r="NG533"/>
      <c r="NH533"/>
      <c r="NI533"/>
      <c r="NJ533"/>
      <c r="NK533"/>
      <c r="NL533"/>
      <c r="NM533"/>
      <c r="NN533"/>
      <c r="NO533"/>
      <c r="NP533"/>
      <c r="NQ533"/>
      <c r="NR533"/>
      <c r="NS533"/>
      <c r="NT533"/>
      <c r="NU533"/>
      <c r="NV533"/>
      <c r="NW533"/>
      <c r="NX533"/>
      <c r="NY533"/>
      <c r="NZ533"/>
      <c r="OA533"/>
      <c r="OB533"/>
      <c r="OC533"/>
      <c r="OD533"/>
      <c r="OE533"/>
      <c r="OF533"/>
      <c r="OG533"/>
      <c r="OH533"/>
      <c r="OI533"/>
      <c r="OJ533"/>
      <c r="OK533"/>
      <c r="OL533"/>
      <c r="OM533"/>
      <c r="ON533"/>
      <c r="OO533"/>
      <c r="OP533"/>
      <c r="OQ533"/>
      <c r="OR533"/>
      <c r="OS533"/>
      <c r="OT533"/>
      <c r="OU533"/>
      <c r="OV533"/>
      <c r="OW533"/>
      <c r="OX533"/>
      <c r="OY533"/>
      <c r="OZ533"/>
      <c r="PA533"/>
      <c r="PB533"/>
      <c r="PC533"/>
      <c r="PD533"/>
      <c r="PE533"/>
      <c r="PF533"/>
      <c r="PG533"/>
      <c r="PH533"/>
      <c r="PI533"/>
      <c r="PJ533"/>
      <c r="PK533"/>
      <c r="PL533"/>
      <c r="PM533"/>
      <c r="PN533"/>
      <c r="PO533"/>
      <c r="PP533"/>
      <c r="PQ533"/>
      <c r="PR533"/>
      <c r="PS533"/>
      <c r="PT533"/>
      <c r="PU533"/>
      <c r="PV533"/>
      <c r="PW533"/>
      <c r="PX533"/>
      <c r="PY533"/>
      <c r="PZ533"/>
      <c r="QA533"/>
      <c r="QB533"/>
      <c r="QC533"/>
      <c r="QD533"/>
      <c r="QE533"/>
      <c r="QF533"/>
      <c r="QG533"/>
      <c r="QH533"/>
      <c r="QI533"/>
      <c r="QJ533"/>
      <c r="QK533"/>
      <c r="QL533"/>
      <c r="QM533"/>
      <c r="QN533"/>
      <c r="QO533"/>
      <c r="QP533"/>
      <c r="QQ533"/>
      <c r="QR533"/>
      <c r="QS533"/>
      <c r="QT533"/>
      <c r="QU533"/>
      <c r="QV533"/>
      <c r="QW533"/>
      <c r="QX533"/>
      <c r="QY533"/>
      <c r="QZ533"/>
      <c r="RA533"/>
      <c r="RB533"/>
      <c r="RC533"/>
      <c r="RD533"/>
      <c r="RE533"/>
      <c r="RF533"/>
      <c r="RG533"/>
      <c r="RH533"/>
      <c r="RI533"/>
      <c r="RJ533"/>
      <c r="RK533"/>
      <c r="RL533"/>
      <c r="RM533"/>
      <c r="RN533"/>
      <c r="RO533"/>
      <c r="RP533"/>
      <c r="RQ533"/>
      <c r="RR533"/>
      <c r="RS533"/>
      <c r="RT533"/>
      <c r="RU533"/>
      <c r="RV533"/>
      <c r="RW533"/>
      <c r="RX533"/>
      <c r="RY533"/>
      <c r="RZ533"/>
      <c r="SA533"/>
      <c r="SB533"/>
      <c r="SC533"/>
      <c r="SD533"/>
      <c r="SE533"/>
      <c r="SF533"/>
      <c r="SG533"/>
      <c r="SH533"/>
      <c r="SI533"/>
      <c r="SJ533"/>
      <c r="SK533"/>
      <c r="SL533"/>
      <c r="SM533"/>
      <c r="SN533"/>
      <c r="SO533"/>
      <c r="SP533"/>
      <c r="SQ533"/>
      <c r="SR533"/>
      <c r="SS533"/>
      <c r="ST533"/>
      <c r="SU533"/>
      <c r="SV533"/>
      <c r="SW533"/>
      <c r="SX533"/>
      <c r="SY533"/>
      <c r="SZ533"/>
      <c r="TA533"/>
      <c r="TB533"/>
      <c r="TC533"/>
      <c r="TD533"/>
      <c r="TE533"/>
      <c r="TF533"/>
      <c r="TG533"/>
      <c r="TH533"/>
    </row>
    <row r="534" spans="3:528" x14ac:dyDescent="0.25">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c r="KT534"/>
      <c r="KU534"/>
      <c r="KV534"/>
      <c r="KW534"/>
      <c r="KX534"/>
      <c r="KY534"/>
      <c r="KZ534"/>
      <c r="LA534"/>
      <c r="LB534"/>
      <c r="LC534"/>
      <c r="LD534"/>
      <c r="LE534"/>
      <c r="LF534"/>
      <c r="LG534"/>
      <c r="LH534"/>
      <c r="LI534"/>
      <c r="LJ534"/>
      <c r="LK534"/>
      <c r="LL534"/>
      <c r="LM534"/>
      <c r="LN534"/>
      <c r="LO534"/>
      <c r="LP534"/>
      <c r="LQ534"/>
      <c r="LR534"/>
      <c r="LS534"/>
      <c r="LT534"/>
      <c r="LU534"/>
      <c r="LV534"/>
      <c r="LW534"/>
      <c r="LX534"/>
      <c r="LY534"/>
      <c r="LZ534"/>
      <c r="MA534"/>
      <c r="MB534"/>
      <c r="MC534"/>
      <c r="MD534"/>
      <c r="ME534"/>
      <c r="MF534"/>
      <c r="MG534"/>
      <c r="MH534"/>
      <c r="MI534"/>
      <c r="MJ534"/>
      <c r="MK534"/>
      <c r="ML534"/>
      <c r="MM534"/>
      <c r="MN534"/>
      <c r="MO534"/>
      <c r="MP534"/>
      <c r="MQ534"/>
      <c r="MR534"/>
      <c r="MS534"/>
      <c r="MT534"/>
      <c r="MU534"/>
      <c r="MV534"/>
      <c r="MW534"/>
      <c r="MX534"/>
      <c r="MY534"/>
      <c r="MZ534"/>
      <c r="NA534"/>
      <c r="NB534"/>
      <c r="NC534"/>
      <c r="ND534"/>
      <c r="NE534"/>
      <c r="NF534"/>
      <c r="NG534"/>
      <c r="NH534"/>
      <c r="NI534"/>
      <c r="NJ534"/>
      <c r="NK534"/>
      <c r="NL534"/>
      <c r="NM534"/>
      <c r="NN534"/>
      <c r="NO534"/>
      <c r="NP534"/>
      <c r="NQ534"/>
      <c r="NR534"/>
      <c r="NS534"/>
      <c r="NT534"/>
      <c r="NU534"/>
      <c r="NV534"/>
      <c r="NW534"/>
      <c r="NX534"/>
      <c r="NY534"/>
      <c r="NZ534"/>
      <c r="OA534"/>
      <c r="OB534"/>
      <c r="OC534"/>
      <c r="OD534"/>
      <c r="OE534"/>
      <c r="OF534"/>
      <c r="OG534"/>
      <c r="OH534"/>
      <c r="OI534"/>
      <c r="OJ534"/>
      <c r="OK534"/>
      <c r="OL534"/>
      <c r="OM534"/>
      <c r="ON534"/>
      <c r="OO534"/>
      <c r="OP534"/>
      <c r="OQ534"/>
      <c r="OR534"/>
      <c r="OS534"/>
      <c r="OT534"/>
      <c r="OU534"/>
      <c r="OV534"/>
      <c r="OW534"/>
      <c r="OX534"/>
      <c r="OY534"/>
      <c r="OZ534"/>
      <c r="PA534"/>
      <c r="PB534"/>
      <c r="PC534"/>
      <c r="PD534"/>
      <c r="PE534"/>
      <c r="PF534"/>
      <c r="PG534"/>
      <c r="PH534"/>
      <c r="PI534"/>
      <c r="PJ534"/>
      <c r="PK534"/>
      <c r="PL534"/>
      <c r="PM534"/>
      <c r="PN534"/>
      <c r="PO534"/>
      <c r="PP534"/>
      <c r="PQ534"/>
      <c r="PR534"/>
      <c r="PS534"/>
      <c r="PT534"/>
      <c r="PU534"/>
      <c r="PV534"/>
      <c r="PW534"/>
      <c r="PX534"/>
      <c r="PY534"/>
      <c r="PZ534"/>
      <c r="QA534"/>
      <c r="QB534"/>
      <c r="QC534"/>
      <c r="QD534"/>
      <c r="QE534"/>
      <c r="QF534"/>
      <c r="QG534"/>
      <c r="QH534"/>
      <c r="QI534"/>
      <c r="QJ534"/>
      <c r="QK534"/>
      <c r="QL534"/>
      <c r="QM534"/>
      <c r="QN534"/>
      <c r="QO534"/>
      <c r="QP534"/>
      <c r="QQ534"/>
      <c r="QR534"/>
      <c r="QS534"/>
      <c r="QT534"/>
      <c r="QU534"/>
      <c r="QV534"/>
      <c r="QW534"/>
      <c r="QX534"/>
      <c r="QY534"/>
      <c r="QZ534"/>
      <c r="RA534"/>
      <c r="RB534"/>
      <c r="RC534"/>
      <c r="RD534"/>
      <c r="RE534"/>
      <c r="RF534"/>
      <c r="RG534"/>
      <c r="RH534"/>
      <c r="RI534"/>
      <c r="RJ534"/>
      <c r="RK534"/>
      <c r="RL534"/>
      <c r="RM534"/>
      <c r="RN534"/>
      <c r="RO534"/>
      <c r="RP534"/>
      <c r="RQ534"/>
      <c r="RR534"/>
      <c r="RS534"/>
      <c r="RT534"/>
      <c r="RU534"/>
      <c r="RV534"/>
      <c r="RW534"/>
      <c r="RX534"/>
      <c r="RY534"/>
      <c r="RZ534"/>
      <c r="SA534"/>
      <c r="SB534"/>
      <c r="SC534"/>
      <c r="SD534"/>
      <c r="SE534"/>
      <c r="SF534"/>
      <c r="SG534"/>
      <c r="SH534"/>
      <c r="SI534"/>
      <c r="SJ534"/>
      <c r="SK534"/>
      <c r="SL534"/>
      <c r="SM534"/>
      <c r="SN534"/>
      <c r="SO534"/>
      <c r="SP534"/>
      <c r="SQ534"/>
      <c r="SR534"/>
      <c r="SS534"/>
      <c r="ST534"/>
      <c r="SU534"/>
      <c r="SV534"/>
      <c r="SW534"/>
      <c r="SX534"/>
      <c r="SY534"/>
      <c r="SZ534"/>
      <c r="TA534"/>
      <c r="TB534"/>
      <c r="TC534"/>
      <c r="TD534"/>
      <c r="TE534"/>
      <c r="TF534"/>
      <c r="TG534"/>
      <c r="TH534"/>
    </row>
    <row r="535" spans="3:528" x14ac:dyDescent="0.2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c r="KT535"/>
      <c r="KU535"/>
      <c r="KV535"/>
      <c r="KW535"/>
      <c r="KX535"/>
      <c r="KY535"/>
      <c r="KZ535"/>
      <c r="LA535"/>
      <c r="LB535"/>
      <c r="LC535"/>
      <c r="LD535"/>
      <c r="LE535"/>
      <c r="LF535"/>
      <c r="LG535"/>
      <c r="LH535"/>
      <c r="LI535"/>
      <c r="LJ535"/>
      <c r="LK535"/>
      <c r="LL535"/>
      <c r="LM535"/>
      <c r="LN535"/>
      <c r="LO535"/>
      <c r="LP535"/>
      <c r="LQ535"/>
      <c r="LR535"/>
      <c r="LS535"/>
      <c r="LT535"/>
      <c r="LU535"/>
      <c r="LV535"/>
      <c r="LW535"/>
      <c r="LX535"/>
      <c r="LY535"/>
      <c r="LZ535"/>
      <c r="MA535"/>
      <c r="MB535"/>
      <c r="MC535"/>
      <c r="MD535"/>
      <c r="ME535"/>
      <c r="MF535"/>
      <c r="MG535"/>
      <c r="MH535"/>
      <c r="MI535"/>
      <c r="MJ535"/>
      <c r="MK535"/>
      <c r="ML535"/>
      <c r="MM535"/>
      <c r="MN535"/>
      <c r="MO535"/>
      <c r="MP535"/>
      <c r="MQ535"/>
      <c r="MR535"/>
      <c r="MS535"/>
      <c r="MT535"/>
      <c r="MU535"/>
      <c r="MV535"/>
      <c r="MW535"/>
      <c r="MX535"/>
      <c r="MY535"/>
      <c r="MZ535"/>
      <c r="NA535"/>
      <c r="NB535"/>
      <c r="NC535"/>
      <c r="ND535"/>
      <c r="NE535"/>
      <c r="NF535"/>
      <c r="NG535"/>
      <c r="NH535"/>
      <c r="NI535"/>
      <c r="NJ535"/>
      <c r="NK535"/>
      <c r="NL535"/>
      <c r="NM535"/>
      <c r="NN535"/>
      <c r="NO535"/>
      <c r="NP535"/>
      <c r="NQ535"/>
      <c r="NR535"/>
      <c r="NS535"/>
      <c r="NT535"/>
      <c r="NU535"/>
      <c r="NV535"/>
      <c r="NW535"/>
      <c r="NX535"/>
      <c r="NY535"/>
      <c r="NZ535"/>
      <c r="OA535"/>
      <c r="OB535"/>
      <c r="OC535"/>
      <c r="OD535"/>
      <c r="OE535"/>
      <c r="OF535"/>
      <c r="OG535"/>
      <c r="OH535"/>
      <c r="OI535"/>
      <c r="OJ535"/>
      <c r="OK535"/>
      <c r="OL535"/>
      <c r="OM535"/>
      <c r="ON535"/>
      <c r="OO535"/>
      <c r="OP535"/>
      <c r="OQ535"/>
      <c r="OR535"/>
      <c r="OS535"/>
      <c r="OT535"/>
      <c r="OU535"/>
      <c r="OV535"/>
      <c r="OW535"/>
      <c r="OX535"/>
      <c r="OY535"/>
      <c r="OZ535"/>
      <c r="PA535"/>
      <c r="PB535"/>
      <c r="PC535"/>
      <c r="PD535"/>
      <c r="PE535"/>
      <c r="PF535"/>
      <c r="PG535"/>
      <c r="PH535"/>
      <c r="PI535"/>
      <c r="PJ535"/>
      <c r="PK535"/>
      <c r="PL535"/>
      <c r="PM535"/>
      <c r="PN535"/>
      <c r="PO535"/>
      <c r="PP535"/>
      <c r="PQ535"/>
      <c r="PR535"/>
      <c r="PS535"/>
      <c r="PT535"/>
      <c r="PU535"/>
      <c r="PV535"/>
      <c r="PW535"/>
      <c r="PX535"/>
      <c r="PY535"/>
      <c r="PZ535"/>
      <c r="QA535"/>
      <c r="QB535"/>
      <c r="QC535"/>
      <c r="QD535"/>
      <c r="QE535"/>
      <c r="QF535"/>
      <c r="QG535"/>
      <c r="QH535"/>
      <c r="QI535"/>
      <c r="QJ535"/>
      <c r="QK535"/>
      <c r="QL535"/>
      <c r="QM535"/>
      <c r="QN535"/>
      <c r="QO535"/>
      <c r="QP535"/>
      <c r="QQ535"/>
      <c r="QR535"/>
      <c r="QS535"/>
      <c r="QT535"/>
      <c r="QU535"/>
      <c r="QV535"/>
      <c r="QW535"/>
      <c r="QX535"/>
      <c r="QY535"/>
      <c r="QZ535"/>
      <c r="RA535"/>
      <c r="RB535"/>
      <c r="RC535"/>
      <c r="RD535"/>
      <c r="RE535"/>
      <c r="RF535"/>
      <c r="RG535"/>
      <c r="RH535"/>
      <c r="RI535"/>
      <c r="RJ535"/>
      <c r="RK535"/>
      <c r="RL535"/>
      <c r="RM535"/>
      <c r="RN535"/>
      <c r="RO535"/>
      <c r="RP535"/>
      <c r="RQ535"/>
      <c r="RR535"/>
      <c r="RS535"/>
      <c r="RT535"/>
      <c r="RU535"/>
      <c r="RV535"/>
      <c r="RW535"/>
      <c r="RX535"/>
      <c r="RY535"/>
      <c r="RZ535"/>
      <c r="SA535"/>
      <c r="SB535"/>
      <c r="SC535"/>
      <c r="SD535"/>
      <c r="SE535"/>
      <c r="SF535"/>
      <c r="SG535"/>
      <c r="SH535"/>
      <c r="SI535"/>
      <c r="SJ535"/>
      <c r="SK535"/>
      <c r="SL535"/>
      <c r="SM535"/>
      <c r="SN535"/>
      <c r="SO535"/>
      <c r="SP535"/>
      <c r="SQ535"/>
      <c r="SR535"/>
      <c r="SS535"/>
      <c r="ST535"/>
      <c r="SU535"/>
      <c r="SV535"/>
      <c r="SW535"/>
      <c r="SX535"/>
      <c r="SY535"/>
      <c r="SZ535"/>
      <c r="TA535"/>
      <c r="TB535"/>
      <c r="TC535"/>
      <c r="TD535"/>
      <c r="TE535"/>
      <c r="TF535"/>
      <c r="TG535"/>
      <c r="TH535"/>
    </row>
    <row r="536" spans="3:528" x14ac:dyDescent="0.25">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c r="KT536"/>
      <c r="KU536"/>
      <c r="KV536"/>
      <c r="KW536"/>
      <c r="KX536"/>
      <c r="KY536"/>
      <c r="KZ536"/>
      <c r="LA536"/>
      <c r="LB536"/>
      <c r="LC536"/>
      <c r="LD536"/>
      <c r="LE536"/>
      <c r="LF536"/>
      <c r="LG536"/>
      <c r="LH536"/>
      <c r="LI536"/>
      <c r="LJ536"/>
      <c r="LK536"/>
      <c r="LL536"/>
      <c r="LM536"/>
      <c r="LN536"/>
      <c r="LO536"/>
      <c r="LP536"/>
      <c r="LQ536"/>
      <c r="LR536"/>
      <c r="LS536"/>
      <c r="LT536"/>
      <c r="LU536"/>
      <c r="LV536"/>
      <c r="LW536"/>
      <c r="LX536"/>
      <c r="LY536"/>
      <c r="LZ536"/>
      <c r="MA536"/>
      <c r="MB536"/>
      <c r="MC536"/>
      <c r="MD536"/>
      <c r="ME536"/>
      <c r="MF536"/>
      <c r="MG536"/>
      <c r="MH536"/>
      <c r="MI536"/>
      <c r="MJ536"/>
      <c r="MK536"/>
      <c r="ML536"/>
      <c r="MM536"/>
      <c r="MN536"/>
      <c r="MO536"/>
      <c r="MP536"/>
      <c r="MQ536"/>
      <c r="MR536"/>
      <c r="MS536"/>
      <c r="MT536"/>
      <c r="MU536"/>
      <c r="MV536"/>
      <c r="MW536"/>
      <c r="MX536"/>
      <c r="MY536"/>
      <c r="MZ536"/>
      <c r="NA536"/>
      <c r="NB536"/>
      <c r="NC536"/>
      <c r="ND536"/>
      <c r="NE536"/>
      <c r="NF536"/>
      <c r="NG536"/>
      <c r="NH536"/>
      <c r="NI536"/>
      <c r="NJ536"/>
      <c r="NK536"/>
      <c r="NL536"/>
      <c r="NM536"/>
      <c r="NN536"/>
      <c r="NO536"/>
      <c r="NP536"/>
      <c r="NQ536"/>
      <c r="NR536"/>
      <c r="NS536"/>
      <c r="NT536"/>
      <c r="NU536"/>
      <c r="NV536"/>
      <c r="NW536"/>
      <c r="NX536"/>
      <c r="NY536"/>
      <c r="NZ536"/>
      <c r="OA536"/>
      <c r="OB536"/>
      <c r="OC536"/>
      <c r="OD536"/>
      <c r="OE536"/>
      <c r="OF536"/>
      <c r="OG536"/>
      <c r="OH536"/>
      <c r="OI536"/>
      <c r="OJ536"/>
      <c r="OK536"/>
      <c r="OL536"/>
      <c r="OM536"/>
      <c r="ON536"/>
      <c r="OO536"/>
      <c r="OP536"/>
      <c r="OQ536"/>
      <c r="OR536"/>
      <c r="OS536"/>
      <c r="OT536"/>
      <c r="OU536"/>
      <c r="OV536"/>
      <c r="OW536"/>
      <c r="OX536"/>
      <c r="OY536"/>
      <c r="OZ536"/>
      <c r="PA536"/>
      <c r="PB536"/>
      <c r="PC536"/>
      <c r="PD536"/>
      <c r="PE536"/>
      <c r="PF536"/>
      <c r="PG536"/>
      <c r="PH536"/>
      <c r="PI536"/>
      <c r="PJ536"/>
      <c r="PK536"/>
      <c r="PL536"/>
      <c r="PM536"/>
      <c r="PN536"/>
      <c r="PO536"/>
      <c r="PP536"/>
      <c r="PQ536"/>
      <c r="PR536"/>
      <c r="PS536"/>
      <c r="PT536"/>
      <c r="PU536"/>
      <c r="PV536"/>
      <c r="PW536"/>
      <c r="PX536"/>
      <c r="PY536"/>
      <c r="PZ536"/>
      <c r="QA536"/>
      <c r="QB536"/>
      <c r="QC536"/>
      <c r="QD536"/>
      <c r="QE536"/>
      <c r="QF536"/>
      <c r="QG536"/>
      <c r="QH536"/>
      <c r="QI536"/>
      <c r="QJ536"/>
      <c r="QK536"/>
      <c r="QL536"/>
      <c r="QM536"/>
      <c r="QN536"/>
      <c r="QO536"/>
      <c r="QP536"/>
      <c r="QQ536"/>
      <c r="QR536"/>
      <c r="QS536"/>
      <c r="QT536"/>
      <c r="QU536"/>
      <c r="QV536"/>
      <c r="QW536"/>
      <c r="QX536"/>
      <c r="QY536"/>
      <c r="QZ536"/>
      <c r="RA536"/>
      <c r="RB536"/>
      <c r="RC536"/>
      <c r="RD536"/>
      <c r="RE536"/>
      <c r="RF536"/>
      <c r="RG536"/>
      <c r="RH536"/>
      <c r="RI536"/>
      <c r="RJ536"/>
      <c r="RK536"/>
      <c r="RL536"/>
      <c r="RM536"/>
      <c r="RN536"/>
      <c r="RO536"/>
      <c r="RP536"/>
      <c r="RQ536"/>
      <c r="RR536"/>
      <c r="RS536"/>
      <c r="RT536"/>
      <c r="RU536"/>
      <c r="RV536"/>
      <c r="RW536"/>
      <c r="RX536"/>
      <c r="RY536"/>
      <c r="RZ536"/>
      <c r="SA536"/>
      <c r="SB536"/>
      <c r="SC536"/>
      <c r="SD536"/>
      <c r="SE536"/>
      <c r="SF536"/>
      <c r="SG536"/>
      <c r="SH536"/>
      <c r="SI536"/>
      <c r="SJ536"/>
      <c r="SK536"/>
      <c r="SL536"/>
      <c r="SM536"/>
      <c r="SN536"/>
      <c r="SO536"/>
      <c r="SP536"/>
      <c r="SQ536"/>
      <c r="SR536"/>
      <c r="SS536"/>
      <c r="ST536"/>
      <c r="SU536"/>
      <c r="SV536"/>
      <c r="SW536"/>
      <c r="SX536"/>
      <c r="SY536"/>
      <c r="SZ536"/>
      <c r="TA536"/>
      <c r="TB536"/>
      <c r="TC536"/>
      <c r="TD536"/>
      <c r="TE536"/>
      <c r="TF536"/>
      <c r="TG536"/>
      <c r="TH536"/>
    </row>
    <row r="537" spans="3:528" x14ac:dyDescent="0.25">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c r="KT537"/>
      <c r="KU537"/>
      <c r="KV537"/>
      <c r="KW537"/>
      <c r="KX537"/>
      <c r="KY537"/>
      <c r="KZ537"/>
      <c r="LA537"/>
      <c r="LB537"/>
      <c r="LC537"/>
      <c r="LD537"/>
      <c r="LE537"/>
      <c r="LF537"/>
      <c r="LG537"/>
      <c r="LH537"/>
      <c r="LI537"/>
      <c r="LJ537"/>
      <c r="LK537"/>
      <c r="LL537"/>
      <c r="LM537"/>
      <c r="LN537"/>
      <c r="LO537"/>
      <c r="LP537"/>
      <c r="LQ537"/>
      <c r="LR537"/>
      <c r="LS537"/>
      <c r="LT537"/>
      <c r="LU537"/>
      <c r="LV537"/>
      <c r="LW537"/>
      <c r="LX537"/>
      <c r="LY537"/>
      <c r="LZ537"/>
      <c r="MA537"/>
      <c r="MB537"/>
      <c r="MC537"/>
      <c r="MD537"/>
      <c r="ME537"/>
      <c r="MF537"/>
      <c r="MG537"/>
      <c r="MH537"/>
      <c r="MI537"/>
      <c r="MJ537"/>
      <c r="MK537"/>
      <c r="ML537"/>
      <c r="MM537"/>
      <c r="MN537"/>
      <c r="MO537"/>
      <c r="MP537"/>
      <c r="MQ537"/>
      <c r="MR537"/>
      <c r="MS537"/>
      <c r="MT537"/>
      <c r="MU537"/>
      <c r="MV537"/>
      <c r="MW537"/>
      <c r="MX537"/>
      <c r="MY537"/>
      <c r="MZ537"/>
      <c r="NA537"/>
      <c r="NB537"/>
      <c r="NC537"/>
      <c r="ND537"/>
      <c r="NE537"/>
      <c r="NF537"/>
      <c r="NG537"/>
      <c r="NH537"/>
      <c r="NI537"/>
      <c r="NJ537"/>
      <c r="NK537"/>
      <c r="NL537"/>
      <c r="NM537"/>
      <c r="NN537"/>
      <c r="NO537"/>
      <c r="NP537"/>
      <c r="NQ537"/>
      <c r="NR537"/>
      <c r="NS537"/>
      <c r="NT537"/>
      <c r="NU537"/>
      <c r="NV537"/>
      <c r="NW537"/>
      <c r="NX537"/>
      <c r="NY537"/>
      <c r="NZ537"/>
      <c r="OA537"/>
      <c r="OB537"/>
      <c r="OC537"/>
      <c r="OD537"/>
      <c r="OE537"/>
      <c r="OF537"/>
      <c r="OG537"/>
      <c r="OH537"/>
      <c r="OI537"/>
      <c r="OJ537"/>
      <c r="OK537"/>
      <c r="OL537"/>
      <c r="OM537"/>
      <c r="ON537"/>
      <c r="OO537"/>
      <c r="OP537"/>
      <c r="OQ537"/>
      <c r="OR537"/>
      <c r="OS537"/>
      <c r="OT537"/>
      <c r="OU537"/>
      <c r="OV537"/>
      <c r="OW537"/>
      <c r="OX537"/>
      <c r="OY537"/>
      <c r="OZ537"/>
      <c r="PA537"/>
      <c r="PB537"/>
      <c r="PC537"/>
      <c r="PD537"/>
      <c r="PE537"/>
      <c r="PF537"/>
      <c r="PG537"/>
      <c r="PH537"/>
      <c r="PI537"/>
      <c r="PJ537"/>
      <c r="PK537"/>
      <c r="PL537"/>
      <c r="PM537"/>
      <c r="PN537"/>
      <c r="PO537"/>
      <c r="PP537"/>
      <c r="PQ537"/>
      <c r="PR537"/>
      <c r="PS537"/>
      <c r="PT537"/>
      <c r="PU537"/>
      <c r="PV537"/>
      <c r="PW537"/>
      <c r="PX537"/>
      <c r="PY537"/>
      <c r="PZ537"/>
      <c r="QA537"/>
      <c r="QB537"/>
      <c r="QC537"/>
      <c r="QD537"/>
      <c r="QE537"/>
      <c r="QF537"/>
      <c r="QG537"/>
      <c r="QH537"/>
      <c r="QI537"/>
      <c r="QJ537"/>
      <c r="QK537"/>
      <c r="QL537"/>
      <c r="QM537"/>
      <c r="QN537"/>
      <c r="QO537"/>
      <c r="QP537"/>
      <c r="QQ537"/>
      <c r="QR537"/>
      <c r="QS537"/>
      <c r="QT537"/>
      <c r="QU537"/>
      <c r="QV537"/>
      <c r="QW537"/>
      <c r="QX537"/>
      <c r="QY537"/>
      <c r="QZ537"/>
      <c r="RA537"/>
      <c r="RB537"/>
      <c r="RC537"/>
      <c r="RD537"/>
      <c r="RE537"/>
      <c r="RF537"/>
      <c r="RG537"/>
      <c r="RH537"/>
      <c r="RI537"/>
      <c r="RJ537"/>
      <c r="RK537"/>
      <c r="RL537"/>
      <c r="RM537"/>
      <c r="RN537"/>
      <c r="RO537"/>
      <c r="RP537"/>
      <c r="RQ537"/>
      <c r="RR537"/>
      <c r="RS537"/>
      <c r="RT537"/>
      <c r="RU537"/>
      <c r="RV537"/>
      <c r="RW537"/>
      <c r="RX537"/>
      <c r="RY537"/>
      <c r="RZ537"/>
      <c r="SA537"/>
      <c r="SB537"/>
      <c r="SC537"/>
      <c r="SD537"/>
      <c r="SE537"/>
      <c r="SF537"/>
      <c r="SG537"/>
      <c r="SH537"/>
      <c r="SI537"/>
      <c r="SJ537"/>
      <c r="SK537"/>
      <c r="SL537"/>
      <c r="SM537"/>
      <c r="SN537"/>
      <c r="SO537"/>
      <c r="SP537"/>
      <c r="SQ537"/>
      <c r="SR537"/>
      <c r="SS537"/>
      <c r="ST537"/>
      <c r="SU537"/>
      <c r="SV537"/>
      <c r="SW537"/>
      <c r="SX537"/>
      <c r="SY537"/>
      <c r="SZ537"/>
      <c r="TA537"/>
      <c r="TB537"/>
      <c r="TC537"/>
      <c r="TD537"/>
      <c r="TE537"/>
      <c r="TF537"/>
      <c r="TG537"/>
      <c r="TH537"/>
    </row>
    <row r="538" spans="3:528" x14ac:dyDescent="0.25">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c r="KT538"/>
      <c r="KU538"/>
      <c r="KV538"/>
      <c r="KW538"/>
      <c r="KX538"/>
      <c r="KY538"/>
      <c r="KZ538"/>
      <c r="LA538"/>
      <c r="LB538"/>
      <c r="LC538"/>
      <c r="LD538"/>
      <c r="LE538"/>
      <c r="LF538"/>
      <c r="LG538"/>
      <c r="LH538"/>
      <c r="LI538"/>
      <c r="LJ538"/>
      <c r="LK538"/>
      <c r="LL538"/>
      <c r="LM538"/>
      <c r="LN538"/>
      <c r="LO538"/>
      <c r="LP538"/>
      <c r="LQ538"/>
      <c r="LR538"/>
      <c r="LS538"/>
      <c r="LT538"/>
      <c r="LU538"/>
      <c r="LV538"/>
      <c r="LW538"/>
      <c r="LX538"/>
      <c r="LY538"/>
      <c r="LZ538"/>
      <c r="MA538"/>
      <c r="MB538"/>
      <c r="MC538"/>
      <c r="MD538"/>
      <c r="ME538"/>
      <c r="MF538"/>
      <c r="MG538"/>
      <c r="MH538"/>
      <c r="MI538"/>
      <c r="MJ538"/>
      <c r="MK538"/>
      <c r="ML538"/>
      <c r="MM538"/>
      <c r="MN538"/>
      <c r="MO538"/>
      <c r="MP538"/>
      <c r="MQ538"/>
      <c r="MR538"/>
      <c r="MS538"/>
      <c r="MT538"/>
      <c r="MU538"/>
      <c r="MV538"/>
      <c r="MW538"/>
      <c r="MX538"/>
      <c r="MY538"/>
      <c r="MZ538"/>
      <c r="NA538"/>
      <c r="NB538"/>
      <c r="NC538"/>
      <c r="ND538"/>
      <c r="NE538"/>
      <c r="NF538"/>
      <c r="NG538"/>
      <c r="NH538"/>
      <c r="NI538"/>
      <c r="NJ538"/>
      <c r="NK538"/>
      <c r="NL538"/>
      <c r="NM538"/>
      <c r="NN538"/>
      <c r="NO538"/>
      <c r="NP538"/>
      <c r="NQ538"/>
      <c r="NR538"/>
      <c r="NS538"/>
      <c r="NT538"/>
      <c r="NU538"/>
      <c r="NV538"/>
      <c r="NW538"/>
      <c r="NX538"/>
      <c r="NY538"/>
      <c r="NZ538"/>
      <c r="OA538"/>
      <c r="OB538"/>
      <c r="OC538"/>
      <c r="OD538"/>
      <c r="OE538"/>
      <c r="OF538"/>
      <c r="OG538"/>
      <c r="OH538"/>
      <c r="OI538"/>
      <c r="OJ538"/>
      <c r="OK538"/>
      <c r="OL538"/>
      <c r="OM538"/>
      <c r="ON538"/>
      <c r="OO538"/>
      <c r="OP538"/>
      <c r="OQ538"/>
      <c r="OR538"/>
      <c r="OS538"/>
      <c r="OT538"/>
      <c r="OU538"/>
      <c r="OV538"/>
      <c r="OW538"/>
      <c r="OX538"/>
      <c r="OY538"/>
      <c r="OZ538"/>
      <c r="PA538"/>
      <c r="PB538"/>
      <c r="PC538"/>
      <c r="PD538"/>
      <c r="PE538"/>
      <c r="PF538"/>
      <c r="PG538"/>
      <c r="PH538"/>
      <c r="PI538"/>
      <c r="PJ538"/>
      <c r="PK538"/>
      <c r="PL538"/>
      <c r="PM538"/>
      <c r="PN538"/>
      <c r="PO538"/>
      <c r="PP538"/>
      <c r="PQ538"/>
      <c r="PR538"/>
      <c r="PS538"/>
      <c r="PT538"/>
      <c r="PU538"/>
      <c r="PV538"/>
      <c r="PW538"/>
      <c r="PX538"/>
      <c r="PY538"/>
      <c r="PZ538"/>
      <c r="QA538"/>
      <c r="QB538"/>
      <c r="QC538"/>
      <c r="QD538"/>
      <c r="QE538"/>
      <c r="QF538"/>
      <c r="QG538"/>
      <c r="QH538"/>
      <c r="QI538"/>
      <c r="QJ538"/>
      <c r="QK538"/>
      <c r="QL538"/>
      <c r="QM538"/>
      <c r="QN538"/>
      <c r="QO538"/>
      <c r="QP538"/>
      <c r="QQ538"/>
      <c r="QR538"/>
      <c r="QS538"/>
      <c r="QT538"/>
      <c r="QU538"/>
      <c r="QV538"/>
      <c r="QW538"/>
      <c r="QX538"/>
      <c r="QY538"/>
      <c r="QZ538"/>
      <c r="RA538"/>
      <c r="RB538"/>
      <c r="RC538"/>
      <c r="RD538"/>
      <c r="RE538"/>
      <c r="RF538"/>
      <c r="RG538"/>
      <c r="RH538"/>
      <c r="RI538"/>
      <c r="RJ538"/>
      <c r="RK538"/>
      <c r="RL538"/>
      <c r="RM538"/>
      <c r="RN538"/>
      <c r="RO538"/>
      <c r="RP538"/>
      <c r="RQ538"/>
      <c r="RR538"/>
      <c r="RS538"/>
      <c r="RT538"/>
      <c r="RU538"/>
      <c r="RV538"/>
      <c r="RW538"/>
      <c r="RX538"/>
      <c r="RY538"/>
      <c r="RZ538"/>
      <c r="SA538"/>
      <c r="SB538"/>
      <c r="SC538"/>
      <c r="SD538"/>
      <c r="SE538"/>
      <c r="SF538"/>
      <c r="SG538"/>
      <c r="SH538"/>
      <c r="SI538"/>
      <c r="SJ538"/>
      <c r="SK538"/>
      <c r="SL538"/>
      <c r="SM538"/>
      <c r="SN538"/>
      <c r="SO538"/>
      <c r="SP538"/>
      <c r="SQ538"/>
      <c r="SR538"/>
      <c r="SS538"/>
      <c r="ST538"/>
      <c r="SU538"/>
      <c r="SV538"/>
      <c r="SW538"/>
      <c r="SX538"/>
      <c r="SY538"/>
      <c r="SZ538"/>
      <c r="TA538"/>
      <c r="TB538"/>
      <c r="TC538"/>
      <c r="TD538"/>
      <c r="TE538"/>
      <c r="TF538"/>
      <c r="TG538"/>
      <c r="TH538"/>
    </row>
    <row r="539" spans="3:528" x14ac:dyDescent="0.25">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c r="KT539"/>
      <c r="KU539"/>
      <c r="KV539"/>
      <c r="KW539"/>
      <c r="KX539"/>
      <c r="KY539"/>
      <c r="KZ539"/>
      <c r="LA539"/>
      <c r="LB539"/>
      <c r="LC539"/>
      <c r="LD539"/>
      <c r="LE539"/>
      <c r="LF539"/>
      <c r="LG539"/>
      <c r="LH539"/>
      <c r="LI539"/>
      <c r="LJ539"/>
      <c r="LK539"/>
      <c r="LL539"/>
      <c r="LM539"/>
      <c r="LN539"/>
      <c r="LO539"/>
      <c r="LP539"/>
      <c r="LQ539"/>
      <c r="LR539"/>
      <c r="LS539"/>
      <c r="LT539"/>
      <c r="LU539"/>
      <c r="LV539"/>
      <c r="LW539"/>
      <c r="LX539"/>
      <c r="LY539"/>
      <c r="LZ539"/>
      <c r="MA539"/>
      <c r="MB539"/>
      <c r="MC539"/>
      <c r="MD539"/>
      <c r="ME539"/>
      <c r="MF539"/>
      <c r="MG539"/>
      <c r="MH539"/>
      <c r="MI539"/>
      <c r="MJ539"/>
      <c r="MK539"/>
      <c r="ML539"/>
      <c r="MM539"/>
      <c r="MN539"/>
      <c r="MO539"/>
      <c r="MP539"/>
      <c r="MQ539"/>
      <c r="MR539"/>
      <c r="MS539"/>
      <c r="MT539"/>
      <c r="MU539"/>
      <c r="MV539"/>
      <c r="MW539"/>
      <c r="MX539"/>
      <c r="MY539"/>
      <c r="MZ539"/>
      <c r="NA539"/>
      <c r="NB539"/>
      <c r="NC539"/>
      <c r="ND539"/>
      <c r="NE539"/>
      <c r="NF539"/>
      <c r="NG539"/>
      <c r="NH539"/>
      <c r="NI539"/>
      <c r="NJ539"/>
      <c r="NK539"/>
      <c r="NL539"/>
      <c r="NM539"/>
      <c r="NN539"/>
      <c r="NO539"/>
      <c r="NP539"/>
      <c r="NQ539"/>
      <c r="NR539"/>
      <c r="NS539"/>
      <c r="NT539"/>
      <c r="NU539"/>
      <c r="NV539"/>
      <c r="NW539"/>
      <c r="NX539"/>
      <c r="NY539"/>
      <c r="NZ539"/>
      <c r="OA539"/>
      <c r="OB539"/>
      <c r="OC539"/>
      <c r="OD539"/>
      <c r="OE539"/>
      <c r="OF539"/>
      <c r="OG539"/>
      <c r="OH539"/>
      <c r="OI539"/>
      <c r="OJ539"/>
      <c r="OK539"/>
      <c r="OL539"/>
      <c r="OM539"/>
      <c r="ON539"/>
      <c r="OO539"/>
      <c r="OP539"/>
      <c r="OQ539"/>
      <c r="OR539"/>
      <c r="OS539"/>
      <c r="OT539"/>
      <c r="OU539"/>
      <c r="OV539"/>
      <c r="OW539"/>
      <c r="OX539"/>
      <c r="OY539"/>
      <c r="OZ539"/>
      <c r="PA539"/>
      <c r="PB539"/>
      <c r="PC539"/>
      <c r="PD539"/>
      <c r="PE539"/>
      <c r="PF539"/>
      <c r="PG539"/>
      <c r="PH539"/>
      <c r="PI539"/>
      <c r="PJ539"/>
      <c r="PK539"/>
      <c r="PL539"/>
      <c r="PM539"/>
      <c r="PN539"/>
      <c r="PO539"/>
      <c r="PP539"/>
      <c r="PQ539"/>
      <c r="PR539"/>
      <c r="PS539"/>
      <c r="PT539"/>
      <c r="PU539"/>
      <c r="PV539"/>
      <c r="PW539"/>
      <c r="PX539"/>
      <c r="PY539"/>
      <c r="PZ539"/>
      <c r="QA539"/>
      <c r="QB539"/>
      <c r="QC539"/>
      <c r="QD539"/>
      <c r="QE539"/>
      <c r="QF539"/>
      <c r="QG539"/>
      <c r="QH539"/>
      <c r="QI539"/>
      <c r="QJ539"/>
      <c r="QK539"/>
      <c r="QL539"/>
      <c r="QM539"/>
      <c r="QN539"/>
      <c r="QO539"/>
      <c r="QP539"/>
      <c r="QQ539"/>
      <c r="QR539"/>
      <c r="QS539"/>
      <c r="QT539"/>
      <c r="QU539"/>
      <c r="QV539"/>
      <c r="QW539"/>
      <c r="QX539"/>
      <c r="QY539"/>
      <c r="QZ539"/>
      <c r="RA539"/>
      <c r="RB539"/>
      <c r="RC539"/>
      <c r="RD539"/>
      <c r="RE539"/>
      <c r="RF539"/>
      <c r="RG539"/>
      <c r="RH539"/>
      <c r="RI539"/>
      <c r="RJ539"/>
      <c r="RK539"/>
      <c r="RL539"/>
      <c r="RM539"/>
      <c r="RN539"/>
      <c r="RO539"/>
      <c r="RP539"/>
      <c r="RQ539"/>
      <c r="RR539"/>
      <c r="RS539"/>
      <c r="RT539"/>
      <c r="RU539"/>
      <c r="RV539"/>
      <c r="RW539"/>
      <c r="RX539"/>
      <c r="RY539"/>
      <c r="RZ539"/>
      <c r="SA539"/>
      <c r="SB539"/>
      <c r="SC539"/>
      <c r="SD539"/>
      <c r="SE539"/>
      <c r="SF539"/>
      <c r="SG539"/>
      <c r="SH539"/>
      <c r="SI539"/>
      <c r="SJ539"/>
      <c r="SK539"/>
      <c r="SL539"/>
      <c r="SM539"/>
      <c r="SN539"/>
      <c r="SO539"/>
      <c r="SP539"/>
      <c r="SQ539"/>
      <c r="SR539"/>
      <c r="SS539"/>
      <c r="ST539"/>
      <c r="SU539"/>
      <c r="SV539"/>
      <c r="SW539"/>
      <c r="SX539"/>
      <c r="SY539"/>
      <c r="SZ539"/>
      <c r="TA539"/>
      <c r="TB539"/>
      <c r="TC539"/>
      <c r="TD539"/>
      <c r="TE539"/>
      <c r="TF539"/>
      <c r="TG539"/>
      <c r="TH539"/>
    </row>
    <row r="540" spans="3:528" x14ac:dyDescent="0.25">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c r="KT540"/>
      <c r="KU540"/>
      <c r="KV540"/>
      <c r="KW540"/>
      <c r="KX540"/>
      <c r="KY540"/>
      <c r="KZ540"/>
      <c r="LA540"/>
      <c r="LB540"/>
      <c r="LC540"/>
      <c r="LD540"/>
      <c r="LE540"/>
      <c r="LF540"/>
      <c r="LG540"/>
      <c r="LH540"/>
      <c r="LI540"/>
      <c r="LJ540"/>
      <c r="LK540"/>
      <c r="LL540"/>
      <c r="LM540"/>
      <c r="LN540"/>
      <c r="LO540"/>
      <c r="LP540"/>
      <c r="LQ540"/>
      <c r="LR540"/>
      <c r="LS540"/>
      <c r="LT540"/>
      <c r="LU540"/>
      <c r="LV540"/>
      <c r="LW540"/>
      <c r="LX540"/>
      <c r="LY540"/>
      <c r="LZ540"/>
      <c r="MA540"/>
      <c r="MB540"/>
      <c r="MC540"/>
      <c r="MD540"/>
      <c r="ME540"/>
      <c r="MF540"/>
      <c r="MG540"/>
      <c r="MH540"/>
      <c r="MI540"/>
      <c r="MJ540"/>
      <c r="MK540"/>
      <c r="ML540"/>
      <c r="MM540"/>
      <c r="MN540"/>
      <c r="MO540"/>
      <c r="MP540"/>
      <c r="MQ540"/>
      <c r="MR540"/>
      <c r="MS540"/>
      <c r="MT540"/>
      <c r="MU540"/>
      <c r="MV540"/>
      <c r="MW540"/>
      <c r="MX540"/>
      <c r="MY540"/>
      <c r="MZ540"/>
      <c r="NA540"/>
      <c r="NB540"/>
      <c r="NC540"/>
      <c r="ND540"/>
      <c r="NE540"/>
      <c r="NF540"/>
      <c r="NG540"/>
      <c r="NH540"/>
      <c r="NI540"/>
      <c r="NJ540"/>
      <c r="NK540"/>
      <c r="NL540"/>
      <c r="NM540"/>
      <c r="NN540"/>
      <c r="NO540"/>
      <c r="NP540"/>
      <c r="NQ540"/>
      <c r="NR540"/>
      <c r="NS540"/>
      <c r="NT540"/>
      <c r="NU540"/>
      <c r="NV540"/>
      <c r="NW540"/>
      <c r="NX540"/>
      <c r="NY540"/>
      <c r="NZ540"/>
      <c r="OA540"/>
      <c r="OB540"/>
      <c r="OC540"/>
      <c r="OD540"/>
      <c r="OE540"/>
      <c r="OF540"/>
      <c r="OG540"/>
      <c r="OH540"/>
      <c r="OI540"/>
      <c r="OJ540"/>
      <c r="OK540"/>
      <c r="OL540"/>
      <c r="OM540"/>
      <c r="ON540"/>
      <c r="OO540"/>
      <c r="OP540"/>
      <c r="OQ540"/>
      <c r="OR540"/>
      <c r="OS540"/>
      <c r="OT540"/>
      <c r="OU540"/>
      <c r="OV540"/>
      <c r="OW540"/>
      <c r="OX540"/>
      <c r="OY540"/>
      <c r="OZ540"/>
      <c r="PA540"/>
      <c r="PB540"/>
      <c r="PC540"/>
      <c r="PD540"/>
      <c r="PE540"/>
      <c r="PF540"/>
      <c r="PG540"/>
      <c r="PH540"/>
      <c r="PI540"/>
      <c r="PJ540"/>
      <c r="PK540"/>
      <c r="PL540"/>
      <c r="PM540"/>
      <c r="PN540"/>
      <c r="PO540"/>
      <c r="PP540"/>
      <c r="PQ540"/>
      <c r="PR540"/>
      <c r="PS540"/>
      <c r="PT540"/>
      <c r="PU540"/>
      <c r="PV540"/>
      <c r="PW540"/>
      <c r="PX540"/>
      <c r="PY540"/>
      <c r="PZ540"/>
      <c r="QA540"/>
      <c r="QB540"/>
      <c r="QC540"/>
      <c r="QD540"/>
      <c r="QE540"/>
      <c r="QF540"/>
      <c r="QG540"/>
      <c r="QH540"/>
      <c r="QI540"/>
      <c r="QJ540"/>
      <c r="QK540"/>
      <c r="QL540"/>
      <c r="QM540"/>
      <c r="QN540"/>
      <c r="QO540"/>
      <c r="QP540"/>
      <c r="QQ540"/>
      <c r="QR540"/>
      <c r="QS540"/>
      <c r="QT540"/>
      <c r="QU540"/>
      <c r="QV540"/>
      <c r="QW540"/>
      <c r="QX540"/>
      <c r="QY540"/>
      <c r="QZ540"/>
      <c r="RA540"/>
      <c r="RB540"/>
      <c r="RC540"/>
      <c r="RD540"/>
      <c r="RE540"/>
      <c r="RF540"/>
      <c r="RG540"/>
      <c r="RH540"/>
      <c r="RI540"/>
      <c r="RJ540"/>
      <c r="RK540"/>
      <c r="RL540"/>
      <c r="RM540"/>
      <c r="RN540"/>
      <c r="RO540"/>
      <c r="RP540"/>
      <c r="RQ540"/>
      <c r="RR540"/>
      <c r="RS540"/>
      <c r="RT540"/>
      <c r="RU540"/>
      <c r="RV540"/>
      <c r="RW540"/>
      <c r="RX540"/>
      <c r="RY540"/>
      <c r="RZ540"/>
      <c r="SA540"/>
      <c r="SB540"/>
      <c r="SC540"/>
      <c r="SD540"/>
      <c r="SE540"/>
      <c r="SF540"/>
      <c r="SG540"/>
      <c r="SH540"/>
      <c r="SI540"/>
      <c r="SJ540"/>
      <c r="SK540"/>
      <c r="SL540"/>
      <c r="SM540"/>
      <c r="SN540"/>
      <c r="SO540"/>
      <c r="SP540"/>
      <c r="SQ540"/>
      <c r="SR540"/>
      <c r="SS540"/>
      <c r="ST540"/>
      <c r="SU540"/>
      <c r="SV540"/>
      <c r="SW540"/>
      <c r="SX540"/>
      <c r="SY540"/>
      <c r="SZ540"/>
      <c r="TA540"/>
      <c r="TB540"/>
      <c r="TC540"/>
      <c r="TD540"/>
      <c r="TE540"/>
      <c r="TF540"/>
      <c r="TG540"/>
      <c r="TH540"/>
    </row>
    <row r="541" spans="3:528" x14ac:dyDescent="0.25">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c r="KT541"/>
      <c r="KU541"/>
      <c r="KV541"/>
      <c r="KW541"/>
      <c r="KX541"/>
      <c r="KY541"/>
      <c r="KZ541"/>
      <c r="LA541"/>
      <c r="LB541"/>
      <c r="LC541"/>
      <c r="LD541"/>
      <c r="LE541"/>
      <c r="LF541"/>
      <c r="LG541"/>
      <c r="LH541"/>
      <c r="LI541"/>
      <c r="LJ541"/>
      <c r="LK541"/>
      <c r="LL541"/>
      <c r="LM541"/>
      <c r="LN541"/>
      <c r="LO541"/>
      <c r="LP541"/>
      <c r="LQ541"/>
      <c r="LR541"/>
      <c r="LS541"/>
      <c r="LT541"/>
      <c r="LU541"/>
      <c r="LV541"/>
      <c r="LW541"/>
      <c r="LX541"/>
      <c r="LY541"/>
      <c r="LZ541"/>
      <c r="MA541"/>
      <c r="MB541"/>
      <c r="MC541"/>
      <c r="MD541"/>
      <c r="ME541"/>
      <c r="MF541"/>
      <c r="MG541"/>
      <c r="MH541"/>
      <c r="MI541"/>
      <c r="MJ541"/>
      <c r="MK541"/>
      <c r="ML541"/>
      <c r="MM541"/>
      <c r="MN541"/>
      <c r="MO541"/>
      <c r="MP541"/>
      <c r="MQ541"/>
      <c r="MR541"/>
      <c r="MS541"/>
      <c r="MT541"/>
      <c r="MU541"/>
      <c r="MV541"/>
      <c r="MW541"/>
      <c r="MX541"/>
      <c r="MY541"/>
      <c r="MZ541"/>
      <c r="NA541"/>
      <c r="NB541"/>
      <c r="NC541"/>
      <c r="ND541"/>
      <c r="NE541"/>
      <c r="NF541"/>
      <c r="NG541"/>
      <c r="NH541"/>
      <c r="NI541"/>
      <c r="NJ541"/>
      <c r="NK541"/>
      <c r="NL541"/>
      <c r="NM541"/>
      <c r="NN541"/>
      <c r="NO541"/>
      <c r="NP541"/>
      <c r="NQ541"/>
      <c r="NR541"/>
      <c r="NS541"/>
      <c r="NT541"/>
      <c r="NU541"/>
      <c r="NV541"/>
      <c r="NW541"/>
      <c r="NX541"/>
      <c r="NY541"/>
      <c r="NZ541"/>
      <c r="OA541"/>
      <c r="OB541"/>
      <c r="OC541"/>
      <c r="OD541"/>
      <c r="OE541"/>
      <c r="OF541"/>
      <c r="OG541"/>
      <c r="OH541"/>
      <c r="OI541"/>
      <c r="OJ541"/>
      <c r="OK541"/>
      <c r="OL541"/>
      <c r="OM541"/>
      <c r="ON541"/>
      <c r="OO541"/>
      <c r="OP541"/>
      <c r="OQ541"/>
      <c r="OR541"/>
      <c r="OS541"/>
      <c r="OT541"/>
      <c r="OU541"/>
      <c r="OV541"/>
      <c r="OW541"/>
      <c r="OX541"/>
      <c r="OY541"/>
      <c r="OZ541"/>
      <c r="PA541"/>
      <c r="PB541"/>
      <c r="PC541"/>
      <c r="PD541"/>
      <c r="PE541"/>
      <c r="PF541"/>
      <c r="PG541"/>
      <c r="PH541"/>
      <c r="PI541"/>
      <c r="PJ541"/>
      <c r="PK541"/>
      <c r="PL541"/>
      <c r="PM541"/>
      <c r="PN541"/>
      <c r="PO541"/>
      <c r="PP541"/>
      <c r="PQ541"/>
      <c r="PR541"/>
      <c r="PS541"/>
      <c r="PT541"/>
      <c r="PU541"/>
      <c r="PV541"/>
      <c r="PW541"/>
      <c r="PX541"/>
      <c r="PY541"/>
      <c r="PZ541"/>
      <c r="QA541"/>
      <c r="QB541"/>
      <c r="QC541"/>
      <c r="QD541"/>
      <c r="QE541"/>
      <c r="QF541"/>
      <c r="QG541"/>
      <c r="QH541"/>
      <c r="QI541"/>
      <c r="QJ541"/>
      <c r="QK541"/>
      <c r="QL541"/>
      <c r="QM541"/>
      <c r="QN541"/>
      <c r="QO541"/>
      <c r="QP541"/>
      <c r="QQ541"/>
      <c r="QR541"/>
      <c r="QS541"/>
      <c r="QT541"/>
      <c r="QU541"/>
      <c r="QV541"/>
      <c r="QW541"/>
      <c r="QX541"/>
      <c r="QY541"/>
      <c r="QZ541"/>
      <c r="RA541"/>
      <c r="RB541"/>
      <c r="RC541"/>
      <c r="RD541"/>
      <c r="RE541"/>
      <c r="RF541"/>
      <c r="RG541"/>
      <c r="RH541"/>
      <c r="RI541"/>
      <c r="RJ541"/>
      <c r="RK541"/>
      <c r="RL541"/>
      <c r="RM541"/>
      <c r="RN541"/>
      <c r="RO541"/>
      <c r="RP541"/>
      <c r="RQ541"/>
      <c r="RR541"/>
      <c r="RS541"/>
      <c r="RT541"/>
      <c r="RU541"/>
      <c r="RV541"/>
      <c r="RW541"/>
      <c r="RX541"/>
      <c r="RY541"/>
      <c r="RZ541"/>
      <c r="SA541"/>
      <c r="SB541"/>
      <c r="SC541"/>
      <c r="SD541"/>
      <c r="SE541"/>
      <c r="SF541"/>
      <c r="SG541"/>
      <c r="SH541"/>
      <c r="SI541"/>
      <c r="SJ541"/>
      <c r="SK541"/>
      <c r="SL541"/>
      <c r="SM541"/>
      <c r="SN541"/>
      <c r="SO541"/>
      <c r="SP541"/>
      <c r="SQ541"/>
      <c r="SR541"/>
      <c r="SS541"/>
      <c r="ST541"/>
      <c r="SU541"/>
      <c r="SV541"/>
      <c r="SW541"/>
      <c r="SX541"/>
      <c r="SY541"/>
      <c r="SZ541"/>
      <c r="TA541"/>
      <c r="TB541"/>
      <c r="TC541"/>
      <c r="TD541"/>
      <c r="TE541"/>
      <c r="TF541"/>
      <c r="TG541"/>
      <c r="TH541"/>
    </row>
    <row r="542" spans="3:528" x14ac:dyDescent="0.25">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c r="KT542"/>
      <c r="KU542"/>
      <c r="KV542"/>
      <c r="KW542"/>
      <c r="KX542"/>
      <c r="KY542"/>
      <c r="KZ542"/>
      <c r="LA542"/>
      <c r="LB542"/>
      <c r="LC542"/>
      <c r="LD542"/>
      <c r="LE542"/>
      <c r="LF542"/>
      <c r="LG542"/>
      <c r="LH542"/>
      <c r="LI542"/>
      <c r="LJ542"/>
      <c r="LK542"/>
      <c r="LL542"/>
      <c r="LM542"/>
      <c r="LN542"/>
      <c r="LO542"/>
      <c r="LP542"/>
      <c r="LQ542"/>
      <c r="LR542"/>
      <c r="LS542"/>
      <c r="LT542"/>
      <c r="LU542"/>
      <c r="LV542"/>
      <c r="LW542"/>
      <c r="LX542"/>
      <c r="LY542"/>
      <c r="LZ542"/>
      <c r="MA542"/>
      <c r="MB542"/>
      <c r="MC542"/>
      <c r="MD542"/>
      <c r="ME542"/>
      <c r="MF542"/>
      <c r="MG542"/>
      <c r="MH542"/>
      <c r="MI542"/>
      <c r="MJ542"/>
      <c r="MK542"/>
      <c r="ML542"/>
      <c r="MM542"/>
      <c r="MN542"/>
      <c r="MO542"/>
      <c r="MP542"/>
      <c r="MQ542"/>
      <c r="MR542"/>
      <c r="MS542"/>
      <c r="MT542"/>
      <c r="MU542"/>
      <c r="MV542"/>
      <c r="MW542"/>
      <c r="MX542"/>
      <c r="MY542"/>
      <c r="MZ542"/>
      <c r="NA542"/>
      <c r="NB542"/>
      <c r="NC542"/>
      <c r="ND542"/>
      <c r="NE542"/>
      <c r="NF542"/>
      <c r="NG542"/>
      <c r="NH542"/>
      <c r="NI542"/>
      <c r="NJ542"/>
      <c r="NK542"/>
      <c r="NL542"/>
      <c r="NM542"/>
      <c r="NN542"/>
      <c r="NO542"/>
      <c r="NP542"/>
      <c r="NQ542"/>
      <c r="NR542"/>
      <c r="NS542"/>
      <c r="NT542"/>
      <c r="NU542"/>
      <c r="NV542"/>
      <c r="NW542"/>
      <c r="NX542"/>
      <c r="NY542"/>
      <c r="NZ542"/>
      <c r="OA542"/>
      <c r="OB542"/>
      <c r="OC542"/>
      <c r="OD542"/>
      <c r="OE542"/>
      <c r="OF542"/>
      <c r="OG542"/>
      <c r="OH542"/>
      <c r="OI542"/>
      <c r="OJ542"/>
      <c r="OK542"/>
      <c r="OL542"/>
      <c r="OM542"/>
      <c r="ON542"/>
      <c r="OO542"/>
      <c r="OP542"/>
      <c r="OQ542"/>
      <c r="OR542"/>
      <c r="OS542"/>
      <c r="OT542"/>
      <c r="OU542"/>
      <c r="OV542"/>
      <c r="OW542"/>
      <c r="OX542"/>
      <c r="OY542"/>
      <c r="OZ542"/>
      <c r="PA542"/>
      <c r="PB542"/>
      <c r="PC542"/>
      <c r="PD542"/>
      <c r="PE542"/>
      <c r="PF542"/>
      <c r="PG542"/>
      <c r="PH542"/>
      <c r="PI542"/>
      <c r="PJ542"/>
      <c r="PK542"/>
      <c r="PL542"/>
      <c r="PM542"/>
      <c r="PN542"/>
      <c r="PO542"/>
      <c r="PP542"/>
      <c r="PQ542"/>
      <c r="PR542"/>
      <c r="PS542"/>
      <c r="PT542"/>
      <c r="PU542"/>
      <c r="PV542"/>
      <c r="PW542"/>
      <c r="PX542"/>
      <c r="PY542"/>
      <c r="PZ542"/>
      <c r="QA542"/>
      <c r="QB542"/>
      <c r="QC542"/>
      <c r="QD542"/>
      <c r="QE542"/>
      <c r="QF542"/>
      <c r="QG542"/>
      <c r="QH542"/>
      <c r="QI542"/>
      <c r="QJ542"/>
      <c r="QK542"/>
      <c r="QL542"/>
      <c r="QM542"/>
      <c r="QN542"/>
      <c r="QO542"/>
      <c r="QP542"/>
      <c r="QQ542"/>
      <c r="QR542"/>
      <c r="QS542"/>
      <c r="QT542"/>
      <c r="QU542"/>
      <c r="QV542"/>
      <c r="QW542"/>
      <c r="QX542"/>
      <c r="QY542"/>
      <c r="QZ542"/>
      <c r="RA542"/>
      <c r="RB542"/>
      <c r="RC542"/>
      <c r="RD542"/>
      <c r="RE542"/>
      <c r="RF542"/>
      <c r="RG542"/>
      <c r="RH542"/>
      <c r="RI542"/>
      <c r="RJ542"/>
      <c r="RK542"/>
      <c r="RL542"/>
      <c r="RM542"/>
      <c r="RN542"/>
      <c r="RO542"/>
      <c r="RP542"/>
      <c r="RQ542"/>
      <c r="RR542"/>
      <c r="RS542"/>
      <c r="RT542"/>
      <c r="RU542"/>
      <c r="RV542"/>
      <c r="RW542"/>
      <c r="RX542"/>
      <c r="RY542"/>
      <c r="RZ542"/>
      <c r="SA542"/>
      <c r="SB542"/>
      <c r="SC542"/>
      <c r="SD542"/>
      <c r="SE542"/>
      <c r="SF542"/>
      <c r="SG542"/>
      <c r="SH542"/>
      <c r="SI542"/>
      <c r="SJ542"/>
      <c r="SK542"/>
      <c r="SL542"/>
      <c r="SM542"/>
      <c r="SN542"/>
      <c r="SO542"/>
      <c r="SP542"/>
      <c r="SQ542"/>
      <c r="SR542"/>
      <c r="SS542"/>
      <c r="ST542"/>
      <c r="SU542"/>
      <c r="SV542"/>
      <c r="SW542"/>
      <c r="SX542"/>
      <c r="SY542"/>
      <c r="SZ542"/>
      <c r="TA542"/>
      <c r="TB542"/>
      <c r="TC542"/>
      <c r="TD542"/>
      <c r="TE542"/>
      <c r="TF542"/>
      <c r="TG542"/>
      <c r="TH542"/>
    </row>
    <row r="543" spans="3:528" x14ac:dyDescent="0.25">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c r="KT543"/>
      <c r="KU543"/>
      <c r="KV543"/>
      <c r="KW543"/>
      <c r="KX543"/>
      <c r="KY543"/>
      <c r="KZ543"/>
      <c r="LA543"/>
      <c r="LB543"/>
      <c r="LC543"/>
      <c r="LD543"/>
      <c r="LE543"/>
      <c r="LF543"/>
      <c r="LG543"/>
      <c r="LH543"/>
      <c r="LI543"/>
      <c r="LJ543"/>
      <c r="LK543"/>
      <c r="LL543"/>
      <c r="LM543"/>
      <c r="LN543"/>
      <c r="LO543"/>
      <c r="LP543"/>
      <c r="LQ543"/>
      <c r="LR543"/>
      <c r="LS543"/>
      <c r="LT543"/>
      <c r="LU543"/>
      <c r="LV543"/>
      <c r="LW543"/>
      <c r="LX543"/>
      <c r="LY543"/>
      <c r="LZ543"/>
      <c r="MA543"/>
      <c r="MB543"/>
      <c r="MC543"/>
      <c r="MD543"/>
      <c r="ME543"/>
      <c r="MF543"/>
      <c r="MG543"/>
      <c r="MH543"/>
      <c r="MI543"/>
      <c r="MJ543"/>
      <c r="MK543"/>
      <c r="ML543"/>
      <c r="MM543"/>
      <c r="MN543"/>
      <c r="MO543"/>
      <c r="MP543"/>
      <c r="MQ543"/>
      <c r="MR543"/>
      <c r="MS543"/>
      <c r="MT543"/>
      <c r="MU543"/>
      <c r="MV543"/>
      <c r="MW543"/>
      <c r="MX543"/>
      <c r="MY543"/>
      <c r="MZ543"/>
      <c r="NA543"/>
      <c r="NB543"/>
      <c r="NC543"/>
      <c r="ND543"/>
      <c r="NE543"/>
      <c r="NF543"/>
      <c r="NG543"/>
      <c r="NH543"/>
      <c r="NI543"/>
      <c r="NJ543"/>
      <c r="NK543"/>
      <c r="NL543"/>
      <c r="NM543"/>
      <c r="NN543"/>
      <c r="NO543"/>
      <c r="NP543"/>
      <c r="NQ543"/>
      <c r="NR543"/>
      <c r="NS543"/>
      <c r="NT543"/>
      <c r="NU543"/>
      <c r="NV543"/>
      <c r="NW543"/>
      <c r="NX543"/>
      <c r="NY543"/>
      <c r="NZ543"/>
      <c r="OA543"/>
      <c r="OB543"/>
      <c r="OC543"/>
      <c r="OD543"/>
      <c r="OE543"/>
      <c r="OF543"/>
      <c r="OG543"/>
      <c r="OH543"/>
      <c r="OI543"/>
      <c r="OJ543"/>
      <c r="OK543"/>
      <c r="OL543"/>
      <c r="OM543"/>
      <c r="ON543"/>
      <c r="OO543"/>
      <c r="OP543"/>
      <c r="OQ543"/>
      <c r="OR543"/>
      <c r="OS543"/>
      <c r="OT543"/>
      <c r="OU543"/>
      <c r="OV543"/>
      <c r="OW543"/>
      <c r="OX543"/>
      <c r="OY543"/>
      <c r="OZ543"/>
      <c r="PA543"/>
      <c r="PB543"/>
      <c r="PC543"/>
      <c r="PD543"/>
      <c r="PE543"/>
      <c r="PF543"/>
      <c r="PG543"/>
      <c r="PH543"/>
      <c r="PI543"/>
      <c r="PJ543"/>
      <c r="PK543"/>
      <c r="PL543"/>
      <c r="PM543"/>
      <c r="PN543"/>
      <c r="PO543"/>
      <c r="PP543"/>
      <c r="PQ543"/>
      <c r="PR543"/>
      <c r="PS543"/>
      <c r="PT543"/>
      <c r="PU543"/>
      <c r="PV543"/>
      <c r="PW543"/>
      <c r="PX543"/>
      <c r="PY543"/>
      <c r="PZ543"/>
      <c r="QA543"/>
      <c r="QB543"/>
      <c r="QC543"/>
      <c r="QD543"/>
      <c r="QE543"/>
      <c r="QF543"/>
      <c r="QG543"/>
      <c r="QH543"/>
      <c r="QI543"/>
      <c r="QJ543"/>
      <c r="QK543"/>
      <c r="QL543"/>
      <c r="QM543"/>
      <c r="QN543"/>
      <c r="QO543"/>
      <c r="QP543"/>
      <c r="QQ543"/>
      <c r="QR543"/>
      <c r="QS543"/>
      <c r="QT543"/>
      <c r="QU543"/>
      <c r="QV543"/>
      <c r="QW543"/>
      <c r="QX543"/>
      <c r="QY543"/>
      <c r="QZ543"/>
      <c r="RA543"/>
      <c r="RB543"/>
      <c r="RC543"/>
      <c r="RD543"/>
      <c r="RE543"/>
      <c r="RF543"/>
      <c r="RG543"/>
      <c r="RH543"/>
      <c r="RI543"/>
      <c r="RJ543"/>
      <c r="RK543"/>
      <c r="RL543"/>
      <c r="RM543"/>
      <c r="RN543"/>
      <c r="RO543"/>
      <c r="RP543"/>
      <c r="RQ543"/>
      <c r="RR543"/>
      <c r="RS543"/>
      <c r="RT543"/>
      <c r="RU543"/>
      <c r="RV543"/>
      <c r="RW543"/>
      <c r="RX543"/>
      <c r="RY543"/>
      <c r="RZ543"/>
      <c r="SA543"/>
      <c r="SB543"/>
      <c r="SC543"/>
      <c r="SD543"/>
      <c r="SE543"/>
      <c r="SF543"/>
      <c r="SG543"/>
      <c r="SH543"/>
      <c r="SI543"/>
      <c r="SJ543"/>
      <c r="SK543"/>
      <c r="SL543"/>
      <c r="SM543"/>
      <c r="SN543"/>
      <c r="SO543"/>
      <c r="SP543"/>
      <c r="SQ543"/>
      <c r="SR543"/>
      <c r="SS543"/>
      <c r="ST543"/>
      <c r="SU543"/>
      <c r="SV543"/>
      <c r="SW543"/>
      <c r="SX543"/>
      <c r="SY543"/>
      <c r="SZ543"/>
      <c r="TA543"/>
      <c r="TB543"/>
      <c r="TC543"/>
      <c r="TD543"/>
      <c r="TE543"/>
      <c r="TF543"/>
      <c r="TG543"/>
      <c r="TH543"/>
    </row>
    <row r="544" spans="3:528" x14ac:dyDescent="0.25">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c r="KT544"/>
      <c r="KU544"/>
      <c r="KV544"/>
      <c r="KW544"/>
      <c r="KX544"/>
      <c r="KY544"/>
      <c r="KZ544"/>
      <c r="LA544"/>
      <c r="LB544"/>
      <c r="LC544"/>
      <c r="LD544"/>
      <c r="LE544"/>
      <c r="LF544"/>
      <c r="LG544"/>
      <c r="LH544"/>
      <c r="LI544"/>
      <c r="LJ544"/>
      <c r="LK544"/>
      <c r="LL544"/>
      <c r="LM544"/>
      <c r="LN544"/>
      <c r="LO544"/>
      <c r="LP544"/>
      <c r="LQ544"/>
      <c r="LR544"/>
      <c r="LS544"/>
      <c r="LT544"/>
      <c r="LU544"/>
      <c r="LV544"/>
      <c r="LW544"/>
      <c r="LX544"/>
      <c r="LY544"/>
      <c r="LZ544"/>
      <c r="MA544"/>
      <c r="MB544"/>
      <c r="MC544"/>
      <c r="MD544"/>
      <c r="ME544"/>
      <c r="MF544"/>
      <c r="MG544"/>
      <c r="MH544"/>
      <c r="MI544"/>
      <c r="MJ544"/>
      <c r="MK544"/>
      <c r="ML544"/>
      <c r="MM544"/>
      <c r="MN544"/>
      <c r="MO544"/>
      <c r="MP544"/>
      <c r="MQ544"/>
      <c r="MR544"/>
      <c r="MS544"/>
      <c r="MT544"/>
      <c r="MU544"/>
      <c r="MV544"/>
      <c r="MW544"/>
      <c r="MX544"/>
      <c r="MY544"/>
      <c r="MZ544"/>
      <c r="NA544"/>
      <c r="NB544"/>
      <c r="NC544"/>
      <c r="ND544"/>
      <c r="NE544"/>
      <c r="NF544"/>
      <c r="NG544"/>
      <c r="NH544"/>
      <c r="NI544"/>
      <c r="NJ544"/>
      <c r="NK544"/>
      <c r="NL544"/>
      <c r="NM544"/>
      <c r="NN544"/>
      <c r="NO544"/>
      <c r="NP544"/>
      <c r="NQ544"/>
      <c r="NR544"/>
      <c r="NS544"/>
      <c r="NT544"/>
      <c r="NU544"/>
      <c r="NV544"/>
      <c r="NW544"/>
      <c r="NX544"/>
      <c r="NY544"/>
      <c r="NZ544"/>
      <c r="OA544"/>
      <c r="OB544"/>
      <c r="OC544"/>
      <c r="OD544"/>
      <c r="OE544"/>
      <c r="OF544"/>
      <c r="OG544"/>
      <c r="OH544"/>
      <c r="OI544"/>
      <c r="OJ544"/>
      <c r="OK544"/>
      <c r="OL544"/>
      <c r="OM544"/>
      <c r="ON544"/>
      <c r="OO544"/>
      <c r="OP544"/>
      <c r="OQ544"/>
      <c r="OR544"/>
      <c r="OS544"/>
      <c r="OT544"/>
      <c r="OU544"/>
      <c r="OV544"/>
      <c r="OW544"/>
      <c r="OX544"/>
      <c r="OY544"/>
      <c r="OZ544"/>
      <c r="PA544"/>
      <c r="PB544"/>
      <c r="PC544"/>
      <c r="PD544"/>
      <c r="PE544"/>
      <c r="PF544"/>
      <c r="PG544"/>
      <c r="PH544"/>
      <c r="PI544"/>
      <c r="PJ544"/>
      <c r="PK544"/>
      <c r="PL544"/>
      <c r="PM544"/>
      <c r="PN544"/>
      <c r="PO544"/>
      <c r="PP544"/>
      <c r="PQ544"/>
      <c r="PR544"/>
      <c r="PS544"/>
      <c r="PT544"/>
      <c r="PU544"/>
      <c r="PV544"/>
      <c r="PW544"/>
      <c r="PX544"/>
      <c r="PY544"/>
      <c r="PZ544"/>
      <c r="QA544"/>
      <c r="QB544"/>
      <c r="QC544"/>
      <c r="QD544"/>
      <c r="QE544"/>
      <c r="QF544"/>
      <c r="QG544"/>
      <c r="QH544"/>
      <c r="QI544"/>
      <c r="QJ544"/>
      <c r="QK544"/>
      <c r="QL544"/>
      <c r="QM544"/>
      <c r="QN544"/>
      <c r="QO544"/>
      <c r="QP544"/>
      <c r="QQ544"/>
      <c r="QR544"/>
      <c r="QS544"/>
      <c r="QT544"/>
      <c r="QU544"/>
      <c r="QV544"/>
      <c r="QW544"/>
      <c r="QX544"/>
      <c r="QY544"/>
      <c r="QZ544"/>
      <c r="RA544"/>
      <c r="RB544"/>
      <c r="RC544"/>
      <c r="RD544"/>
      <c r="RE544"/>
      <c r="RF544"/>
      <c r="RG544"/>
      <c r="RH544"/>
      <c r="RI544"/>
      <c r="RJ544"/>
      <c r="RK544"/>
      <c r="RL544"/>
      <c r="RM544"/>
      <c r="RN544"/>
      <c r="RO544"/>
      <c r="RP544"/>
      <c r="RQ544"/>
      <c r="RR544"/>
      <c r="RS544"/>
      <c r="RT544"/>
      <c r="RU544"/>
      <c r="RV544"/>
      <c r="RW544"/>
      <c r="RX544"/>
      <c r="RY544"/>
      <c r="RZ544"/>
      <c r="SA544"/>
      <c r="SB544"/>
      <c r="SC544"/>
      <c r="SD544"/>
      <c r="SE544"/>
      <c r="SF544"/>
      <c r="SG544"/>
      <c r="SH544"/>
      <c r="SI544"/>
      <c r="SJ544"/>
      <c r="SK544"/>
      <c r="SL544"/>
      <c r="SM544"/>
      <c r="SN544"/>
      <c r="SO544"/>
      <c r="SP544"/>
      <c r="SQ544"/>
      <c r="SR544"/>
      <c r="SS544"/>
      <c r="ST544"/>
      <c r="SU544"/>
      <c r="SV544"/>
      <c r="SW544"/>
      <c r="SX544"/>
      <c r="SY544"/>
      <c r="SZ544"/>
      <c r="TA544"/>
      <c r="TB544"/>
      <c r="TC544"/>
      <c r="TD544"/>
      <c r="TE544"/>
      <c r="TF544"/>
      <c r="TG544"/>
      <c r="TH544"/>
    </row>
    <row r="545" spans="3:528" x14ac:dyDescent="0.2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c r="KT545"/>
      <c r="KU545"/>
      <c r="KV545"/>
      <c r="KW545"/>
      <c r="KX545"/>
      <c r="KY545"/>
      <c r="KZ545"/>
      <c r="LA545"/>
      <c r="LB545"/>
      <c r="LC545"/>
      <c r="LD545"/>
      <c r="LE545"/>
      <c r="LF545"/>
      <c r="LG545"/>
      <c r="LH545"/>
      <c r="LI545"/>
      <c r="LJ545"/>
      <c r="LK545"/>
      <c r="LL545"/>
      <c r="LM545"/>
      <c r="LN545"/>
      <c r="LO545"/>
      <c r="LP545"/>
      <c r="LQ545"/>
      <c r="LR545"/>
      <c r="LS545"/>
      <c r="LT545"/>
      <c r="LU545"/>
      <c r="LV545"/>
      <c r="LW545"/>
      <c r="LX545"/>
      <c r="LY545"/>
      <c r="LZ545"/>
      <c r="MA545"/>
      <c r="MB545"/>
      <c r="MC545"/>
      <c r="MD545"/>
      <c r="ME545"/>
      <c r="MF545"/>
      <c r="MG545"/>
      <c r="MH545"/>
      <c r="MI545"/>
      <c r="MJ545"/>
      <c r="MK545"/>
      <c r="ML545"/>
      <c r="MM545"/>
      <c r="MN545"/>
      <c r="MO545"/>
      <c r="MP545"/>
      <c r="MQ545"/>
      <c r="MR545"/>
      <c r="MS545"/>
      <c r="MT545"/>
      <c r="MU545"/>
      <c r="MV545"/>
      <c r="MW545"/>
      <c r="MX545"/>
      <c r="MY545"/>
      <c r="MZ545"/>
      <c r="NA545"/>
      <c r="NB545"/>
      <c r="NC545"/>
      <c r="ND545"/>
      <c r="NE545"/>
      <c r="NF545"/>
      <c r="NG545"/>
      <c r="NH545"/>
      <c r="NI545"/>
      <c r="NJ545"/>
      <c r="NK545"/>
      <c r="NL545"/>
      <c r="NM545"/>
      <c r="NN545"/>
      <c r="NO545"/>
      <c r="NP545"/>
      <c r="NQ545"/>
      <c r="NR545"/>
      <c r="NS545"/>
      <c r="NT545"/>
      <c r="NU545"/>
      <c r="NV545"/>
      <c r="NW545"/>
      <c r="NX545"/>
      <c r="NY545"/>
      <c r="NZ545"/>
      <c r="OA545"/>
      <c r="OB545"/>
      <c r="OC545"/>
      <c r="OD545"/>
      <c r="OE545"/>
      <c r="OF545"/>
      <c r="OG545"/>
      <c r="OH545"/>
      <c r="OI545"/>
      <c r="OJ545"/>
      <c r="OK545"/>
      <c r="OL545"/>
      <c r="OM545"/>
      <c r="ON545"/>
      <c r="OO545"/>
      <c r="OP545"/>
      <c r="OQ545"/>
      <c r="OR545"/>
      <c r="OS545"/>
      <c r="OT545"/>
      <c r="OU545"/>
      <c r="OV545"/>
      <c r="OW545"/>
      <c r="OX545"/>
      <c r="OY545"/>
      <c r="OZ545"/>
      <c r="PA545"/>
      <c r="PB545"/>
      <c r="PC545"/>
      <c r="PD545"/>
      <c r="PE545"/>
      <c r="PF545"/>
      <c r="PG545"/>
      <c r="PH545"/>
      <c r="PI545"/>
      <c r="PJ545"/>
      <c r="PK545"/>
      <c r="PL545"/>
      <c r="PM545"/>
      <c r="PN545"/>
      <c r="PO545"/>
      <c r="PP545"/>
      <c r="PQ545"/>
      <c r="PR545"/>
      <c r="PS545"/>
      <c r="PT545"/>
      <c r="PU545"/>
      <c r="PV545"/>
      <c r="PW545"/>
      <c r="PX545"/>
      <c r="PY545"/>
      <c r="PZ545"/>
      <c r="QA545"/>
      <c r="QB545"/>
      <c r="QC545"/>
      <c r="QD545"/>
      <c r="QE545"/>
      <c r="QF545"/>
      <c r="QG545"/>
      <c r="QH545"/>
      <c r="QI545"/>
      <c r="QJ545"/>
      <c r="QK545"/>
      <c r="QL545"/>
      <c r="QM545"/>
      <c r="QN545"/>
      <c r="QO545"/>
      <c r="QP545"/>
      <c r="QQ545"/>
      <c r="QR545"/>
      <c r="QS545"/>
      <c r="QT545"/>
      <c r="QU545"/>
      <c r="QV545"/>
      <c r="QW545"/>
      <c r="QX545"/>
      <c r="QY545"/>
      <c r="QZ545"/>
      <c r="RA545"/>
      <c r="RB545"/>
      <c r="RC545"/>
      <c r="RD545"/>
      <c r="RE545"/>
      <c r="RF545"/>
      <c r="RG545"/>
      <c r="RH545"/>
      <c r="RI545"/>
      <c r="RJ545"/>
      <c r="RK545"/>
      <c r="RL545"/>
      <c r="RM545"/>
      <c r="RN545"/>
      <c r="RO545"/>
      <c r="RP545"/>
      <c r="RQ545"/>
      <c r="RR545"/>
      <c r="RS545"/>
      <c r="RT545"/>
      <c r="RU545"/>
      <c r="RV545"/>
      <c r="RW545"/>
      <c r="RX545"/>
      <c r="RY545"/>
      <c r="RZ545"/>
      <c r="SA545"/>
      <c r="SB545"/>
      <c r="SC545"/>
      <c r="SD545"/>
      <c r="SE545"/>
      <c r="SF545"/>
      <c r="SG545"/>
      <c r="SH545"/>
      <c r="SI545"/>
      <c r="SJ545"/>
      <c r="SK545"/>
      <c r="SL545"/>
      <c r="SM545"/>
      <c r="SN545"/>
      <c r="SO545"/>
      <c r="SP545"/>
      <c r="SQ545"/>
      <c r="SR545"/>
      <c r="SS545"/>
      <c r="ST545"/>
      <c r="SU545"/>
      <c r="SV545"/>
      <c r="SW545"/>
      <c r="SX545"/>
      <c r="SY545"/>
      <c r="SZ545"/>
      <c r="TA545"/>
      <c r="TB545"/>
      <c r="TC545"/>
      <c r="TD545"/>
      <c r="TE545"/>
      <c r="TF545"/>
      <c r="TG545"/>
      <c r="TH545"/>
    </row>
    <row r="546" spans="3:528" x14ac:dyDescent="0.25">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c r="KT546"/>
      <c r="KU546"/>
      <c r="KV546"/>
      <c r="KW546"/>
      <c r="KX546"/>
      <c r="KY546"/>
      <c r="KZ546"/>
      <c r="LA546"/>
      <c r="LB546"/>
      <c r="LC546"/>
      <c r="LD546"/>
      <c r="LE546"/>
      <c r="LF546"/>
      <c r="LG546"/>
      <c r="LH546"/>
      <c r="LI546"/>
      <c r="LJ546"/>
      <c r="LK546"/>
      <c r="LL546"/>
      <c r="LM546"/>
      <c r="LN546"/>
      <c r="LO546"/>
      <c r="LP546"/>
      <c r="LQ546"/>
      <c r="LR546"/>
      <c r="LS546"/>
      <c r="LT546"/>
      <c r="LU546"/>
      <c r="LV546"/>
      <c r="LW546"/>
      <c r="LX546"/>
      <c r="LY546"/>
      <c r="LZ546"/>
      <c r="MA546"/>
      <c r="MB546"/>
      <c r="MC546"/>
      <c r="MD546"/>
      <c r="ME546"/>
      <c r="MF546"/>
      <c r="MG546"/>
      <c r="MH546"/>
      <c r="MI546"/>
      <c r="MJ546"/>
      <c r="MK546"/>
      <c r="ML546"/>
      <c r="MM546"/>
      <c r="MN546"/>
      <c r="MO546"/>
      <c r="MP546"/>
      <c r="MQ546"/>
      <c r="MR546"/>
      <c r="MS546"/>
      <c r="MT546"/>
      <c r="MU546"/>
      <c r="MV546"/>
      <c r="MW546"/>
      <c r="MX546"/>
      <c r="MY546"/>
      <c r="MZ546"/>
      <c r="NA546"/>
      <c r="NB546"/>
      <c r="NC546"/>
      <c r="ND546"/>
      <c r="NE546"/>
      <c r="NF546"/>
      <c r="NG546"/>
      <c r="NH546"/>
      <c r="NI546"/>
      <c r="NJ546"/>
      <c r="NK546"/>
      <c r="NL546"/>
      <c r="NM546"/>
      <c r="NN546"/>
      <c r="NO546"/>
      <c r="NP546"/>
      <c r="NQ546"/>
      <c r="NR546"/>
      <c r="NS546"/>
      <c r="NT546"/>
      <c r="NU546"/>
      <c r="NV546"/>
      <c r="NW546"/>
      <c r="NX546"/>
      <c r="NY546"/>
      <c r="NZ546"/>
      <c r="OA546"/>
      <c r="OB546"/>
      <c r="OC546"/>
      <c r="OD546"/>
      <c r="OE546"/>
      <c r="OF546"/>
      <c r="OG546"/>
      <c r="OH546"/>
      <c r="OI546"/>
      <c r="OJ546"/>
      <c r="OK546"/>
      <c r="OL546"/>
      <c r="OM546"/>
      <c r="ON546"/>
      <c r="OO546"/>
      <c r="OP546"/>
      <c r="OQ546"/>
      <c r="OR546"/>
      <c r="OS546"/>
      <c r="OT546"/>
      <c r="OU546"/>
      <c r="OV546"/>
      <c r="OW546"/>
      <c r="OX546"/>
      <c r="OY546"/>
      <c r="OZ546"/>
      <c r="PA546"/>
      <c r="PB546"/>
      <c r="PC546"/>
      <c r="PD546"/>
      <c r="PE546"/>
      <c r="PF546"/>
      <c r="PG546"/>
      <c r="PH546"/>
      <c r="PI546"/>
      <c r="PJ546"/>
      <c r="PK546"/>
      <c r="PL546"/>
      <c r="PM546"/>
      <c r="PN546"/>
      <c r="PO546"/>
      <c r="PP546"/>
      <c r="PQ546"/>
      <c r="PR546"/>
      <c r="PS546"/>
      <c r="PT546"/>
      <c r="PU546"/>
      <c r="PV546"/>
      <c r="PW546"/>
      <c r="PX546"/>
      <c r="PY546"/>
      <c r="PZ546"/>
      <c r="QA546"/>
      <c r="QB546"/>
      <c r="QC546"/>
      <c r="QD546"/>
      <c r="QE546"/>
      <c r="QF546"/>
      <c r="QG546"/>
      <c r="QH546"/>
      <c r="QI546"/>
      <c r="QJ546"/>
      <c r="QK546"/>
      <c r="QL546"/>
      <c r="QM546"/>
      <c r="QN546"/>
      <c r="QO546"/>
      <c r="QP546"/>
      <c r="QQ546"/>
      <c r="QR546"/>
      <c r="QS546"/>
      <c r="QT546"/>
      <c r="QU546"/>
      <c r="QV546"/>
      <c r="QW546"/>
      <c r="QX546"/>
      <c r="QY546"/>
      <c r="QZ546"/>
      <c r="RA546"/>
      <c r="RB546"/>
      <c r="RC546"/>
      <c r="RD546"/>
      <c r="RE546"/>
      <c r="RF546"/>
      <c r="RG546"/>
      <c r="RH546"/>
      <c r="RI546"/>
      <c r="RJ546"/>
      <c r="RK546"/>
      <c r="RL546"/>
      <c r="RM546"/>
      <c r="RN546"/>
      <c r="RO546"/>
      <c r="RP546"/>
      <c r="RQ546"/>
      <c r="RR546"/>
      <c r="RS546"/>
      <c r="RT546"/>
      <c r="RU546"/>
      <c r="RV546"/>
      <c r="RW546"/>
      <c r="RX546"/>
      <c r="RY546"/>
      <c r="RZ546"/>
      <c r="SA546"/>
      <c r="SB546"/>
      <c r="SC546"/>
      <c r="SD546"/>
      <c r="SE546"/>
      <c r="SF546"/>
      <c r="SG546"/>
      <c r="SH546"/>
      <c r="SI546"/>
      <c r="SJ546"/>
      <c r="SK546"/>
      <c r="SL546"/>
      <c r="SM546"/>
      <c r="SN546"/>
      <c r="SO546"/>
      <c r="SP546"/>
      <c r="SQ546"/>
      <c r="SR546"/>
      <c r="SS546"/>
      <c r="ST546"/>
      <c r="SU546"/>
      <c r="SV546"/>
      <c r="SW546"/>
      <c r="SX546"/>
      <c r="SY546"/>
      <c r="SZ546"/>
      <c r="TA546"/>
      <c r="TB546"/>
      <c r="TC546"/>
      <c r="TD546"/>
      <c r="TE546"/>
      <c r="TF546"/>
      <c r="TG546"/>
      <c r="TH546"/>
    </row>
    <row r="547" spans="3:528" x14ac:dyDescent="0.25">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c r="KT547"/>
      <c r="KU547"/>
      <c r="KV547"/>
      <c r="KW547"/>
      <c r="KX547"/>
      <c r="KY547"/>
      <c r="KZ547"/>
      <c r="LA547"/>
      <c r="LB547"/>
      <c r="LC547"/>
      <c r="LD547"/>
      <c r="LE547"/>
      <c r="LF547"/>
      <c r="LG547"/>
      <c r="LH547"/>
      <c r="LI547"/>
      <c r="LJ547"/>
      <c r="LK547"/>
      <c r="LL547"/>
      <c r="LM547"/>
      <c r="LN547"/>
      <c r="LO547"/>
      <c r="LP547"/>
      <c r="LQ547"/>
      <c r="LR547"/>
      <c r="LS547"/>
      <c r="LT547"/>
      <c r="LU547"/>
      <c r="LV547"/>
      <c r="LW547"/>
      <c r="LX547"/>
      <c r="LY547"/>
      <c r="LZ547"/>
      <c r="MA547"/>
      <c r="MB547"/>
      <c r="MC547"/>
      <c r="MD547"/>
      <c r="ME547"/>
      <c r="MF547"/>
      <c r="MG547"/>
      <c r="MH547"/>
      <c r="MI547"/>
      <c r="MJ547"/>
      <c r="MK547"/>
      <c r="ML547"/>
      <c r="MM547"/>
      <c r="MN547"/>
      <c r="MO547"/>
      <c r="MP547"/>
      <c r="MQ547"/>
      <c r="MR547"/>
      <c r="MS547"/>
      <c r="MT547"/>
      <c r="MU547"/>
      <c r="MV547"/>
      <c r="MW547"/>
      <c r="MX547"/>
      <c r="MY547"/>
      <c r="MZ547"/>
      <c r="NA547"/>
      <c r="NB547"/>
      <c r="NC547"/>
      <c r="ND547"/>
      <c r="NE547"/>
      <c r="NF547"/>
      <c r="NG547"/>
      <c r="NH547"/>
      <c r="NI547"/>
      <c r="NJ547"/>
      <c r="NK547"/>
      <c r="NL547"/>
      <c r="NM547"/>
      <c r="NN547"/>
      <c r="NO547"/>
      <c r="NP547"/>
      <c r="NQ547"/>
      <c r="NR547"/>
      <c r="NS547"/>
      <c r="NT547"/>
      <c r="NU547"/>
      <c r="NV547"/>
      <c r="NW547"/>
      <c r="NX547"/>
      <c r="NY547"/>
      <c r="NZ547"/>
      <c r="OA547"/>
      <c r="OB547"/>
      <c r="OC547"/>
      <c r="OD547"/>
      <c r="OE547"/>
      <c r="OF547"/>
      <c r="OG547"/>
      <c r="OH547"/>
      <c r="OI547"/>
      <c r="OJ547"/>
      <c r="OK547"/>
      <c r="OL547"/>
      <c r="OM547"/>
      <c r="ON547"/>
      <c r="OO547"/>
      <c r="OP547"/>
      <c r="OQ547"/>
      <c r="OR547"/>
      <c r="OS547"/>
      <c r="OT547"/>
      <c r="OU547"/>
      <c r="OV547"/>
      <c r="OW547"/>
      <c r="OX547"/>
      <c r="OY547"/>
      <c r="OZ547"/>
      <c r="PA547"/>
      <c r="PB547"/>
      <c r="PC547"/>
      <c r="PD547"/>
      <c r="PE547"/>
      <c r="PF547"/>
      <c r="PG547"/>
      <c r="PH547"/>
      <c r="PI547"/>
      <c r="PJ547"/>
      <c r="PK547"/>
      <c r="PL547"/>
      <c r="PM547"/>
      <c r="PN547"/>
      <c r="PO547"/>
      <c r="PP547"/>
      <c r="PQ547"/>
      <c r="PR547"/>
      <c r="PS547"/>
      <c r="PT547"/>
      <c r="PU547"/>
      <c r="PV547"/>
      <c r="PW547"/>
      <c r="PX547"/>
      <c r="PY547"/>
      <c r="PZ547"/>
      <c r="QA547"/>
      <c r="QB547"/>
      <c r="QC547"/>
      <c r="QD547"/>
      <c r="QE547"/>
      <c r="QF547"/>
      <c r="QG547"/>
      <c r="QH547"/>
      <c r="QI547"/>
      <c r="QJ547"/>
      <c r="QK547"/>
      <c r="QL547"/>
      <c r="QM547"/>
      <c r="QN547"/>
      <c r="QO547"/>
      <c r="QP547"/>
      <c r="QQ547"/>
      <c r="QR547"/>
      <c r="QS547"/>
      <c r="QT547"/>
      <c r="QU547"/>
      <c r="QV547"/>
      <c r="QW547"/>
      <c r="QX547"/>
      <c r="QY547"/>
      <c r="QZ547"/>
      <c r="RA547"/>
      <c r="RB547"/>
      <c r="RC547"/>
      <c r="RD547"/>
      <c r="RE547"/>
      <c r="RF547"/>
      <c r="RG547"/>
      <c r="RH547"/>
      <c r="RI547"/>
      <c r="RJ547"/>
      <c r="RK547"/>
      <c r="RL547"/>
      <c r="RM547"/>
      <c r="RN547"/>
      <c r="RO547"/>
      <c r="RP547"/>
      <c r="RQ547"/>
      <c r="RR547"/>
      <c r="RS547"/>
      <c r="RT547"/>
      <c r="RU547"/>
      <c r="RV547"/>
      <c r="RW547"/>
      <c r="RX547"/>
      <c r="RY547"/>
      <c r="RZ547"/>
      <c r="SA547"/>
      <c r="SB547"/>
      <c r="SC547"/>
      <c r="SD547"/>
      <c r="SE547"/>
      <c r="SF547"/>
      <c r="SG547"/>
      <c r="SH547"/>
      <c r="SI547"/>
      <c r="SJ547"/>
      <c r="SK547"/>
      <c r="SL547"/>
      <c r="SM547"/>
      <c r="SN547"/>
      <c r="SO547"/>
      <c r="SP547"/>
      <c r="SQ547"/>
      <c r="SR547"/>
      <c r="SS547"/>
      <c r="ST547"/>
      <c r="SU547"/>
      <c r="SV547"/>
      <c r="SW547"/>
      <c r="SX547"/>
      <c r="SY547"/>
      <c r="SZ547"/>
      <c r="TA547"/>
      <c r="TB547"/>
      <c r="TC547"/>
      <c r="TD547"/>
      <c r="TE547"/>
      <c r="TF547"/>
      <c r="TG547"/>
      <c r="TH547"/>
    </row>
    <row r="548" spans="3:528" x14ac:dyDescent="0.25">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c r="KT548"/>
      <c r="KU548"/>
      <c r="KV548"/>
      <c r="KW548"/>
      <c r="KX548"/>
      <c r="KY548"/>
      <c r="KZ548"/>
      <c r="LA548"/>
      <c r="LB548"/>
      <c r="LC548"/>
      <c r="LD548"/>
      <c r="LE548"/>
      <c r="LF548"/>
      <c r="LG548"/>
      <c r="LH548"/>
      <c r="LI548"/>
      <c r="LJ548"/>
      <c r="LK548"/>
      <c r="LL548"/>
      <c r="LM548"/>
      <c r="LN548"/>
      <c r="LO548"/>
      <c r="LP548"/>
      <c r="LQ548"/>
      <c r="LR548"/>
      <c r="LS548"/>
      <c r="LT548"/>
      <c r="LU548"/>
      <c r="LV548"/>
      <c r="LW548"/>
      <c r="LX548"/>
      <c r="LY548"/>
      <c r="LZ548"/>
      <c r="MA548"/>
      <c r="MB548"/>
      <c r="MC548"/>
      <c r="MD548"/>
      <c r="ME548"/>
      <c r="MF548"/>
      <c r="MG548"/>
      <c r="MH548"/>
      <c r="MI548"/>
      <c r="MJ548"/>
      <c r="MK548"/>
      <c r="ML548"/>
      <c r="MM548"/>
      <c r="MN548"/>
      <c r="MO548"/>
      <c r="MP548"/>
      <c r="MQ548"/>
      <c r="MR548"/>
      <c r="MS548"/>
      <c r="MT548"/>
      <c r="MU548"/>
      <c r="MV548"/>
      <c r="MW548"/>
      <c r="MX548"/>
      <c r="MY548"/>
      <c r="MZ548"/>
      <c r="NA548"/>
      <c r="NB548"/>
      <c r="NC548"/>
      <c r="ND548"/>
      <c r="NE548"/>
      <c r="NF548"/>
      <c r="NG548"/>
      <c r="NH548"/>
      <c r="NI548"/>
      <c r="NJ548"/>
      <c r="NK548"/>
      <c r="NL548"/>
      <c r="NM548"/>
      <c r="NN548"/>
      <c r="NO548"/>
      <c r="NP548"/>
      <c r="NQ548"/>
      <c r="NR548"/>
      <c r="NS548"/>
      <c r="NT548"/>
      <c r="NU548"/>
      <c r="NV548"/>
      <c r="NW548"/>
      <c r="NX548"/>
      <c r="NY548"/>
      <c r="NZ548"/>
      <c r="OA548"/>
      <c r="OB548"/>
      <c r="OC548"/>
      <c r="OD548"/>
      <c r="OE548"/>
      <c r="OF548"/>
      <c r="OG548"/>
      <c r="OH548"/>
      <c r="OI548"/>
      <c r="OJ548"/>
      <c r="OK548"/>
      <c r="OL548"/>
      <c r="OM548"/>
      <c r="ON548"/>
      <c r="OO548"/>
      <c r="OP548"/>
      <c r="OQ548"/>
      <c r="OR548"/>
      <c r="OS548"/>
      <c r="OT548"/>
      <c r="OU548"/>
      <c r="OV548"/>
      <c r="OW548"/>
      <c r="OX548"/>
      <c r="OY548"/>
      <c r="OZ548"/>
      <c r="PA548"/>
      <c r="PB548"/>
      <c r="PC548"/>
      <c r="PD548"/>
      <c r="PE548"/>
      <c r="PF548"/>
      <c r="PG548"/>
      <c r="PH548"/>
      <c r="PI548"/>
      <c r="PJ548"/>
      <c r="PK548"/>
      <c r="PL548"/>
      <c r="PM548"/>
      <c r="PN548"/>
      <c r="PO548"/>
      <c r="PP548"/>
      <c r="PQ548"/>
      <c r="PR548"/>
      <c r="PS548"/>
      <c r="PT548"/>
      <c r="PU548"/>
      <c r="PV548"/>
      <c r="PW548"/>
      <c r="PX548"/>
      <c r="PY548"/>
      <c r="PZ548"/>
      <c r="QA548"/>
      <c r="QB548"/>
      <c r="QC548"/>
      <c r="QD548"/>
      <c r="QE548"/>
      <c r="QF548"/>
      <c r="QG548"/>
      <c r="QH548"/>
      <c r="QI548"/>
      <c r="QJ548"/>
      <c r="QK548"/>
      <c r="QL548"/>
      <c r="QM548"/>
      <c r="QN548"/>
      <c r="QO548"/>
      <c r="QP548"/>
      <c r="QQ548"/>
      <c r="QR548"/>
      <c r="QS548"/>
      <c r="QT548"/>
      <c r="QU548"/>
      <c r="QV548"/>
      <c r="QW548"/>
      <c r="QX548"/>
      <c r="QY548"/>
      <c r="QZ548"/>
      <c r="RA548"/>
      <c r="RB548"/>
      <c r="RC548"/>
      <c r="RD548"/>
      <c r="RE548"/>
      <c r="RF548"/>
      <c r="RG548"/>
      <c r="RH548"/>
      <c r="RI548"/>
      <c r="RJ548"/>
      <c r="RK548"/>
      <c r="RL548"/>
      <c r="RM548"/>
      <c r="RN548"/>
      <c r="RO548"/>
      <c r="RP548"/>
      <c r="RQ548"/>
      <c r="RR548"/>
      <c r="RS548"/>
      <c r="RT548"/>
      <c r="RU548"/>
      <c r="RV548"/>
      <c r="RW548"/>
      <c r="RX548"/>
      <c r="RY548"/>
      <c r="RZ548"/>
      <c r="SA548"/>
      <c r="SB548"/>
      <c r="SC548"/>
      <c r="SD548"/>
      <c r="SE548"/>
      <c r="SF548"/>
      <c r="SG548"/>
      <c r="SH548"/>
      <c r="SI548"/>
      <c r="SJ548"/>
      <c r="SK548"/>
      <c r="SL548"/>
      <c r="SM548"/>
      <c r="SN548"/>
      <c r="SO548"/>
      <c r="SP548"/>
      <c r="SQ548"/>
      <c r="SR548"/>
      <c r="SS548"/>
      <c r="ST548"/>
      <c r="SU548"/>
      <c r="SV548"/>
      <c r="SW548"/>
      <c r="SX548"/>
      <c r="SY548"/>
      <c r="SZ548"/>
      <c r="TA548"/>
      <c r="TB548"/>
      <c r="TC548"/>
      <c r="TD548"/>
      <c r="TE548"/>
      <c r="TF548"/>
      <c r="TG548"/>
      <c r="TH548"/>
    </row>
    <row r="549" spans="3:528" x14ac:dyDescent="0.25">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c r="KT549"/>
      <c r="KU549"/>
      <c r="KV549"/>
      <c r="KW549"/>
      <c r="KX549"/>
      <c r="KY549"/>
      <c r="KZ549"/>
      <c r="LA549"/>
      <c r="LB549"/>
      <c r="LC549"/>
      <c r="LD549"/>
      <c r="LE549"/>
      <c r="LF549"/>
      <c r="LG549"/>
      <c r="LH549"/>
      <c r="LI549"/>
      <c r="LJ549"/>
      <c r="LK549"/>
      <c r="LL549"/>
      <c r="LM549"/>
      <c r="LN549"/>
      <c r="LO549"/>
      <c r="LP549"/>
      <c r="LQ549"/>
      <c r="LR549"/>
      <c r="LS549"/>
      <c r="LT549"/>
      <c r="LU549"/>
      <c r="LV549"/>
      <c r="LW549"/>
      <c r="LX549"/>
      <c r="LY549"/>
      <c r="LZ549"/>
      <c r="MA549"/>
      <c r="MB549"/>
      <c r="MC549"/>
      <c r="MD549"/>
      <c r="ME549"/>
      <c r="MF549"/>
      <c r="MG549"/>
      <c r="MH549"/>
      <c r="MI549"/>
      <c r="MJ549"/>
      <c r="MK549"/>
      <c r="ML549"/>
      <c r="MM549"/>
      <c r="MN549"/>
      <c r="MO549"/>
      <c r="MP549"/>
      <c r="MQ549"/>
      <c r="MR549"/>
      <c r="MS549"/>
      <c r="MT549"/>
      <c r="MU549"/>
      <c r="MV549"/>
      <c r="MW549"/>
      <c r="MX549"/>
      <c r="MY549"/>
      <c r="MZ549"/>
      <c r="NA549"/>
      <c r="NB549"/>
      <c r="NC549"/>
      <c r="ND549"/>
      <c r="NE549"/>
      <c r="NF549"/>
      <c r="NG549"/>
      <c r="NH549"/>
      <c r="NI549"/>
      <c r="NJ549"/>
      <c r="NK549"/>
      <c r="NL549"/>
      <c r="NM549"/>
      <c r="NN549"/>
      <c r="NO549"/>
      <c r="NP549"/>
      <c r="NQ549"/>
      <c r="NR549"/>
      <c r="NS549"/>
      <c r="NT549"/>
      <c r="NU549"/>
      <c r="NV549"/>
      <c r="NW549"/>
      <c r="NX549"/>
      <c r="NY549"/>
      <c r="NZ549"/>
      <c r="OA549"/>
      <c r="OB549"/>
      <c r="OC549"/>
      <c r="OD549"/>
      <c r="OE549"/>
      <c r="OF549"/>
      <c r="OG549"/>
      <c r="OH549"/>
      <c r="OI549"/>
      <c r="OJ549"/>
      <c r="OK549"/>
      <c r="OL549"/>
      <c r="OM549"/>
      <c r="ON549"/>
      <c r="OO549"/>
      <c r="OP549"/>
      <c r="OQ549"/>
      <c r="OR549"/>
      <c r="OS549"/>
      <c r="OT549"/>
      <c r="OU549"/>
      <c r="OV549"/>
      <c r="OW549"/>
      <c r="OX549"/>
      <c r="OY549"/>
      <c r="OZ549"/>
      <c r="PA549"/>
      <c r="PB549"/>
      <c r="PC549"/>
      <c r="PD549"/>
      <c r="PE549"/>
      <c r="PF549"/>
      <c r="PG549"/>
      <c r="PH549"/>
      <c r="PI549"/>
      <c r="PJ549"/>
      <c r="PK549"/>
      <c r="PL549"/>
      <c r="PM549"/>
      <c r="PN549"/>
      <c r="PO549"/>
      <c r="PP549"/>
      <c r="PQ549"/>
      <c r="PR549"/>
      <c r="PS549"/>
      <c r="PT549"/>
      <c r="PU549"/>
      <c r="PV549"/>
      <c r="PW549"/>
      <c r="PX549"/>
      <c r="PY549"/>
      <c r="PZ549"/>
      <c r="QA549"/>
      <c r="QB549"/>
      <c r="QC549"/>
      <c r="QD549"/>
      <c r="QE549"/>
      <c r="QF549"/>
      <c r="QG549"/>
      <c r="QH549"/>
      <c r="QI549"/>
      <c r="QJ549"/>
      <c r="QK549"/>
      <c r="QL549"/>
      <c r="QM549"/>
      <c r="QN549"/>
      <c r="QO549"/>
      <c r="QP549"/>
      <c r="QQ549"/>
      <c r="QR549"/>
      <c r="QS549"/>
      <c r="QT549"/>
      <c r="QU549"/>
      <c r="QV549"/>
      <c r="QW549"/>
      <c r="QX549"/>
      <c r="QY549"/>
      <c r="QZ549"/>
      <c r="RA549"/>
      <c r="RB549"/>
      <c r="RC549"/>
      <c r="RD549"/>
      <c r="RE549"/>
      <c r="RF549"/>
      <c r="RG549"/>
      <c r="RH549"/>
      <c r="RI549"/>
      <c r="RJ549"/>
      <c r="RK549"/>
      <c r="RL549"/>
      <c r="RM549"/>
      <c r="RN549"/>
      <c r="RO549"/>
      <c r="RP549"/>
      <c r="RQ549"/>
      <c r="RR549"/>
      <c r="RS549"/>
      <c r="RT549"/>
      <c r="RU549"/>
      <c r="RV549"/>
      <c r="RW549"/>
      <c r="RX549"/>
      <c r="RY549"/>
      <c r="RZ549"/>
      <c r="SA549"/>
      <c r="SB549"/>
      <c r="SC549"/>
      <c r="SD549"/>
      <c r="SE549"/>
      <c r="SF549"/>
      <c r="SG549"/>
      <c r="SH549"/>
      <c r="SI549"/>
      <c r="SJ549"/>
      <c r="SK549"/>
      <c r="SL549"/>
      <c r="SM549"/>
      <c r="SN549"/>
      <c r="SO549"/>
      <c r="SP549"/>
      <c r="SQ549"/>
      <c r="SR549"/>
      <c r="SS549"/>
      <c r="ST549"/>
      <c r="SU549"/>
      <c r="SV549"/>
      <c r="SW549"/>
      <c r="SX549"/>
      <c r="SY549"/>
      <c r="SZ549"/>
      <c r="TA549"/>
      <c r="TB549"/>
      <c r="TC549"/>
      <c r="TD549"/>
      <c r="TE549"/>
      <c r="TF549"/>
      <c r="TG549"/>
      <c r="TH549"/>
    </row>
    <row r="550" spans="3:528" x14ac:dyDescent="0.25">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c r="KT550"/>
      <c r="KU550"/>
      <c r="KV550"/>
      <c r="KW550"/>
      <c r="KX550"/>
      <c r="KY550"/>
      <c r="KZ550"/>
      <c r="LA550"/>
      <c r="LB550"/>
      <c r="LC550"/>
      <c r="LD550"/>
      <c r="LE550"/>
      <c r="LF550"/>
      <c r="LG550"/>
      <c r="LH550"/>
      <c r="LI550"/>
      <c r="LJ550"/>
      <c r="LK550"/>
      <c r="LL550"/>
      <c r="LM550"/>
      <c r="LN550"/>
      <c r="LO550"/>
      <c r="LP550"/>
      <c r="LQ550"/>
      <c r="LR550"/>
      <c r="LS550"/>
      <c r="LT550"/>
      <c r="LU550"/>
      <c r="LV550"/>
      <c r="LW550"/>
      <c r="LX550"/>
      <c r="LY550"/>
      <c r="LZ550"/>
      <c r="MA550"/>
      <c r="MB550"/>
      <c r="MC550"/>
      <c r="MD550"/>
      <c r="ME550"/>
      <c r="MF550"/>
      <c r="MG550"/>
      <c r="MH550"/>
      <c r="MI550"/>
      <c r="MJ550"/>
      <c r="MK550"/>
      <c r="ML550"/>
      <c r="MM550"/>
      <c r="MN550"/>
      <c r="MO550"/>
      <c r="MP550"/>
      <c r="MQ550"/>
      <c r="MR550"/>
      <c r="MS550"/>
      <c r="MT550"/>
      <c r="MU550"/>
      <c r="MV550"/>
      <c r="MW550"/>
      <c r="MX550"/>
      <c r="MY550"/>
      <c r="MZ550"/>
      <c r="NA550"/>
      <c r="NB550"/>
      <c r="NC550"/>
      <c r="ND550"/>
      <c r="NE550"/>
      <c r="NF550"/>
      <c r="NG550"/>
      <c r="NH550"/>
      <c r="NI550"/>
      <c r="NJ550"/>
      <c r="NK550"/>
      <c r="NL550"/>
      <c r="NM550"/>
      <c r="NN550"/>
      <c r="NO550"/>
      <c r="NP550"/>
      <c r="NQ550"/>
      <c r="NR550"/>
      <c r="NS550"/>
      <c r="NT550"/>
      <c r="NU550"/>
      <c r="NV550"/>
      <c r="NW550"/>
      <c r="NX550"/>
      <c r="NY550"/>
      <c r="NZ550"/>
      <c r="OA550"/>
      <c r="OB550"/>
      <c r="OC550"/>
      <c r="OD550"/>
      <c r="OE550"/>
      <c r="OF550"/>
      <c r="OG550"/>
      <c r="OH550"/>
      <c r="OI550"/>
      <c r="OJ550"/>
      <c r="OK550"/>
      <c r="OL550"/>
      <c r="OM550"/>
      <c r="ON550"/>
      <c r="OO550"/>
      <c r="OP550"/>
      <c r="OQ550"/>
      <c r="OR550"/>
      <c r="OS550"/>
      <c r="OT550"/>
      <c r="OU550"/>
      <c r="OV550"/>
      <c r="OW550"/>
      <c r="OX550"/>
      <c r="OY550"/>
      <c r="OZ550"/>
      <c r="PA550"/>
      <c r="PB550"/>
      <c r="PC550"/>
      <c r="PD550"/>
      <c r="PE550"/>
      <c r="PF550"/>
      <c r="PG550"/>
      <c r="PH550"/>
      <c r="PI550"/>
      <c r="PJ550"/>
      <c r="PK550"/>
      <c r="PL550"/>
      <c r="PM550"/>
      <c r="PN550"/>
      <c r="PO550"/>
      <c r="PP550"/>
      <c r="PQ550"/>
      <c r="PR550"/>
      <c r="PS550"/>
      <c r="PT550"/>
      <c r="PU550"/>
      <c r="PV550"/>
      <c r="PW550"/>
      <c r="PX550"/>
      <c r="PY550"/>
      <c r="PZ550"/>
      <c r="QA550"/>
      <c r="QB550"/>
      <c r="QC550"/>
      <c r="QD550"/>
      <c r="QE550"/>
      <c r="QF550"/>
      <c r="QG550"/>
      <c r="QH550"/>
      <c r="QI550"/>
      <c r="QJ550"/>
      <c r="QK550"/>
      <c r="QL550"/>
      <c r="QM550"/>
      <c r="QN550"/>
      <c r="QO550"/>
      <c r="QP550"/>
      <c r="QQ550"/>
      <c r="QR550"/>
      <c r="QS550"/>
      <c r="QT550"/>
      <c r="QU550"/>
      <c r="QV550"/>
      <c r="QW550"/>
      <c r="QX550"/>
      <c r="QY550"/>
      <c r="QZ550"/>
      <c r="RA550"/>
      <c r="RB550"/>
      <c r="RC550"/>
      <c r="RD550"/>
      <c r="RE550"/>
      <c r="RF550"/>
      <c r="RG550"/>
      <c r="RH550"/>
      <c r="RI550"/>
      <c r="RJ550"/>
      <c r="RK550"/>
      <c r="RL550"/>
      <c r="RM550"/>
      <c r="RN550"/>
      <c r="RO550"/>
      <c r="RP550"/>
      <c r="RQ550"/>
      <c r="RR550"/>
      <c r="RS550"/>
      <c r="RT550"/>
      <c r="RU550"/>
      <c r="RV550"/>
      <c r="RW550"/>
      <c r="RX550"/>
      <c r="RY550"/>
      <c r="RZ550"/>
      <c r="SA550"/>
      <c r="SB550"/>
      <c r="SC550"/>
      <c r="SD550"/>
      <c r="SE550"/>
      <c r="SF550"/>
      <c r="SG550"/>
      <c r="SH550"/>
      <c r="SI550"/>
      <c r="SJ550"/>
      <c r="SK550"/>
      <c r="SL550"/>
      <c r="SM550"/>
      <c r="SN550"/>
      <c r="SO550"/>
      <c r="SP550"/>
      <c r="SQ550"/>
      <c r="SR550"/>
      <c r="SS550"/>
      <c r="ST550"/>
      <c r="SU550"/>
      <c r="SV550"/>
      <c r="SW550"/>
      <c r="SX550"/>
      <c r="SY550"/>
      <c r="SZ550"/>
      <c r="TA550"/>
      <c r="TB550"/>
      <c r="TC550"/>
      <c r="TD550"/>
      <c r="TE550"/>
      <c r="TF550"/>
      <c r="TG550"/>
      <c r="TH550"/>
    </row>
    <row r="551" spans="3:528" x14ac:dyDescent="0.25">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c r="KT551"/>
      <c r="KU551"/>
      <c r="KV551"/>
      <c r="KW551"/>
      <c r="KX551"/>
      <c r="KY551"/>
      <c r="KZ551"/>
      <c r="LA551"/>
      <c r="LB551"/>
      <c r="LC551"/>
      <c r="LD551"/>
      <c r="LE551"/>
      <c r="LF551"/>
      <c r="LG551"/>
      <c r="LH551"/>
      <c r="LI551"/>
      <c r="LJ551"/>
      <c r="LK551"/>
      <c r="LL551"/>
      <c r="LM551"/>
      <c r="LN551"/>
      <c r="LO551"/>
      <c r="LP551"/>
      <c r="LQ551"/>
      <c r="LR551"/>
      <c r="LS551"/>
      <c r="LT551"/>
      <c r="LU551"/>
      <c r="LV551"/>
      <c r="LW551"/>
      <c r="LX551"/>
      <c r="LY551"/>
      <c r="LZ551"/>
      <c r="MA551"/>
      <c r="MB551"/>
      <c r="MC551"/>
      <c r="MD551"/>
      <c r="ME551"/>
      <c r="MF551"/>
      <c r="MG551"/>
      <c r="MH551"/>
      <c r="MI551"/>
      <c r="MJ551"/>
      <c r="MK551"/>
      <c r="ML551"/>
      <c r="MM551"/>
      <c r="MN551"/>
      <c r="MO551"/>
      <c r="MP551"/>
      <c r="MQ551"/>
      <c r="MR551"/>
      <c r="MS551"/>
      <c r="MT551"/>
      <c r="MU551"/>
      <c r="MV551"/>
      <c r="MW551"/>
      <c r="MX551"/>
      <c r="MY551"/>
      <c r="MZ551"/>
      <c r="NA551"/>
      <c r="NB551"/>
      <c r="NC551"/>
      <c r="ND551"/>
      <c r="NE551"/>
      <c r="NF551"/>
      <c r="NG551"/>
      <c r="NH551"/>
      <c r="NI551"/>
      <c r="NJ551"/>
      <c r="NK551"/>
      <c r="NL551"/>
      <c r="NM551"/>
      <c r="NN551"/>
      <c r="NO551"/>
      <c r="NP551"/>
      <c r="NQ551"/>
      <c r="NR551"/>
      <c r="NS551"/>
      <c r="NT551"/>
      <c r="NU551"/>
      <c r="NV551"/>
      <c r="NW551"/>
      <c r="NX551"/>
      <c r="NY551"/>
      <c r="NZ551"/>
      <c r="OA551"/>
      <c r="OB551"/>
      <c r="OC551"/>
      <c r="OD551"/>
      <c r="OE551"/>
      <c r="OF551"/>
      <c r="OG551"/>
      <c r="OH551"/>
      <c r="OI551"/>
      <c r="OJ551"/>
      <c r="OK551"/>
      <c r="OL551"/>
      <c r="OM551"/>
      <c r="ON551"/>
      <c r="OO551"/>
      <c r="OP551"/>
      <c r="OQ551"/>
      <c r="OR551"/>
      <c r="OS551"/>
      <c r="OT551"/>
      <c r="OU551"/>
      <c r="OV551"/>
      <c r="OW551"/>
      <c r="OX551"/>
      <c r="OY551"/>
      <c r="OZ551"/>
      <c r="PA551"/>
      <c r="PB551"/>
      <c r="PC551"/>
      <c r="PD551"/>
      <c r="PE551"/>
      <c r="PF551"/>
      <c r="PG551"/>
      <c r="PH551"/>
      <c r="PI551"/>
      <c r="PJ551"/>
      <c r="PK551"/>
      <c r="PL551"/>
      <c r="PM551"/>
      <c r="PN551"/>
      <c r="PO551"/>
      <c r="PP551"/>
      <c r="PQ551"/>
      <c r="PR551"/>
      <c r="PS551"/>
      <c r="PT551"/>
      <c r="PU551"/>
      <c r="PV551"/>
      <c r="PW551"/>
      <c r="PX551"/>
      <c r="PY551"/>
      <c r="PZ551"/>
      <c r="QA551"/>
      <c r="QB551"/>
      <c r="QC551"/>
      <c r="QD551"/>
      <c r="QE551"/>
      <c r="QF551"/>
      <c r="QG551"/>
      <c r="QH551"/>
      <c r="QI551"/>
      <c r="QJ551"/>
      <c r="QK551"/>
      <c r="QL551"/>
      <c r="QM551"/>
      <c r="QN551"/>
      <c r="QO551"/>
      <c r="QP551"/>
      <c r="QQ551"/>
      <c r="QR551"/>
      <c r="QS551"/>
      <c r="QT551"/>
      <c r="QU551"/>
      <c r="QV551"/>
      <c r="QW551"/>
      <c r="QX551"/>
      <c r="QY551"/>
      <c r="QZ551"/>
      <c r="RA551"/>
      <c r="RB551"/>
      <c r="RC551"/>
      <c r="RD551"/>
      <c r="RE551"/>
      <c r="RF551"/>
      <c r="RG551"/>
      <c r="RH551"/>
      <c r="RI551"/>
      <c r="RJ551"/>
      <c r="RK551"/>
      <c r="RL551"/>
      <c r="RM551"/>
      <c r="RN551"/>
      <c r="RO551"/>
      <c r="RP551"/>
      <c r="RQ551"/>
      <c r="RR551"/>
      <c r="RS551"/>
      <c r="RT551"/>
      <c r="RU551"/>
      <c r="RV551"/>
      <c r="RW551"/>
      <c r="RX551"/>
      <c r="RY551"/>
      <c r="RZ551"/>
      <c r="SA551"/>
      <c r="SB551"/>
      <c r="SC551"/>
      <c r="SD551"/>
      <c r="SE551"/>
      <c r="SF551"/>
      <c r="SG551"/>
      <c r="SH551"/>
      <c r="SI551"/>
      <c r="SJ551"/>
      <c r="SK551"/>
      <c r="SL551"/>
      <c r="SM551"/>
      <c r="SN551"/>
      <c r="SO551"/>
      <c r="SP551"/>
      <c r="SQ551"/>
      <c r="SR551"/>
      <c r="SS551"/>
      <c r="ST551"/>
      <c r="SU551"/>
      <c r="SV551"/>
      <c r="SW551"/>
      <c r="SX551"/>
      <c r="SY551"/>
      <c r="SZ551"/>
      <c r="TA551"/>
      <c r="TB551"/>
      <c r="TC551"/>
      <c r="TD551"/>
      <c r="TE551"/>
      <c r="TF551"/>
      <c r="TG551"/>
      <c r="TH551"/>
    </row>
    <row r="552" spans="3:528" x14ac:dyDescent="0.25">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c r="KV552"/>
      <c r="KW552"/>
      <c r="KX552"/>
      <c r="KY552"/>
      <c r="KZ552"/>
      <c r="LA552"/>
      <c r="LB552"/>
      <c r="LC552"/>
      <c r="LD552"/>
      <c r="LE552"/>
      <c r="LF552"/>
      <c r="LG552"/>
      <c r="LH552"/>
      <c r="LI552"/>
      <c r="LJ552"/>
      <c r="LK552"/>
      <c r="LL552"/>
      <c r="LM552"/>
      <c r="LN552"/>
      <c r="LO552"/>
      <c r="LP552"/>
      <c r="LQ552"/>
      <c r="LR552"/>
      <c r="LS552"/>
      <c r="LT552"/>
      <c r="LU552"/>
      <c r="LV552"/>
      <c r="LW552"/>
      <c r="LX552"/>
      <c r="LY552"/>
      <c r="LZ552"/>
      <c r="MA552"/>
      <c r="MB552"/>
      <c r="MC552"/>
      <c r="MD552"/>
      <c r="ME552"/>
      <c r="MF552"/>
      <c r="MG552"/>
      <c r="MH552"/>
      <c r="MI552"/>
      <c r="MJ552"/>
      <c r="MK552"/>
      <c r="ML552"/>
      <c r="MM552"/>
      <c r="MN552"/>
      <c r="MO552"/>
      <c r="MP552"/>
      <c r="MQ552"/>
      <c r="MR552"/>
      <c r="MS552"/>
      <c r="MT552"/>
      <c r="MU552"/>
      <c r="MV552"/>
      <c r="MW552"/>
      <c r="MX552"/>
      <c r="MY552"/>
      <c r="MZ552"/>
      <c r="NA552"/>
      <c r="NB552"/>
      <c r="NC552"/>
      <c r="ND552"/>
      <c r="NE552"/>
      <c r="NF552"/>
      <c r="NG552"/>
      <c r="NH552"/>
      <c r="NI552"/>
      <c r="NJ552"/>
      <c r="NK552"/>
      <c r="NL552"/>
      <c r="NM552"/>
      <c r="NN552"/>
      <c r="NO552"/>
      <c r="NP552"/>
      <c r="NQ552"/>
      <c r="NR552"/>
      <c r="NS552"/>
      <c r="NT552"/>
      <c r="NU552"/>
      <c r="NV552"/>
      <c r="NW552"/>
      <c r="NX552"/>
      <c r="NY552"/>
      <c r="NZ552"/>
      <c r="OA552"/>
      <c r="OB552"/>
      <c r="OC552"/>
      <c r="OD552"/>
      <c r="OE552"/>
      <c r="OF552"/>
      <c r="OG552"/>
      <c r="OH552"/>
      <c r="OI552"/>
      <c r="OJ552"/>
      <c r="OK552"/>
      <c r="OL552"/>
      <c r="OM552"/>
      <c r="ON552"/>
      <c r="OO552"/>
      <c r="OP552"/>
      <c r="OQ552"/>
      <c r="OR552"/>
      <c r="OS552"/>
      <c r="OT552"/>
      <c r="OU552"/>
      <c r="OV552"/>
      <c r="OW552"/>
      <c r="OX552"/>
      <c r="OY552"/>
      <c r="OZ552"/>
      <c r="PA552"/>
      <c r="PB552"/>
      <c r="PC552"/>
      <c r="PD552"/>
      <c r="PE552"/>
      <c r="PF552"/>
      <c r="PG552"/>
      <c r="PH552"/>
      <c r="PI552"/>
      <c r="PJ552"/>
      <c r="PK552"/>
      <c r="PL552"/>
      <c r="PM552"/>
      <c r="PN552"/>
      <c r="PO552"/>
      <c r="PP552"/>
      <c r="PQ552"/>
      <c r="PR552"/>
      <c r="PS552"/>
      <c r="PT552"/>
      <c r="PU552"/>
      <c r="PV552"/>
      <c r="PW552"/>
      <c r="PX552"/>
      <c r="PY552"/>
      <c r="PZ552"/>
      <c r="QA552"/>
      <c r="QB552"/>
      <c r="QC552"/>
      <c r="QD552"/>
      <c r="QE552"/>
      <c r="QF552"/>
      <c r="QG552"/>
      <c r="QH552"/>
      <c r="QI552"/>
      <c r="QJ552"/>
      <c r="QK552"/>
      <c r="QL552"/>
      <c r="QM552"/>
      <c r="QN552"/>
      <c r="QO552"/>
      <c r="QP552"/>
      <c r="QQ552"/>
      <c r="QR552"/>
      <c r="QS552"/>
      <c r="QT552"/>
      <c r="QU552"/>
      <c r="QV552"/>
      <c r="QW552"/>
      <c r="QX552"/>
      <c r="QY552"/>
      <c r="QZ552"/>
      <c r="RA552"/>
      <c r="RB552"/>
      <c r="RC552"/>
      <c r="RD552"/>
      <c r="RE552"/>
      <c r="RF552"/>
      <c r="RG552"/>
      <c r="RH552"/>
      <c r="RI552"/>
      <c r="RJ552"/>
      <c r="RK552"/>
      <c r="RL552"/>
      <c r="RM552"/>
      <c r="RN552"/>
      <c r="RO552"/>
      <c r="RP552"/>
      <c r="RQ552"/>
      <c r="RR552"/>
      <c r="RS552"/>
      <c r="RT552"/>
      <c r="RU552"/>
      <c r="RV552"/>
      <c r="RW552"/>
      <c r="RX552"/>
      <c r="RY552"/>
      <c r="RZ552"/>
      <c r="SA552"/>
      <c r="SB552"/>
      <c r="SC552"/>
      <c r="SD552"/>
      <c r="SE552"/>
      <c r="SF552"/>
      <c r="SG552"/>
      <c r="SH552"/>
      <c r="SI552"/>
      <c r="SJ552"/>
      <c r="SK552"/>
      <c r="SL552"/>
      <c r="SM552"/>
      <c r="SN552"/>
      <c r="SO552"/>
      <c r="SP552"/>
      <c r="SQ552"/>
      <c r="SR552"/>
      <c r="SS552"/>
      <c r="ST552"/>
      <c r="SU552"/>
      <c r="SV552"/>
      <c r="SW552"/>
      <c r="SX552"/>
      <c r="SY552"/>
      <c r="SZ552"/>
      <c r="TA552"/>
      <c r="TB552"/>
      <c r="TC552"/>
      <c r="TD552"/>
      <c r="TE552"/>
      <c r="TF552"/>
      <c r="TG552"/>
      <c r="TH552"/>
    </row>
    <row r="553" spans="3:528" x14ac:dyDescent="0.25">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c r="KV553"/>
      <c r="KW553"/>
      <c r="KX553"/>
      <c r="KY553"/>
      <c r="KZ553"/>
      <c r="LA553"/>
      <c r="LB553"/>
      <c r="LC553"/>
      <c r="LD553"/>
      <c r="LE553"/>
      <c r="LF553"/>
      <c r="LG553"/>
      <c r="LH553"/>
      <c r="LI553"/>
      <c r="LJ553"/>
      <c r="LK553"/>
      <c r="LL553"/>
      <c r="LM553"/>
      <c r="LN553"/>
      <c r="LO553"/>
      <c r="LP553"/>
      <c r="LQ553"/>
      <c r="LR553"/>
      <c r="LS553"/>
      <c r="LT553"/>
      <c r="LU553"/>
      <c r="LV553"/>
      <c r="LW553"/>
      <c r="LX553"/>
      <c r="LY553"/>
      <c r="LZ553"/>
      <c r="MA553"/>
      <c r="MB553"/>
      <c r="MC553"/>
      <c r="MD553"/>
      <c r="ME553"/>
      <c r="MF553"/>
      <c r="MG553"/>
      <c r="MH553"/>
      <c r="MI553"/>
      <c r="MJ553"/>
      <c r="MK553"/>
      <c r="ML553"/>
      <c r="MM553"/>
      <c r="MN553"/>
      <c r="MO553"/>
      <c r="MP553"/>
      <c r="MQ553"/>
      <c r="MR553"/>
      <c r="MS553"/>
      <c r="MT553"/>
      <c r="MU553"/>
      <c r="MV553"/>
      <c r="MW553"/>
      <c r="MX553"/>
      <c r="MY553"/>
      <c r="MZ553"/>
      <c r="NA553"/>
      <c r="NB553"/>
      <c r="NC553"/>
      <c r="ND553"/>
      <c r="NE553"/>
      <c r="NF553"/>
      <c r="NG553"/>
      <c r="NH553"/>
      <c r="NI553"/>
      <c r="NJ553"/>
      <c r="NK553"/>
      <c r="NL553"/>
      <c r="NM553"/>
      <c r="NN553"/>
      <c r="NO553"/>
      <c r="NP553"/>
      <c r="NQ553"/>
      <c r="NR553"/>
      <c r="NS553"/>
      <c r="NT553"/>
      <c r="NU553"/>
      <c r="NV553"/>
      <c r="NW553"/>
      <c r="NX553"/>
      <c r="NY553"/>
      <c r="NZ553"/>
      <c r="OA553"/>
      <c r="OB553"/>
      <c r="OC553"/>
      <c r="OD553"/>
      <c r="OE553"/>
      <c r="OF553"/>
      <c r="OG553"/>
      <c r="OH553"/>
      <c r="OI553"/>
      <c r="OJ553"/>
      <c r="OK553"/>
      <c r="OL553"/>
      <c r="OM553"/>
      <c r="ON553"/>
      <c r="OO553"/>
      <c r="OP553"/>
      <c r="OQ553"/>
      <c r="OR553"/>
      <c r="OS553"/>
      <c r="OT553"/>
      <c r="OU553"/>
      <c r="OV553"/>
      <c r="OW553"/>
      <c r="OX553"/>
      <c r="OY553"/>
      <c r="OZ553"/>
      <c r="PA553"/>
      <c r="PB553"/>
      <c r="PC553"/>
      <c r="PD553"/>
      <c r="PE553"/>
      <c r="PF553"/>
      <c r="PG553"/>
      <c r="PH553"/>
      <c r="PI553"/>
      <c r="PJ553"/>
      <c r="PK553"/>
      <c r="PL553"/>
      <c r="PM553"/>
      <c r="PN553"/>
      <c r="PO553"/>
      <c r="PP553"/>
      <c r="PQ553"/>
      <c r="PR553"/>
      <c r="PS553"/>
      <c r="PT553"/>
      <c r="PU553"/>
      <c r="PV553"/>
      <c r="PW553"/>
      <c r="PX553"/>
      <c r="PY553"/>
      <c r="PZ553"/>
      <c r="QA553"/>
      <c r="QB553"/>
      <c r="QC553"/>
      <c r="QD553"/>
      <c r="QE553"/>
      <c r="QF553"/>
      <c r="QG553"/>
      <c r="QH553"/>
      <c r="QI553"/>
      <c r="QJ553"/>
      <c r="QK553"/>
      <c r="QL553"/>
      <c r="QM553"/>
      <c r="QN553"/>
      <c r="QO553"/>
      <c r="QP553"/>
      <c r="QQ553"/>
      <c r="QR553"/>
      <c r="QS553"/>
      <c r="QT553"/>
      <c r="QU553"/>
      <c r="QV553"/>
      <c r="QW553"/>
      <c r="QX553"/>
      <c r="QY553"/>
      <c r="QZ553"/>
      <c r="RA553"/>
      <c r="RB553"/>
      <c r="RC553"/>
      <c r="RD553"/>
      <c r="RE553"/>
      <c r="RF553"/>
      <c r="RG553"/>
      <c r="RH553"/>
      <c r="RI553"/>
      <c r="RJ553"/>
      <c r="RK553"/>
      <c r="RL553"/>
      <c r="RM553"/>
      <c r="RN553"/>
      <c r="RO553"/>
      <c r="RP553"/>
      <c r="RQ553"/>
      <c r="RR553"/>
      <c r="RS553"/>
      <c r="RT553"/>
      <c r="RU553"/>
      <c r="RV553"/>
      <c r="RW553"/>
      <c r="RX553"/>
      <c r="RY553"/>
      <c r="RZ553"/>
      <c r="SA553"/>
      <c r="SB553"/>
      <c r="SC553"/>
      <c r="SD553"/>
      <c r="SE553"/>
      <c r="SF553"/>
      <c r="SG553"/>
      <c r="SH553"/>
      <c r="SI553"/>
      <c r="SJ553"/>
      <c r="SK553"/>
      <c r="SL553"/>
      <c r="SM553"/>
      <c r="SN553"/>
      <c r="SO553"/>
      <c r="SP553"/>
      <c r="SQ553"/>
      <c r="SR553"/>
      <c r="SS553"/>
      <c r="ST553"/>
      <c r="SU553"/>
      <c r="SV553"/>
      <c r="SW553"/>
      <c r="SX553"/>
      <c r="SY553"/>
      <c r="SZ553"/>
      <c r="TA553"/>
      <c r="TB553"/>
      <c r="TC553"/>
      <c r="TD553"/>
      <c r="TE553"/>
      <c r="TF553"/>
      <c r="TG553"/>
      <c r="TH553"/>
    </row>
    <row r="554" spans="3:528" x14ac:dyDescent="0.25">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c r="KV554"/>
      <c r="KW554"/>
      <c r="KX554"/>
      <c r="KY554"/>
      <c r="KZ554"/>
      <c r="LA554"/>
      <c r="LB554"/>
      <c r="LC554"/>
      <c r="LD554"/>
      <c r="LE554"/>
      <c r="LF554"/>
      <c r="LG554"/>
      <c r="LH554"/>
      <c r="LI554"/>
      <c r="LJ554"/>
      <c r="LK554"/>
      <c r="LL554"/>
      <c r="LM554"/>
      <c r="LN554"/>
      <c r="LO554"/>
      <c r="LP554"/>
      <c r="LQ554"/>
      <c r="LR554"/>
      <c r="LS554"/>
      <c r="LT554"/>
      <c r="LU554"/>
      <c r="LV554"/>
      <c r="LW554"/>
      <c r="LX554"/>
      <c r="LY554"/>
      <c r="LZ554"/>
      <c r="MA554"/>
      <c r="MB554"/>
      <c r="MC554"/>
      <c r="MD554"/>
      <c r="ME554"/>
      <c r="MF554"/>
      <c r="MG554"/>
      <c r="MH554"/>
      <c r="MI554"/>
      <c r="MJ554"/>
      <c r="MK554"/>
      <c r="ML554"/>
      <c r="MM554"/>
      <c r="MN554"/>
      <c r="MO554"/>
      <c r="MP554"/>
      <c r="MQ554"/>
      <c r="MR554"/>
      <c r="MS554"/>
      <c r="MT554"/>
      <c r="MU554"/>
      <c r="MV554"/>
      <c r="MW554"/>
      <c r="MX554"/>
      <c r="MY554"/>
      <c r="MZ554"/>
      <c r="NA554"/>
      <c r="NB554"/>
      <c r="NC554"/>
      <c r="ND554"/>
      <c r="NE554"/>
      <c r="NF554"/>
      <c r="NG554"/>
      <c r="NH554"/>
      <c r="NI554"/>
      <c r="NJ554"/>
      <c r="NK554"/>
      <c r="NL554"/>
      <c r="NM554"/>
      <c r="NN554"/>
      <c r="NO554"/>
      <c r="NP554"/>
      <c r="NQ554"/>
      <c r="NR554"/>
      <c r="NS554"/>
      <c r="NT554"/>
      <c r="NU554"/>
      <c r="NV554"/>
      <c r="NW554"/>
      <c r="NX554"/>
      <c r="NY554"/>
      <c r="NZ554"/>
      <c r="OA554"/>
      <c r="OB554"/>
      <c r="OC554"/>
      <c r="OD554"/>
      <c r="OE554"/>
      <c r="OF554"/>
      <c r="OG554"/>
      <c r="OH554"/>
      <c r="OI554"/>
      <c r="OJ554"/>
      <c r="OK554"/>
      <c r="OL554"/>
      <c r="OM554"/>
      <c r="ON554"/>
      <c r="OO554"/>
      <c r="OP554"/>
      <c r="OQ554"/>
      <c r="OR554"/>
      <c r="OS554"/>
      <c r="OT554"/>
      <c r="OU554"/>
      <c r="OV554"/>
      <c r="OW554"/>
      <c r="OX554"/>
      <c r="OY554"/>
      <c r="OZ554"/>
      <c r="PA554"/>
      <c r="PB554"/>
      <c r="PC554"/>
      <c r="PD554"/>
      <c r="PE554"/>
      <c r="PF554"/>
      <c r="PG554"/>
      <c r="PH554"/>
      <c r="PI554"/>
      <c r="PJ554"/>
      <c r="PK554"/>
      <c r="PL554"/>
      <c r="PM554"/>
      <c r="PN554"/>
      <c r="PO554"/>
      <c r="PP554"/>
      <c r="PQ554"/>
      <c r="PR554"/>
      <c r="PS554"/>
      <c r="PT554"/>
      <c r="PU554"/>
      <c r="PV554"/>
      <c r="PW554"/>
      <c r="PX554"/>
      <c r="PY554"/>
      <c r="PZ554"/>
      <c r="QA554"/>
      <c r="QB554"/>
      <c r="QC554"/>
      <c r="QD554"/>
      <c r="QE554"/>
      <c r="QF554"/>
      <c r="QG554"/>
      <c r="QH554"/>
      <c r="QI554"/>
      <c r="QJ554"/>
      <c r="QK554"/>
      <c r="QL554"/>
      <c r="QM554"/>
      <c r="QN554"/>
      <c r="QO554"/>
      <c r="QP554"/>
      <c r="QQ554"/>
      <c r="QR554"/>
      <c r="QS554"/>
      <c r="QT554"/>
      <c r="QU554"/>
      <c r="QV554"/>
      <c r="QW554"/>
      <c r="QX554"/>
      <c r="QY554"/>
      <c r="QZ554"/>
      <c r="RA554"/>
      <c r="RB554"/>
      <c r="RC554"/>
      <c r="RD554"/>
      <c r="RE554"/>
      <c r="RF554"/>
      <c r="RG554"/>
      <c r="RH554"/>
      <c r="RI554"/>
      <c r="RJ554"/>
      <c r="RK554"/>
      <c r="RL554"/>
      <c r="RM554"/>
      <c r="RN554"/>
      <c r="RO554"/>
      <c r="RP554"/>
      <c r="RQ554"/>
      <c r="RR554"/>
      <c r="RS554"/>
      <c r="RT554"/>
      <c r="RU554"/>
      <c r="RV554"/>
      <c r="RW554"/>
      <c r="RX554"/>
      <c r="RY554"/>
      <c r="RZ554"/>
      <c r="SA554"/>
      <c r="SB554"/>
      <c r="SC554"/>
      <c r="SD554"/>
      <c r="SE554"/>
      <c r="SF554"/>
      <c r="SG554"/>
      <c r="SH554"/>
      <c r="SI554"/>
      <c r="SJ554"/>
      <c r="SK554"/>
      <c r="SL554"/>
      <c r="SM554"/>
      <c r="SN554"/>
      <c r="SO554"/>
      <c r="SP554"/>
      <c r="SQ554"/>
      <c r="SR554"/>
      <c r="SS554"/>
      <c r="ST554"/>
      <c r="SU554"/>
      <c r="SV554"/>
      <c r="SW554"/>
      <c r="SX554"/>
      <c r="SY554"/>
      <c r="SZ554"/>
      <c r="TA554"/>
      <c r="TB554"/>
      <c r="TC554"/>
      <c r="TD554"/>
      <c r="TE554"/>
      <c r="TF554"/>
      <c r="TG554"/>
      <c r="TH554"/>
    </row>
    <row r="555" spans="3:528" x14ac:dyDescent="0.2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c r="KT555"/>
      <c r="KU555"/>
      <c r="KV555"/>
      <c r="KW555"/>
      <c r="KX555"/>
      <c r="KY555"/>
      <c r="KZ555"/>
      <c r="LA555"/>
      <c r="LB555"/>
      <c r="LC555"/>
      <c r="LD555"/>
      <c r="LE555"/>
      <c r="LF555"/>
      <c r="LG555"/>
      <c r="LH555"/>
      <c r="LI555"/>
      <c r="LJ555"/>
      <c r="LK555"/>
      <c r="LL555"/>
      <c r="LM555"/>
      <c r="LN555"/>
      <c r="LO555"/>
      <c r="LP555"/>
      <c r="LQ555"/>
      <c r="LR555"/>
      <c r="LS555"/>
      <c r="LT555"/>
      <c r="LU555"/>
      <c r="LV555"/>
      <c r="LW555"/>
      <c r="LX555"/>
      <c r="LY555"/>
      <c r="LZ555"/>
      <c r="MA555"/>
      <c r="MB555"/>
      <c r="MC555"/>
      <c r="MD555"/>
      <c r="ME555"/>
      <c r="MF555"/>
      <c r="MG555"/>
      <c r="MH555"/>
      <c r="MI555"/>
      <c r="MJ555"/>
      <c r="MK555"/>
      <c r="ML555"/>
      <c r="MM555"/>
      <c r="MN555"/>
      <c r="MO555"/>
      <c r="MP555"/>
      <c r="MQ555"/>
      <c r="MR555"/>
      <c r="MS555"/>
      <c r="MT555"/>
      <c r="MU555"/>
      <c r="MV555"/>
      <c r="MW555"/>
      <c r="MX555"/>
      <c r="MY555"/>
      <c r="MZ555"/>
      <c r="NA555"/>
      <c r="NB555"/>
      <c r="NC555"/>
      <c r="ND555"/>
      <c r="NE555"/>
      <c r="NF555"/>
      <c r="NG555"/>
      <c r="NH555"/>
      <c r="NI555"/>
      <c r="NJ555"/>
      <c r="NK555"/>
      <c r="NL555"/>
      <c r="NM555"/>
      <c r="NN555"/>
      <c r="NO555"/>
      <c r="NP555"/>
      <c r="NQ555"/>
      <c r="NR555"/>
      <c r="NS555"/>
      <c r="NT555"/>
      <c r="NU555"/>
      <c r="NV555"/>
      <c r="NW555"/>
      <c r="NX555"/>
      <c r="NY555"/>
      <c r="NZ555"/>
      <c r="OA555"/>
      <c r="OB555"/>
      <c r="OC555"/>
      <c r="OD555"/>
      <c r="OE555"/>
      <c r="OF555"/>
      <c r="OG555"/>
      <c r="OH555"/>
      <c r="OI555"/>
      <c r="OJ555"/>
      <c r="OK555"/>
      <c r="OL555"/>
      <c r="OM555"/>
      <c r="ON555"/>
      <c r="OO555"/>
      <c r="OP555"/>
      <c r="OQ555"/>
      <c r="OR555"/>
      <c r="OS555"/>
      <c r="OT555"/>
      <c r="OU555"/>
      <c r="OV555"/>
      <c r="OW555"/>
      <c r="OX555"/>
      <c r="OY555"/>
      <c r="OZ555"/>
      <c r="PA555"/>
      <c r="PB555"/>
      <c r="PC555"/>
      <c r="PD555"/>
      <c r="PE555"/>
      <c r="PF555"/>
      <c r="PG555"/>
      <c r="PH555"/>
      <c r="PI555"/>
      <c r="PJ555"/>
      <c r="PK555"/>
      <c r="PL555"/>
      <c r="PM555"/>
      <c r="PN555"/>
      <c r="PO555"/>
      <c r="PP555"/>
      <c r="PQ555"/>
      <c r="PR555"/>
      <c r="PS555"/>
      <c r="PT555"/>
      <c r="PU555"/>
      <c r="PV555"/>
      <c r="PW555"/>
      <c r="PX555"/>
      <c r="PY555"/>
      <c r="PZ555"/>
      <c r="QA555"/>
      <c r="QB555"/>
      <c r="QC555"/>
      <c r="QD555"/>
      <c r="QE555"/>
      <c r="QF555"/>
      <c r="QG555"/>
      <c r="QH555"/>
      <c r="QI555"/>
      <c r="QJ555"/>
      <c r="QK555"/>
      <c r="QL555"/>
      <c r="QM555"/>
      <c r="QN555"/>
      <c r="QO555"/>
      <c r="QP555"/>
      <c r="QQ555"/>
      <c r="QR555"/>
      <c r="QS555"/>
      <c r="QT555"/>
      <c r="QU555"/>
      <c r="QV555"/>
      <c r="QW555"/>
      <c r="QX555"/>
      <c r="QY555"/>
      <c r="QZ555"/>
      <c r="RA555"/>
      <c r="RB555"/>
      <c r="RC555"/>
      <c r="RD555"/>
      <c r="RE555"/>
      <c r="RF555"/>
      <c r="RG555"/>
      <c r="RH555"/>
      <c r="RI555"/>
      <c r="RJ555"/>
      <c r="RK555"/>
      <c r="RL555"/>
      <c r="RM555"/>
      <c r="RN555"/>
      <c r="RO555"/>
      <c r="RP555"/>
      <c r="RQ555"/>
      <c r="RR555"/>
      <c r="RS555"/>
      <c r="RT555"/>
      <c r="RU555"/>
      <c r="RV555"/>
      <c r="RW555"/>
      <c r="RX555"/>
      <c r="RY555"/>
      <c r="RZ555"/>
      <c r="SA555"/>
      <c r="SB555"/>
      <c r="SC555"/>
      <c r="SD555"/>
      <c r="SE555"/>
      <c r="SF555"/>
      <c r="SG555"/>
      <c r="SH555"/>
      <c r="SI555"/>
      <c r="SJ555"/>
      <c r="SK555"/>
      <c r="SL555"/>
      <c r="SM555"/>
      <c r="SN555"/>
      <c r="SO555"/>
      <c r="SP555"/>
      <c r="SQ555"/>
      <c r="SR555"/>
      <c r="SS555"/>
      <c r="ST555"/>
      <c r="SU555"/>
      <c r="SV555"/>
      <c r="SW555"/>
      <c r="SX555"/>
      <c r="SY555"/>
      <c r="SZ555"/>
      <c r="TA555"/>
      <c r="TB555"/>
      <c r="TC555"/>
      <c r="TD555"/>
      <c r="TE555"/>
      <c r="TF555"/>
      <c r="TG555"/>
      <c r="TH555"/>
    </row>
    <row r="556" spans="3:528" x14ac:dyDescent="0.25">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c r="KT556"/>
      <c r="KU556"/>
      <c r="KV556"/>
      <c r="KW556"/>
      <c r="KX556"/>
      <c r="KY556"/>
      <c r="KZ556"/>
      <c r="LA556"/>
      <c r="LB556"/>
      <c r="LC556"/>
      <c r="LD556"/>
      <c r="LE556"/>
      <c r="LF556"/>
      <c r="LG556"/>
      <c r="LH556"/>
      <c r="LI556"/>
      <c r="LJ556"/>
      <c r="LK556"/>
      <c r="LL556"/>
      <c r="LM556"/>
      <c r="LN556"/>
      <c r="LO556"/>
      <c r="LP556"/>
      <c r="LQ556"/>
      <c r="LR556"/>
      <c r="LS556"/>
      <c r="LT556"/>
      <c r="LU556"/>
      <c r="LV556"/>
      <c r="LW556"/>
      <c r="LX556"/>
      <c r="LY556"/>
      <c r="LZ556"/>
      <c r="MA556"/>
      <c r="MB556"/>
      <c r="MC556"/>
      <c r="MD556"/>
      <c r="ME556"/>
      <c r="MF556"/>
      <c r="MG556"/>
      <c r="MH556"/>
      <c r="MI556"/>
      <c r="MJ556"/>
      <c r="MK556"/>
      <c r="ML556"/>
      <c r="MM556"/>
      <c r="MN556"/>
      <c r="MO556"/>
      <c r="MP556"/>
      <c r="MQ556"/>
      <c r="MR556"/>
      <c r="MS556"/>
      <c r="MT556"/>
      <c r="MU556"/>
      <c r="MV556"/>
      <c r="MW556"/>
      <c r="MX556"/>
      <c r="MY556"/>
      <c r="MZ556"/>
      <c r="NA556"/>
      <c r="NB556"/>
      <c r="NC556"/>
      <c r="ND556"/>
      <c r="NE556"/>
      <c r="NF556"/>
      <c r="NG556"/>
      <c r="NH556"/>
      <c r="NI556"/>
      <c r="NJ556"/>
      <c r="NK556"/>
      <c r="NL556"/>
      <c r="NM556"/>
      <c r="NN556"/>
      <c r="NO556"/>
      <c r="NP556"/>
      <c r="NQ556"/>
      <c r="NR556"/>
      <c r="NS556"/>
      <c r="NT556"/>
      <c r="NU556"/>
      <c r="NV556"/>
      <c r="NW556"/>
      <c r="NX556"/>
      <c r="NY556"/>
      <c r="NZ556"/>
      <c r="OA556"/>
      <c r="OB556"/>
      <c r="OC556"/>
      <c r="OD556"/>
      <c r="OE556"/>
      <c r="OF556"/>
      <c r="OG556"/>
      <c r="OH556"/>
      <c r="OI556"/>
      <c r="OJ556"/>
      <c r="OK556"/>
      <c r="OL556"/>
      <c r="OM556"/>
      <c r="ON556"/>
      <c r="OO556"/>
      <c r="OP556"/>
      <c r="OQ556"/>
      <c r="OR556"/>
      <c r="OS556"/>
      <c r="OT556"/>
      <c r="OU556"/>
      <c r="OV556"/>
      <c r="OW556"/>
      <c r="OX556"/>
      <c r="OY556"/>
      <c r="OZ556"/>
      <c r="PA556"/>
      <c r="PB556"/>
      <c r="PC556"/>
      <c r="PD556"/>
      <c r="PE556"/>
      <c r="PF556"/>
      <c r="PG556"/>
      <c r="PH556"/>
      <c r="PI556"/>
      <c r="PJ556"/>
      <c r="PK556"/>
      <c r="PL556"/>
      <c r="PM556"/>
      <c r="PN556"/>
      <c r="PO556"/>
      <c r="PP556"/>
      <c r="PQ556"/>
      <c r="PR556"/>
      <c r="PS556"/>
      <c r="PT556"/>
      <c r="PU556"/>
      <c r="PV556"/>
      <c r="PW556"/>
      <c r="PX556"/>
      <c r="PY556"/>
      <c r="PZ556"/>
      <c r="QA556"/>
      <c r="QB556"/>
      <c r="QC556"/>
      <c r="QD556"/>
      <c r="QE556"/>
      <c r="QF556"/>
      <c r="QG556"/>
      <c r="QH556"/>
      <c r="QI556"/>
      <c r="QJ556"/>
      <c r="QK556"/>
      <c r="QL556"/>
      <c r="QM556"/>
      <c r="QN556"/>
      <c r="QO556"/>
      <c r="QP556"/>
      <c r="QQ556"/>
      <c r="QR556"/>
      <c r="QS556"/>
      <c r="QT556"/>
      <c r="QU556"/>
      <c r="QV556"/>
      <c r="QW556"/>
      <c r="QX556"/>
      <c r="QY556"/>
      <c r="QZ556"/>
      <c r="RA556"/>
      <c r="RB556"/>
      <c r="RC556"/>
      <c r="RD556"/>
      <c r="RE556"/>
      <c r="RF556"/>
      <c r="RG556"/>
      <c r="RH556"/>
      <c r="RI556"/>
      <c r="RJ556"/>
      <c r="RK556"/>
      <c r="RL556"/>
      <c r="RM556"/>
      <c r="RN556"/>
      <c r="RO556"/>
      <c r="RP556"/>
      <c r="RQ556"/>
      <c r="RR556"/>
      <c r="RS556"/>
      <c r="RT556"/>
      <c r="RU556"/>
      <c r="RV556"/>
      <c r="RW556"/>
      <c r="RX556"/>
      <c r="RY556"/>
      <c r="RZ556"/>
      <c r="SA556"/>
      <c r="SB556"/>
      <c r="SC556"/>
      <c r="SD556"/>
      <c r="SE556"/>
      <c r="SF556"/>
      <c r="SG556"/>
      <c r="SH556"/>
      <c r="SI556"/>
      <c r="SJ556"/>
      <c r="SK556"/>
      <c r="SL556"/>
      <c r="SM556"/>
      <c r="SN556"/>
      <c r="SO556"/>
      <c r="SP556"/>
      <c r="SQ556"/>
      <c r="SR556"/>
      <c r="SS556"/>
      <c r="ST556"/>
      <c r="SU556"/>
      <c r="SV556"/>
      <c r="SW556"/>
      <c r="SX556"/>
      <c r="SY556"/>
      <c r="SZ556"/>
      <c r="TA556"/>
      <c r="TB556"/>
      <c r="TC556"/>
      <c r="TD556"/>
      <c r="TE556"/>
      <c r="TF556"/>
      <c r="TG556"/>
      <c r="TH556"/>
    </row>
    <row r="557" spans="3:528" x14ac:dyDescent="0.25">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c r="KT557"/>
      <c r="KU557"/>
      <c r="KV557"/>
      <c r="KW557"/>
      <c r="KX557"/>
      <c r="KY557"/>
      <c r="KZ557"/>
      <c r="LA557"/>
      <c r="LB557"/>
      <c r="LC557"/>
      <c r="LD557"/>
      <c r="LE557"/>
      <c r="LF557"/>
      <c r="LG557"/>
      <c r="LH557"/>
      <c r="LI557"/>
      <c r="LJ557"/>
      <c r="LK557"/>
      <c r="LL557"/>
      <c r="LM557"/>
      <c r="LN557"/>
      <c r="LO557"/>
      <c r="LP557"/>
      <c r="LQ557"/>
      <c r="LR557"/>
      <c r="LS557"/>
      <c r="LT557"/>
      <c r="LU557"/>
      <c r="LV557"/>
      <c r="LW557"/>
      <c r="LX557"/>
      <c r="LY557"/>
      <c r="LZ557"/>
      <c r="MA557"/>
      <c r="MB557"/>
      <c r="MC557"/>
      <c r="MD557"/>
      <c r="ME557"/>
      <c r="MF557"/>
      <c r="MG557"/>
      <c r="MH557"/>
      <c r="MI557"/>
      <c r="MJ557"/>
      <c r="MK557"/>
      <c r="ML557"/>
      <c r="MM557"/>
      <c r="MN557"/>
      <c r="MO557"/>
      <c r="MP557"/>
      <c r="MQ557"/>
      <c r="MR557"/>
      <c r="MS557"/>
      <c r="MT557"/>
      <c r="MU557"/>
      <c r="MV557"/>
      <c r="MW557"/>
      <c r="MX557"/>
      <c r="MY557"/>
      <c r="MZ557"/>
      <c r="NA557"/>
      <c r="NB557"/>
      <c r="NC557"/>
      <c r="ND557"/>
      <c r="NE557"/>
      <c r="NF557"/>
      <c r="NG557"/>
      <c r="NH557"/>
      <c r="NI557"/>
      <c r="NJ557"/>
      <c r="NK557"/>
      <c r="NL557"/>
      <c r="NM557"/>
      <c r="NN557"/>
      <c r="NO557"/>
      <c r="NP557"/>
      <c r="NQ557"/>
      <c r="NR557"/>
      <c r="NS557"/>
      <c r="NT557"/>
      <c r="NU557"/>
      <c r="NV557"/>
      <c r="NW557"/>
      <c r="NX557"/>
      <c r="NY557"/>
      <c r="NZ557"/>
      <c r="OA557"/>
      <c r="OB557"/>
      <c r="OC557"/>
      <c r="OD557"/>
      <c r="OE557"/>
      <c r="OF557"/>
      <c r="OG557"/>
      <c r="OH557"/>
      <c r="OI557"/>
      <c r="OJ557"/>
      <c r="OK557"/>
      <c r="OL557"/>
      <c r="OM557"/>
      <c r="ON557"/>
      <c r="OO557"/>
      <c r="OP557"/>
      <c r="OQ557"/>
      <c r="OR557"/>
      <c r="OS557"/>
      <c r="OT557"/>
      <c r="OU557"/>
      <c r="OV557"/>
      <c r="OW557"/>
      <c r="OX557"/>
      <c r="OY557"/>
      <c r="OZ557"/>
      <c r="PA557"/>
      <c r="PB557"/>
      <c r="PC557"/>
      <c r="PD557"/>
      <c r="PE557"/>
      <c r="PF557"/>
      <c r="PG557"/>
      <c r="PH557"/>
      <c r="PI557"/>
      <c r="PJ557"/>
      <c r="PK557"/>
      <c r="PL557"/>
      <c r="PM557"/>
      <c r="PN557"/>
      <c r="PO557"/>
      <c r="PP557"/>
      <c r="PQ557"/>
      <c r="PR557"/>
      <c r="PS557"/>
      <c r="PT557"/>
      <c r="PU557"/>
      <c r="PV557"/>
      <c r="PW557"/>
      <c r="PX557"/>
      <c r="PY557"/>
      <c r="PZ557"/>
      <c r="QA557"/>
      <c r="QB557"/>
      <c r="QC557"/>
      <c r="QD557"/>
      <c r="QE557"/>
      <c r="QF557"/>
      <c r="QG557"/>
      <c r="QH557"/>
      <c r="QI557"/>
      <c r="QJ557"/>
      <c r="QK557"/>
      <c r="QL557"/>
      <c r="QM557"/>
      <c r="QN557"/>
      <c r="QO557"/>
      <c r="QP557"/>
      <c r="QQ557"/>
      <c r="QR557"/>
      <c r="QS557"/>
      <c r="QT557"/>
      <c r="QU557"/>
      <c r="QV557"/>
      <c r="QW557"/>
      <c r="QX557"/>
      <c r="QY557"/>
      <c r="QZ557"/>
      <c r="RA557"/>
      <c r="RB557"/>
      <c r="RC557"/>
      <c r="RD557"/>
      <c r="RE557"/>
      <c r="RF557"/>
      <c r="RG557"/>
      <c r="RH557"/>
      <c r="RI557"/>
      <c r="RJ557"/>
      <c r="RK557"/>
      <c r="RL557"/>
      <c r="RM557"/>
      <c r="RN557"/>
      <c r="RO557"/>
      <c r="RP557"/>
      <c r="RQ557"/>
      <c r="RR557"/>
      <c r="RS557"/>
      <c r="RT557"/>
      <c r="RU557"/>
      <c r="RV557"/>
      <c r="RW557"/>
      <c r="RX557"/>
      <c r="RY557"/>
      <c r="RZ557"/>
      <c r="SA557"/>
      <c r="SB557"/>
      <c r="SC557"/>
      <c r="SD557"/>
      <c r="SE557"/>
      <c r="SF557"/>
      <c r="SG557"/>
      <c r="SH557"/>
      <c r="SI557"/>
      <c r="SJ557"/>
      <c r="SK557"/>
      <c r="SL557"/>
      <c r="SM557"/>
      <c r="SN557"/>
      <c r="SO557"/>
      <c r="SP557"/>
      <c r="SQ557"/>
      <c r="SR557"/>
      <c r="SS557"/>
      <c r="ST557"/>
      <c r="SU557"/>
      <c r="SV557"/>
      <c r="SW557"/>
      <c r="SX557"/>
      <c r="SY557"/>
      <c r="SZ557"/>
      <c r="TA557"/>
      <c r="TB557"/>
      <c r="TC557"/>
      <c r="TD557"/>
      <c r="TE557"/>
      <c r="TF557"/>
      <c r="TG557"/>
      <c r="TH557"/>
    </row>
    <row r="558" spans="3:528" x14ac:dyDescent="0.25">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c r="KT558"/>
      <c r="KU558"/>
      <c r="KV558"/>
      <c r="KW558"/>
      <c r="KX558"/>
      <c r="KY558"/>
      <c r="KZ558"/>
      <c r="LA558"/>
      <c r="LB558"/>
      <c r="LC558"/>
      <c r="LD558"/>
      <c r="LE558"/>
      <c r="LF558"/>
      <c r="LG558"/>
      <c r="LH558"/>
      <c r="LI558"/>
      <c r="LJ558"/>
      <c r="LK558"/>
      <c r="LL558"/>
      <c r="LM558"/>
      <c r="LN558"/>
      <c r="LO558"/>
      <c r="LP558"/>
      <c r="LQ558"/>
      <c r="LR558"/>
      <c r="LS558"/>
      <c r="LT558"/>
      <c r="LU558"/>
      <c r="LV558"/>
      <c r="LW558"/>
      <c r="LX558"/>
      <c r="LY558"/>
      <c r="LZ558"/>
      <c r="MA558"/>
      <c r="MB558"/>
      <c r="MC558"/>
      <c r="MD558"/>
      <c r="ME558"/>
      <c r="MF558"/>
      <c r="MG558"/>
      <c r="MH558"/>
      <c r="MI558"/>
      <c r="MJ558"/>
      <c r="MK558"/>
      <c r="ML558"/>
      <c r="MM558"/>
      <c r="MN558"/>
      <c r="MO558"/>
      <c r="MP558"/>
      <c r="MQ558"/>
      <c r="MR558"/>
      <c r="MS558"/>
      <c r="MT558"/>
      <c r="MU558"/>
      <c r="MV558"/>
      <c r="MW558"/>
      <c r="MX558"/>
      <c r="MY558"/>
      <c r="MZ558"/>
      <c r="NA558"/>
      <c r="NB558"/>
      <c r="NC558"/>
      <c r="ND558"/>
      <c r="NE558"/>
      <c r="NF558"/>
      <c r="NG558"/>
      <c r="NH558"/>
      <c r="NI558"/>
      <c r="NJ558"/>
      <c r="NK558"/>
      <c r="NL558"/>
      <c r="NM558"/>
      <c r="NN558"/>
      <c r="NO558"/>
      <c r="NP558"/>
      <c r="NQ558"/>
      <c r="NR558"/>
      <c r="NS558"/>
      <c r="NT558"/>
      <c r="NU558"/>
      <c r="NV558"/>
      <c r="NW558"/>
      <c r="NX558"/>
      <c r="NY558"/>
      <c r="NZ558"/>
      <c r="OA558"/>
      <c r="OB558"/>
      <c r="OC558"/>
      <c r="OD558"/>
      <c r="OE558"/>
      <c r="OF558"/>
      <c r="OG558"/>
      <c r="OH558"/>
      <c r="OI558"/>
      <c r="OJ558"/>
      <c r="OK558"/>
      <c r="OL558"/>
      <c r="OM558"/>
      <c r="ON558"/>
      <c r="OO558"/>
      <c r="OP558"/>
      <c r="OQ558"/>
      <c r="OR558"/>
      <c r="OS558"/>
      <c r="OT558"/>
      <c r="OU558"/>
      <c r="OV558"/>
      <c r="OW558"/>
      <c r="OX558"/>
      <c r="OY558"/>
      <c r="OZ558"/>
      <c r="PA558"/>
      <c r="PB558"/>
      <c r="PC558"/>
      <c r="PD558"/>
      <c r="PE558"/>
      <c r="PF558"/>
      <c r="PG558"/>
      <c r="PH558"/>
      <c r="PI558"/>
      <c r="PJ558"/>
      <c r="PK558"/>
      <c r="PL558"/>
      <c r="PM558"/>
      <c r="PN558"/>
      <c r="PO558"/>
      <c r="PP558"/>
      <c r="PQ558"/>
      <c r="PR558"/>
      <c r="PS558"/>
      <c r="PT558"/>
      <c r="PU558"/>
      <c r="PV558"/>
      <c r="PW558"/>
      <c r="PX558"/>
      <c r="PY558"/>
      <c r="PZ558"/>
      <c r="QA558"/>
      <c r="QB558"/>
      <c r="QC558"/>
      <c r="QD558"/>
      <c r="QE558"/>
      <c r="QF558"/>
      <c r="QG558"/>
      <c r="QH558"/>
      <c r="QI558"/>
      <c r="QJ558"/>
      <c r="QK558"/>
      <c r="QL558"/>
      <c r="QM558"/>
      <c r="QN558"/>
      <c r="QO558"/>
      <c r="QP558"/>
      <c r="QQ558"/>
      <c r="QR558"/>
      <c r="QS558"/>
      <c r="QT558"/>
      <c r="QU558"/>
      <c r="QV558"/>
      <c r="QW558"/>
      <c r="QX558"/>
      <c r="QY558"/>
      <c r="QZ558"/>
      <c r="RA558"/>
      <c r="RB558"/>
      <c r="RC558"/>
      <c r="RD558"/>
      <c r="RE558"/>
      <c r="RF558"/>
      <c r="RG558"/>
      <c r="RH558"/>
      <c r="RI558"/>
      <c r="RJ558"/>
      <c r="RK558"/>
      <c r="RL558"/>
      <c r="RM558"/>
      <c r="RN558"/>
      <c r="RO558"/>
      <c r="RP558"/>
      <c r="RQ558"/>
      <c r="RR558"/>
      <c r="RS558"/>
      <c r="RT558"/>
      <c r="RU558"/>
      <c r="RV558"/>
      <c r="RW558"/>
      <c r="RX558"/>
      <c r="RY558"/>
      <c r="RZ558"/>
      <c r="SA558"/>
      <c r="SB558"/>
      <c r="SC558"/>
      <c r="SD558"/>
      <c r="SE558"/>
      <c r="SF558"/>
      <c r="SG558"/>
      <c r="SH558"/>
      <c r="SI558"/>
      <c r="SJ558"/>
      <c r="SK558"/>
      <c r="SL558"/>
      <c r="SM558"/>
      <c r="SN558"/>
      <c r="SO558"/>
      <c r="SP558"/>
      <c r="SQ558"/>
      <c r="SR558"/>
      <c r="SS558"/>
      <c r="ST558"/>
      <c r="SU558"/>
      <c r="SV558"/>
      <c r="SW558"/>
      <c r="SX558"/>
      <c r="SY558"/>
      <c r="SZ558"/>
      <c r="TA558"/>
      <c r="TB558"/>
      <c r="TC558"/>
      <c r="TD558"/>
      <c r="TE558"/>
      <c r="TF558"/>
      <c r="TG558"/>
      <c r="TH558"/>
    </row>
    <row r="559" spans="3:528" x14ac:dyDescent="0.25">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c r="KT559"/>
      <c r="KU559"/>
      <c r="KV559"/>
      <c r="KW559"/>
      <c r="KX559"/>
      <c r="KY559"/>
      <c r="KZ559"/>
      <c r="LA559"/>
      <c r="LB559"/>
      <c r="LC559"/>
      <c r="LD559"/>
      <c r="LE559"/>
      <c r="LF559"/>
      <c r="LG559"/>
      <c r="LH559"/>
      <c r="LI559"/>
      <c r="LJ559"/>
      <c r="LK559"/>
      <c r="LL559"/>
      <c r="LM559"/>
      <c r="LN559"/>
      <c r="LO559"/>
      <c r="LP559"/>
      <c r="LQ559"/>
      <c r="LR559"/>
      <c r="LS559"/>
      <c r="LT559"/>
      <c r="LU559"/>
      <c r="LV559"/>
      <c r="LW559"/>
      <c r="LX559"/>
      <c r="LY559"/>
      <c r="LZ559"/>
      <c r="MA559"/>
      <c r="MB559"/>
      <c r="MC559"/>
      <c r="MD559"/>
      <c r="ME559"/>
      <c r="MF559"/>
      <c r="MG559"/>
      <c r="MH559"/>
      <c r="MI559"/>
      <c r="MJ559"/>
      <c r="MK559"/>
      <c r="ML559"/>
      <c r="MM559"/>
      <c r="MN559"/>
      <c r="MO559"/>
      <c r="MP559"/>
      <c r="MQ559"/>
      <c r="MR559"/>
      <c r="MS559"/>
      <c r="MT559"/>
      <c r="MU559"/>
      <c r="MV559"/>
      <c r="MW559"/>
      <c r="MX559"/>
      <c r="MY559"/>
      <c r="MZ559"/>
      <c r="NA559"/>
      <c r="NB559"/>
      <c r="NC559"/>
      <c r="ND559"/>
      <c r="NE559"/>
      <c r="NF559"/>
      <c r="NG559"/>
      <c r="NH559"/>
      <c r="NI559"/>
      <c r="NJ559"/>
      <c r="NK559"/>
      <c r="NL559"/>
      <c r="NM559"/>
      <c r="NN559"/>
      <c r="NO559"/>
      <c r="NP559"/>
      <c r="NQ559"/>
      <c r="NR559"/>
      <c r="NS559"/>
      <c r="NT559"/>
      <c r="NU559"/>
      <c r="NV559"/>
      <c r="NW559"/>
      <c r="NX559"/>
      <c r="NY559"/>
      <c r="NZ559"/>
      <c r="OA559"/>
      <c r="OB559"/>
      <c r="OC559"/>
      <c r="OD559"/>
      <c r="OE559"/>
      <c r="OF559"/>
      <c r="OG559"/>
      <c r="OH559"/>
      <c r="OI559"/>
      <c r="OJ559"/>
      <c r="OK559"/>
      <c r="OL559"/>
      <c r="OM559"/>
      <c r="ON559"/>
      <c r="OO559"/>
      <c r="OP559"/>
      <c r="OQ559"/>
      <c r="OR559"/>
      <c r="OS559"/>
      <c r="OT559"/>
      <c r="OU559"/>
      <c r="OV559"/>
      <c r="OW559"/>
      <c r="OX559"/>
      <c r="OY559"/>
      <c r="OZ559"/>
      <c r="PA559"/>
      <c r="PB559"/>
      <c r="PC559"/>
      <c r="PD559"/>
      <c r="PE559"/>
      <c r="PF559"/>
      <c r="PG559"/>
      <c r="PH559"/>
      <c r="PI559"/>
      <c r="PJ559"/>
      <c r="PK559"/>
      <c r="PL559"/>
      <c r="PM559"/>
      <c r="PN559"/>
      <c r="PO559"/>
      <c r="PP559"/>
      <c r="PQ559"/>
      <c r="PR559"/>
      <c r="PS559"/>
      <c r="PT559"/>
      <c r="PU559"/>
      <c r="PV559"/>
      <c r="PW559"/>
      <c r="PX559"/>
      <c r="PY559"/>
      <c r="PZ559"/>
      <c r="QA559"/>
      <c r="QB559"/>
      <c r="QC559"/>
      <c r="QD559"/>
      <c r="QE559"/>
      <c r="QF559"/>
      <c r="QG559"/>
      <c r="QH559"/>
      <c r="QI559"/>
      <c r="QJ559"/>
      <c r="QK559"/>
      <c r="QL559"/>
      <c r="QM559"/>
      <c r="QN559"/>
      <c r="QO559"/>
      <c r="QP559"/>
      <c r="QQ559"/>
      <c r="QR559"/>
      <c r="QS559"/>
      <c r="QT559"/>
      <c r="QU559"/>
      <c r="QV559"/>
      <c r="QW559"/>
      <c r="QX559"/>
      <c r="QY559"/>
      <c r="QZ559"/>
      <c r="RA559"/>
      <c r="RB559"/>
      <c r="RC559"/>
      <c r="RD559"/>
      <c r="RE559"/>
      <c r="RF559"/>
      <c r="RG559"/>
      <c r="RH559"/>
      <c r="RI559"/>
      <c r="RJ559"/>
      <c r="RK559"/>
      <c r="RL559"/>
      <c r="RM559"/>
      <c r="RN559"/>
      <c r="RO559"/>
      <c r="RP559"/>
      <c r="RQ559"/>
      <c r="RR559"/>
      <c r="RS559"/>
      <c r="RT559"/>
      <c r="RU559"/>
      <c r="RV559"/>
      <c r="RW559"/>
      <c r="RX559"/>
      <c r="RY559"/>
      <c r="RZ559"/>
      <c r="SA559"/>
      <c r="SB559"/>
      <c r="SC559"/>
      <c r="SD559"/>
      <c r="SE559"/>
      <c r="SF559"/>
      <c r="SG559"/>
      <c r="SH559"/>
      <c r="SI559"/>
      <c r="SJ559"/>
      <c r="SK559"/>
      <c r="SL559"/>
      <c r="SM559"/>
      <c r="SN559"/>
      <c r="SO559"/>
      <c r="SP559"/>
      <c r="SQ559"/>
      <c r="SR559"/>
      <c r="SS559"/>
      <c r="ST559"/>
      <c r="SU559"/>
      <c r="SV559"/>
      <c r="SW559"/>
      <c r="SX559"/>
      <c r="SY559"/>
      <c r="SZ559"/>
      <c r="TA559"/>
      <c r="TB559"/>
      <c r="TC559"/>
      <c r="TD559"/>
      <c r="TE559"/>
      <c r="TF559"/>
      <c r="TG559"/>
      <c r="TH559"/>
    </row>
    <row r="560" spans="3:528" x14ac:dyDescent="0.25">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c r="KT560"/>
      <c r="KU560"/>
      <c r="KV560"/>
      <c r="KW560"/>
      <c r="KX560"/>
      <c r="KY560"/>
      <c r="KZ560"/>
      <c r="LA560"/>
      <c r="LB560"/>
      <c r="LC560"/>
      <c r="LD560"/>
      <c r="LE560"/>
      <c r="LF560"/>
      <c r="LG560"/>
      <c r="LH560"/>
      <c r="LI560"/>
      <c r="LJ560"/>
      <c r="LK560"/>
      <c r="LL560"/>
      <c r="LM560"/>
      <c r="LN560"/>
      <c r="LO560"/>
      <c r="LP560"/>
      <c r="LQ560"/>
      <c r="LR560"/>
      <c r="LS560"/>
      <c r="LT560"/>
      <c r="LU560"/>
      <c r="LV560"/>
      <c r="LW560"/>
      <c r="LX560"/>
      <c r="LY560"/>
      <c r="LZ560"/>
      <c r="MA560"/>
      <c r="MB560"/>
      <c r="MC560"/>
      <c r="MD560"/>
      <c r="ME560"/>
      <c r="MF560"/>
      <c r="MG560"/>
      <c r="MH560"/>
      <c r="MI560"/>
      <c r="MJ560"/>
      <c r="MK560"/>
      <c r="ML560"/>
      <c r="MM560"/>
      <c r="MN560"/>
      <c r="MO560"/>
      <c r="MP560"/>
      <c r="MQ560"/>
      <c r="MR560"/>
      <c r="MS560"/>
      <c r="MT560"/>
      <c r="MU560"/>
      <c r="MV560"/>
      <c r="MW560"/>
      <c r="MX560"/>
      <c r="MY560"/>
      <c r="MZ560"/>
      <c r="NA560"/>
      <c r="NB560"/>
      <c r="NC560"/>
      <c r="ND560"/>
      <c r="NE560"/>
      <c r="NF560"/>
      <c r="NG560"/>
      <c r="NH560"/>
      <c r="NI560"/>
      <c r="NJ560"/>
      <c r="NK560"/>
      <c r="NL560"/>
      <c r="NM560"/>
      <c r="NN560"/>
      <c r="NO560"/>
      <c r="NP560"/>
      <c r="NQ560"/>
      <c r="NR560"/>
      <c r="NS560"/>
      <c r="NT560"/>
      <c r="NU560"/>
      <c r="NV560"/>
      <c r="NW560"/>
      <c r="NX560"/>
      <c r="NY560"/>
      <c r="NZ560"/>
      <c r="OA560"/>
      <c r="OB560"/>
      <c r="OC560"/>
      <c r="OD560"/>
      <c r="OE560"/>
      <c r="OF560"/>
      <c r="OG560"/>
      <c r="OH560"/>
      <c r="OI560"/>
      <c r="OJ560"/>
      <c r="OK560"/>
      <c r="OL560"/>
      <c r="OM560"/>
      <c r="ON560"/>
      <c r="OO560"/>
      <c r="OP560"/>
      <c r="OQ560"/>
      <c r="OR560"/>
      <c r="OS560"/>
      <c r="OT560"/>
      <c r="OU560"/>
      <c r="OV560"/>
      <c r="OW560"/>
      <c r="OX560"/>
      <c r="OY560"/>
      <c r="OZ560"/>
      <c r="PA560"/>
      <c r="PB560"/>
      <c r="PC560"/>
      <c r="PD560"/>
      <c r="PE560"/>
      <c r="PF560"/>
      <c r="PG560"/>
      <c r="PH560"/>
      <c r="PI560"/>
      <c r="PJ560"/>
      <c r="PK560"/>
      <c r="PL560"/>
      <c r="PM560"/>
      <c r="PN560"/>
      <c r="PO560"/>
      <c r="PP560"/>
      <c r="PQ560"/>
      <c r="PR560"/>
      <c r="PS560"/>
      <c r="PT560"/>
      <c r="PU560"/>
      <c r="PV560"/>
      <c r="PW560"/>
      <c r="PX560"/>
      <c r="PY560"/>
      <c r="PZ560"/>
      <c r="QA560"/>
      <c r="QB560"/>
      <c r="QC560"/>
      <c r="QD560"/>
      <c r="QE560"/>
      <c r="QF560"/>
      <c r="QG560"/>
      <c r="QH560"/>
      <c r="QI560"/>
      <c r="QJ560"/>
      <c r="QK560"/>
      <c r="QL560"/>
      <c r="QM560"/>
      <c r="QN560"/>
      <c r="QO560"/>
      <c r="QP560"/>
      <c r="QQ560"/>
      <c r="QR560"/>
      <c r="QS560"/>
      <c r="QT560"/>
      <c r="QU560"/>
      <c r="QV560"/>
      <c r="QW560"/>
      <c r="QX560"/>
      <c r="QY560"/>
      <c r="QZ560"/>
      <c r="RA560"/>
      <c r="RB560"/>
      <c r="RC560"/>
      <c r="RD560"/>
      <c r="RE560"/>
      <c r="RF560"/>
      <c r="RG560"/>
      <c r="RH560"/>
      <c r="RI560"/>
      <c r="RJ560"/>
      <c r="RK560"/>
      <c r="RL560"/>
      <c r="RM560"/>
      <c r="RN560"/>
      <c r="RO560"/>
      <c r="RP560"/>
      <c r="RQ560"/>
      <c r="RR560"/>
      <c r="RS560"/>
      <c r="RT560"/>
      <c r="RU560"/>
      <c r="RV560"/>
      <c r="RW560"/>
      <c r="RX560"/>
      <c r="RY560"/>
      <c r="RZ560"/>
      <c r="SA560"/>
      <c r="SB560"/>
      <c r="SC560"/>
      <c r="SD560"/>
      <c r="SE560"/>
      <c r="SF560"/>
      <c r="SG560"/>
      <c r="SH560"/>
      <c r="SI560"/>
      <c r="SJ560"/>
      <c r="SK560"/>
      <c r="SL560"/>
      <c r="SM560"/>
      <c r="SN560"/>
      <c r="SO560"/>
      <c r="SP560"/>
      <c r="SQ560"/>
      <c r="SR560"/>
      <c r="SS560"/>
      <c r="ST560"/>
      <c r="SU560"/>
      <c r="SV560"/>
      <c r="SW560"/>
      <c r="SX560"/>
      <c r="SY560"/>
      <c r="SZ560"/>
      <c r="TA560"/>
      <c r="TB560"/>
      <c r="TC560"/>
      <c r="TD560"/>
      <c r="TE560"/>
      <c r="TF560"/>
      <c r="TG560"/>
      <c r="TH560"/>
    </row>
    <row r="561" spans="3:528" x14ac:dyDescent="0.25">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c r="KT561"/>
      <c r="KU561"/>
      <c r="KV561"/>
      <c r="KW561"/>
      <c r="KX561"/>
      <c r="KY561"/>
      <c r="KZ561"/>
      <c r="LA561"/>
      <c r="LB561"/>
      <c r="LC561"/>
      <c r="LD561"/>
      <c r="LE561"/>
      <c r="LF561"/>
      <c r="LG561"/>
      <c r="LH561"/>
      <c r="LI561"/>
      <c r="LJ561"/>
      <c r="LK561"/>
      <c r="LL561"/>
      <c r="LM561"/>
      <c r="LN561"/>
      <c r="LO561"/>
      <c r="LP561"/>
      <c r="LQ561"/>
      <c r="LR561"/>
      <c r="LS561"/>
      <c r="LT561"/>
      <c r="LU561"/>
      <c r="LV561"/>
      <c r="LW561"/>
      <c r="LX561"/>
      <c r="LY561"/>
      <c r="LZ561"/>
      <c r="MA561"/>
      <c r="MB561"/>
      <c r="MC561"/>
      <c r="MD561"/>
      <c r="ME561"/>
      <c r="MF561"/>
      <c r="MG561"/>
      <c r="MH561"/>
      <c r="MI561"/>
      <c r="MJ561"/>
      <c r="MK561"/>
      <c r="ML561"/>
      <c r="MM561"/>
      <c r="MN561"/>
      <c r="MO561"/>
      <c r="MP561"/>
      <c r="MQ561"/>
      <c r="MR561"/>
      <c r="MS561"/>
      <c r="MT561"/>
      <c r="MU561"/>
      <c r="MV561"/>
      <c r="MW561"/>
      <c r="MX561"/>
      <c r="MY561"/>
      <c r="MZ561"/>
      <c r="NA561"/>
      <c r="NB561"/>
      <c r="NC561"/>
      <c r="ND561"/>
      <c r="NE561"/>
      <c r="NF561"/>
      <c r="NG561"/>
      <c r="NH561"/>
      <c r="NI561"/>
      <c r="NJ561"/>
      <c r="NK561"/>
      <c r="NL561"/>
      <c r="NM561"/>
      <c r="NN561"/>
      <c r="NO561"/>
      <c r="NP561"/>
      <c r="NQ561"/>
      <c r="NR561"/>
      <c r="NS561"/>
      <c r="NT561"/>
      <c r="NU561"/>
      <c r="NV561"/>
      <c r="NW561"/>
      <c r="NX561"/>
      <c r="NY561"/>
      <c r="NZ561"/>
      <c r="OA561"/>
      <c r="OB561"/>
      <c r="OC561"/>
      <c r="OD561"/>
      <c r="OE561"/>
      <c r="OF561"/>
      <c r="OG561"/>
      <c r="OH561"/>
      <c r="OI561"/>
      <c r="OJ561"/>
      <c r="OK561"/>
      <c r="OL561"/>
      <c r="OM561"/>
      <c r="ON561"/>
      <c r="OO561"/>
      <c r="OP561"/>
      <c r="OQ561"/>
      <c r="OR561"/>
      <c r="OS561"/>
      <c r="OT561"/>
      <c r="OU561"/>
      <c r="OV561"/>
      <c r="OW561"/>
      <c r="OX561"/>
      <c r="OY561"/>
      <c r="OZ561"/>
      <c r="PA561"/>
      <c r="PB561"/>
      <c r="PC561"/>
      <c r="PD561"/>
      <c r="PE561"/>
      <c r="PF561"/>
      <c r="PG561"/>
      <c r="PH561"/>
      <c r="PI561"/>
      <c r="PJ561"/>
      <c r="PK561"/>
      <c r="PL561"/>
      <c r="PM561"/>
      <c r="PN561"/>
      <c r="PO561"/>
      <c r="PP561"/>
      <c r="PQ561"/>
      <c r="PR561"/>
      <c r="PS561"/>
      <c r="PT561"/>
      <c r="PU561"/>
      <c r="PV561"/>
      <c r="PW561"/>
      <c r="PX561"/>
      <c r="PY561"/>
      <c r="PZ561"/>
      <c r="QA561"/>
      <c r="QB561"/>
      <c r="QC561"/>
      <c r="QD561"/>
      <c r="QE561"/>
      <c r="QF561"/>
      <c r="QG561"/>
      <c r="QH561"/>
      <c r="QI561"/>
      <c r="QJ561"/>
      <c r="QK561"/>
      <c r="QL561"/>
      <c r="QM561"/>
      <c r="QN561"/>
      <c r="QO561"/>
      <c r="QP561"/>
      <c r="QQ561"/>
      <c r="QR561"/>
      <c r="QS561"/>
      <c r="QT561"/>
      <c r="QU561"/>
      <c r="QV561"/>
      <c r="QW561"/>
      <c r="QX561"/>
      <c r="QY561"/>
      <c r="QZ561"/>
      <c r="RA561"/>
      <c r="RB561"/>
      <c r="RC561"/>
      <c r="RD561"/>
      <c r="RE561"/>
      <c r="RF561"/>
      <c r="RG561"/>
      <c r="RH561"/>
      <c r="RI561"/>
      <c r="RJ561"/>
      <c r="RK561"/>
      <c r="RL561"/>
      <c r="RM561"/>
      <c r="RN561"/>
      <c r="RO561"/>
      <c r="RP561"/>
      <c r="RQ561"/>
      <c r="RR561"/>
      <c r="RS561"/>
      <c r="RT561"/>
      <c r="RU561"/>
      <c r="RV561"/>
      <c r="RW561"/>
      <c r="RX561"/>
      <c r="RY561"/>
      <c r="RZ561"/>
      <c r="SA561"/>
      <c r="SB561"/>
      <c r="SC561"/>
      <c r="SD561"/>
      <c r="SE561"/>
      <c r="SF561"/>
      <c r="SG561"/>
      <c r="SH561"/>
      <c r="SI561"/>
      <c r="SJ561"/>
      <c r="SK561"/>
      <c r="SL561"/>
      <c r="SM561"/>
      <c r="SN561"/>
      <c r="SO561"/>
      <c r="SP561"/>
      <c r="SQ561"/>
      <c r="SR561"/>
      <c r="SS561"/>
      <c r="ST561"/>
      <c r="SU561"/>
      <c r="SV561"/>
      <c r="SW561"/>
      <c r="SX561"/>
      <c r="SY561"/>
      <c r="SZ561"/>
      <c r="TA561"/>
      <c r="TB561"/>
      <c r="TC561"/>
      <c r="TD561"/>
      <c r="TE561"/>
      <c r="TF561"/>
      <c r="TG561"/>
      <c r="TH561"/>
    </row>
    <row r="562" spans="3:528" x14ac:dyDescent="0.25">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c r="KT562"/>
      <c r="KU562"/>
      <c r="KV562"/>
      <c r="KW562"/>
      <c r="KX562"/>
      <c r="KY562"/>
      <c r="KZ562"/>
      <c r="LA562"/>
      <c r="LB562"/>
      <c r="LC562"/>
      <c r="LD562"/>
      <c r="LE562"/>
      <c r="LF562"/>
      <c r="LG562"/>
      <c r="LH562"/>
      <c r="LI562"/>
      <c r="LJ562"/>
      <c r="LK562"/>
      <c r="LL562"/>
      <c r="LM562"/>
      <c r="LN562"/>
      <c r="LO562"/>
      <c r="LP562"/>
      <c r="LQ562"/>
      <c r="LR562"/>
      <c r="LS562"/>
      <c r="LT562"/>
      <c r="LU562"/>
      <c r="LV562"/>
      <c r="LW562"/>
      <c r="LX562"/>
      <c r="LY562"/>
      <c r="LZ562"/>
      <c r="MA562"/>
      <c r="MB562"/>
      <c r="MC562"/>
      <c r="MD562"/>
      <c r="ME562"/>
      <c r="MF562"/>
      <c r="MG562"/>
      <c r="MH562"/>
      <c r="MI562"/>
      <c r="MJ562"/>
      <c r="MK562"/>
      <c r="ML562"/>
      <c r="MM562"/>
      <c r="MN562"/>
      <c r="MO562"/>
      <c r="MP562"/>
      <c r="MQ562"/>
      <c r="MR562"/>
      <c r="MS562"/>
      <c r="MT562"/>
      <c r="MU562"/>
      <c r="MV562"/>
      <c r="MW562"/>
      <c r="MX562"/>
      <c r="MY562"/>
      <c r="MZ562"/>
      <c r="NA562"/>
      <c r="NB562"/>
      <c r="NC562"/>
      <c r="ND562"/>
      <c r="NE562"/>
      <c r="NF562"/>
      <c r="NG562"/>
      <c r="NH562"/>
      <c r="NI562"/>
      <c r="NJ562"/>
      <c r="NK562"/>
      <c r="NL562"/>
      <c r="NM562"/>
      <c r="NN562"/>
      <c r="NO562"/>
      <c r="NP562"/>
      <c r="NQ562"/>
      <c r="NR562"/>
      <c r="NS562"/>
      <c r="NT562"/>
      <c r="NU562"/>
      <c r="NV562"/>
      <c r="NW562"/>
      <c r="NX562"/>
      <c r="NY562"/>
      <c r="NZ562"/>
      <c r="OA562"/>
      <c r="OB562"/>
      <c r="OC562"/>
      <c r="OD562"/>
      <c r="OE562"/>
      <c r="OF562"/>
      <c r="OG562"/>
      <c r="OH562"/>
      <c r="OI562"/>
      <c r="OJ562"/>
      <c r="OK562"/>
      <c r="OL562"/>
      <c r="OM562"/>
      <c r="ON562"/>
      <c r="OO562"/>
      <c r="OP562"/>
      <c r="OQ562"/>
      <c r="OR562"/>
      <c r="OS562"/>
      <c r="OT562"/>
      <c r="OU562"/>
      <c r="OV562"/>
      <c r="OW562"/>
      <c r="OX562"/>
      <c r="OY562"/>
      <c r="OZ562"/>
      <c r="PA562"/>
      <c r="PB562"/>
      <c r="PC562"/>
      <c r="PD562"/>
      <c r="PE562"/>
      <c r="PF562"/>
      <c r="PG562"/>
      <c r="PH562"/>
      <c r="PI562"/>
      <c r="PJ562"/>
      <c r="PK562"/>
      <c r="PL562"/>
      <c r="PM562"/>
      <c r="PN562"/>
      <c r="PO562"/>
      <c r="PP562"/>
      <c r="PQ562"/>
      <c r="PR562"/>
      <c r="PS562"/>
      <c r="PT562"/>
      <c r="PU562"/>
      <c r="PV562"/>
      <c r="PW562"/>
      <c r="PX562"/>
      <c r="PY562"/>
      <c r="PZ562"/>
      <c r="QA562"/>
      <c r="QB562"/>
      <c r="QC562"/>
      <c r="QD562"/>
      <c r="QE562"/>
      <c r="QF562"/>
      <c r="QG562"/>
      <c r="QH562"/>
      <c r="QI562"/>
      <c r="QJ562"/>
      <c r="QK562"/>
      <c r="QL562"/>
      <c r="QM562"/>
      <c r="QN562"/>
      <c r="QO562"/>
      <c r="QP562"/>
      <c r="QQ562"/>
      <c r="QR562"/>
      <c r="QS562"/>
      <c r="QT562"/>
      <c r="QU562"/>
      <c r="QV562"/>
      <c r="QW562"/>
      <c r="QX562"/>
      <c r="QY562"/>
      <c r="QZ562"/>
      <c r="RA562"/>
      <c r="RB562"/>
      <c r="RC562"/>
      <c r="RD562"/>
      <c r="RE562"/>
      <c r="RF562"/>
      <c r="RG562"/>
      <c r="RH562"/>
      <c r="RI562"/>
      <c r="RJ562"/>
      <c r="RK562"/>
      <c r="RL562"/>
      <c r="RM562"/>
      <c r="RN562"/>
      <c r="RO562"/>
      <c r="RP562"/>
      <c r="RQ562"/>
      <c r="RR562"/>
      <c r="RS562"/>
      <c r="RT562"/>
      <c r="RU562"/>
      <c r="RV562"/>
      <c r="RW562"/>
      <c r="RX562"/>
      <c r="RY562"/>
      <c r="RZ562"/>
      <c r="SA562"/>
      <c r="SB562"/>
      <c r="SC562"/>
      <c r="SD562"/>
      <c r="SE562"/>
      <c r="SF562"/>
      <c r="SG562"/>
      <c r="SH562"/>
      <c r="SI562"/>
      <c r="SJ562"/>
      <c r="SK562"/>
      <c r="SL562"/>
      <c r="SM562"/>
      <c r="SN562"/>
      <c r="SO562"/>
      <c r="SP562"/>
      <c r="SQ562"/>
      <c r="SR562"/>
      <c r="SS562"/>
      <c r="ST562"/>
      <c r="SU562"/>
      <c r="SV562"/>
      <c r="SW562"/>
      <c r="SX562"/>
      <c r="SY562"/>
      <c r="SZ562"/>
      <c r="TA562"/>
      <c r="TB562"/>
      <c r="TC562"/>
      <c r="TD562"/>
      <c r="TE562"/>
      <c r="TF562"/>
      <c r="TG562"/>
      <c r="TH562"/>
    </row>
    <row r="563" spans="3:528" x14ac:dyDescent="0.25">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c r="KT563"/>
      <c r="KU563"/>
      <c r="KV563"/>
      <c r="KW563"/>
      <c r="KX563"/>
      <c r="KY563"/>
      <c r="KZ563"/>
      <c r="LA563"/>
      <c r="LB563"/>
      <c r="LC563"/>
      <c r="LD563"/>
      <c r="LE563"/>
      <c r="LF563"/>
      <c r="LG563"/>
      <c r="LH563"/>
      <c r="LI563"/>
      <c r="LJ563"/>
      <c r="LK563"/>
      <c r="LL563"/>
      <c r="LM563"/>
      <c r="LN563"/>
      <c r="LO563"/>
      <c r="LP563"/>
      <c r="LQ563"/>
      <c r="LR563"/>
      <c r="LS563"/>
      <c r="LT563"/>
      <c r="LU563"/>
      <c r="LV563"/>
      <c r="LW563"/>
      <c r="LX563"/>
      <c r="LY563"/>
      <c r="LZ563"/>
      <c r="MA563"/>
      <c r="MB563"/>
      <c r="MC563"/>
      <c r="MD563"/>
      <c r="ME563"/>
      <c r="MF563"/>
      <c r="MG563"/>
      <c r="MH563"/>
      <c r="MI563"/>
      <c r="MJ563"/>
      <c r="MK563"/>
      <c r="ML563"/>
      <c r="MM563"/>
      <c r="MN563"/>
      <c r="MO563"/>
      <c r="MP563"/>
      <c r="MQ563"/>
      <c r="MR563"/>
      <c r="MS563"/>
      <c r="MT563"/>
      <c r="MU563"/>
      <c r="MV563"/>
      <c r="MW563"/>
      <c r="MX563"/>
      <c r="MY563"/>
      <c r="MZ563"/>
      <c r="NA563"/>
      <c r="NB563"/>
      <c r="NC563"/>
      <c r="ND563"/>
      <c r="NE563"/>
      <c r="NF563"/>
      <c r="NG563"/>
      <c r="NH563"/>
      <c r="NI563"/>
      <c r="NJ563"/>
      <c r="NK563"/>
      <c r="NL563"/>
      <c r="NM563"/>
      <c r="NN563"/>
      <c r="NO563"/>
      <c r="NP563"/>
      <c r="NQ563"/>
      <c r="NR563"/>
      <c r="NS563"/>
      <c r="NT563"/>
      <c r="NU563"/>
      <c r="NV563"/>
      <c r="NW563"/>
      <c r="NX563"/>
      <c r="NY563"/>
      <c r="NZ563"/>
      <c r="OA563"/>
      <c r="OB563"/>
      <c r="OC563"/>
      <c r="OD563"/>
      <c r="OE563"/>
      <c r="OF563"/>
      <c r="OG563"/>
      <c r="OH563"/>
      <c r="OI563"/>
      <c r="OJ563"/>
      <c r="OK563"/>
      <c r="OL563"/>
      <c r="OM563"/>
      <c r="ON563"/>
      <c r="OO563"/>
      <c r="OP563"/>
      <c r="OQ563"/>
      <c r="OR563"/>
      <c r="OS563"/>
      <c r="OT563"/>
      <c r="OU563"/>
      <c r="OV563"/>
      <c r="OW563"/>
      <c r="OX563"/>
      <c r="OY563"/>
      <c r="OZ563"/>
      <c r="PA563"/>
      <c r="PB563"/>
      <c r="PC563"/>
      <c r="PD563"/>
      <c r="PE563"/>
      <c r="PF563"/>
      <c r="PG563"/>
      <c r="PH563"/>
      <c r="PI563"/>
      <c r="PJ563"/>
      <c r="PK563"/>
      <c r="PL563"/>
      <c r="PM563"/>
      <c r="PN563"/>
      <c r="PO563"/>
      <c r="PP563"/>
      <c r="PQ563"/>
      <c r="PR563"/>
      <c r="PS563"/>
      <c r="PT563"/>
      <c r="PU563"/>
      <c r="PV563"/>
      <c r="PW563"/>
      <c r="PX563"/>
      <c r="PY563"/>
      <c r="PZ563"/>
      <c r="QA563"/>
      <c r="QB563"/>
      <c r="QC563"/>
      <c r="QD563"/>
      <c r="QE563"/>
      <c r="QF563"/>
      <c r="QG563"/>
      <c r="QH563"/>
      <c r="QI563"/>
      <c r="QJ563"/>
      <c r="QK563"/>
      <c r="QL563"/>
      <c r="QM563"/>
      <c r="QN563"/>
      <c r="QO563"/>
      <c r="QP563"/>
      <c r="QQ563"/>
      <c r="QR563"/>
      <c r="QS563"/>
      <c r="QT563"/>
      <c r="QU563"/>
      <c r="QV563"/>
      <c r="QW563"/>
      <c r="QX563"/>
      <c r="QY563"/>
      <c r="QZ563"/>
      <c r="RA563"/>
      <c r="RB563"/>
      <c r="RC563"/>
      <c r="RD563"/>
      <c r="RE563"/>
      <c r="RF563"/>
      <c r="RG563"/>
      <c r="RH563"/>
      <c r="RI563"/>
      <c r="RJ563"/>
      <c r="RK563"/>
      <c r="RL563"/>
      <c r="RM563"/>
      <c r="RN563"/>
      <c r="RO563"/>
      <c r="RP563"/>
      <c r="RQ563"/>
      <c r="RR563"/>
      <c r="RS563"/>
      <c r="RT563"/>
      <c r="RU563"/>
      <c r="RV563"/>
      <c r="RW563"/>
      <c r="RX563"/>
      <c r="RY563"/>
      <c r="RZ563"/>
      <c r="SA563"/>
      <c r="SB563"/>
      <c r="SC563"/>
      <c r="SD563"/>
      <c r="SE563"/>
      <c r="SF563"/>
      <c r="SG563"/>
      <c r="SH563"/>
      <c r="SI563"/>
      <c r="SJ563"/>
      <c r="SK563"/>
      <c r="SL563"/>
      <c r="SM563"/>
      <c r="SN563"/>
      <c r="SO563"/>
      <c r="SP563"/>
      <c r="SQ563"/>
      <c r="SR563"/>
      <c r="SS563"/>
      <c r="ST563"/>
      <c r="SU563"/>
      <c r="SV563"/>
      <c r="SW563"/>
      <c r="SX563"/>
      <c r="SY563"/>
      <c r="SZ563"/>
      <c r="TA563"/>
      <c r="TB563"/>
      <c r="TC563"/>
      <c r="TD563"/>
      <c r="TE563"/>
      <c r="TF563"/>
      <c r="TG563"/>
      <c r="TH563"/>
    </row>
    <row r="564" spans="3:528" x14ac:dyDescent="0.25">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c r="KT564"/>
      <c r="KU564"/>
      <c r="KV564"/>
      <c r="KW564"/>
      <c r="KX564"/>
      <c r="KY564"/>
      <c r="KZ564"/>
      <c r="LA564"/>
      <c r="LB564"/>
      <c r="LC564"/>
      <c r="LD564"/>
      <c r="LE564"/>
      <c r="LF564"/>
      <c r="LG564"/>
      <c r="LH564"/>
      <c r="LI564"/>
      <c r="LJ564"/>
      <c r="LK564"/>
      <c r="LL564"/>
      <c r="LM564"/>
      <c r="LN564"/>
      <c r="LO564"/>
      <c r="LP564"/>
      <c r="LQ564"/>
      <c r="LR564"/>
      <c r="LS564"/>
      <c r="LT564"/>
      <c r="LU564"/>
      <c r="LV564"/>
      <c r="LW564"/>
      <c r="LX564"/>
      <c r="LY564"/>
      <c r="LZ564"/>
      <c r="MA564"/>
      <c r="MB564"/>
      <c r="MC564"/>
      <c r="MD564"/>
      <c r="ME564"/>
      <c r="MF564"/>
      <c r="MG564"/>
      <c r="MH564"/>
      <c r="MI564"/>
      <c r="MJ564"/>
      <c r="MK564"/>
      <c r="ML564"/>
      <c r="MM564"/>
      <c r="MN564"/>
      <c r="MO564"/>
      <c r="MP564"/>
      <c r="MQ564"/>
      <c r="MR564"/>
      <c r="MS564"/>
      <c r="MT564"/>
      <c r="MU564"/>
      <c r="MV564"/>
      <c r="MW564"/>
      <c r="MX564"/>
      <c r="MY564"/>
      <c r="MZ564"/>
      <c r="NA564"/>
      <c r="NB564"/>
      <c r="NC564"/>
      <c r="ND564"/>
      <c r="NE564"/>
      <c r="NF564"/>
      <c r="NG564"/>
      <c r="NH564"/>
      <c r="NI564"/>
      <c r="NJ564"/>
      <c r="NK564"/>
      <c r="NL564"/>
      <c r="NM564"/>
      <c r="NN564"/>
      <c r="NO564"/>
      <c r="NP564"/>
      <c r="NQ564"/>
      <c r="NR564"/>
      <c r="NS564"/>
      <c r="NT564"/>
      <c r="NU564"/>
      <c r="NV564"/>
      <c r="NW564"/>
      <c r="NX564"/>
      <c r="NY564"/>
      <c r="NZ564"/>
      <c r="OA564"/>
      <c r="OB564"/>
      <c r="OC564"/>
      <c r="OD564"/>
      <c r="OE564"/>
      <c r="OF564"/>
      <c r="OG564"/>
      <c r="OH564"/>
      <c r="OI564"/>
      <c r="OJ564"/>
      <c r="OK564"/>
      <c r="OL564"/>
      <c r="OM564"/>
      <c r="ON564"/>
      <c r="OO564"/>
      <c r="OP564"/>
      <c r="OQ564"/>
      <c r="OR564"/>
      <c r="OS564"/>
      <c r="OT564"/>
      <c r="OU564"/>
      <c r="OV564"/>
      <c r="OW564"/>
      <c r="OX564"/>
      <c r="OY564"/>
      <c r="OZ564"/>
      <c r="PA564"/>
      <c r="PB564"/>
      <c r="PC564"/>
      <c r="PD564"/>
      <c r="PE564"/>
      <c r="PF564"/>
      <c r="PG564"/>
      <c r="PH564"/>
      <c r="PI564"/>
      <c r="PJ564"/>
      <c r="PK564"/>
      <c r="PL564"/>
      <c r="PM564"/>
      <c r="PN564"/>
      <c r="PO564"/>
      <c r="PP564"/>
      <c r="PQ564"/>
      <c r="PR564"/>
      <c r="PS564"/>
      <c r="PT564"/>
      <c r="PU564"/>
      <c r="PV564"/>
      <c r="PW564"/>
      <c r="PX564"/>
      <c r="PY564"/>
      <c r="PZ564"/>
      <c r="QA564"/>
      <c r="QB564"/>
      <c r="QC564"/>
      <c r="QD564"/>
      <c r="QE564"/>
      <c r="QF564"/>
      <c r="QG564"/>
      <c r="QH564"/>
      <c r="QI564"/>
      <c r="QJ564"/>
      <c r="QK564"/>
      <c r="QL564"/>
      <c r="QM564"/>
      <c r="QN564"/>
      <c r="QO564"/>
      <c r="QP564"/>
      <c r="QQ564"/>
      <c r="QR564"/>
      <c r="QS564"/>
      <c r="QT564"/>
      <c r="QU564"/>
      <c r="QV564"/>
      <c r="QW564"/>
      <c r="QX564"/>
      <c r="QY564"/>
      <c r="QZ564"/>
      <c r="RA564"/>
      <c r="RB564"/>
      <c r="RC564"/>
      <c r="RD564"/>
      <c r="RE564"/>
      <c r="RF564"/>
      <c r="RG564"/>
      <c r="RH564"/>
      <c r="RI564"/>
      <c r="RJ564"/>
      <c r="RK564"/>
      <c r="RL564"/>
      <c r="RM564"/>
      <c r="RN564"/>
      <c r="RO564"/>
      <c r="RP564"/>
      <c r="RQ564"/>
      <c r="RR564"/>
      <c r="RS564"/>
      <c r="RT564"/>
      <c r="RU564"/>
      <c r="RV564"/>
      <c r="RW564"/>
      <c r="RX564"/>
      <c r="RY564"/>
      <c r="RZ564"/>
      <c r="SA564"/>
      <c r="SB564"/>
      <c r="SC564"/>
      <c r="SD564"/>
      <c r="SE564"/>
      <c r="SF564"/>
      <c r="SG564"/>
      <c r="SH564"/>
      <c r="SI564"/>
      <c r="SJ564"/>
      <c r="SK564"/>
      <c r="SL564"/>
      <c r="SM564"/>
      <c r="SN564"/>
      <c r="SO564"/>
      <c r="SP564"/>
      <c r="SQ564"/>
      <c r="SR564"/>
      <c r="SS564"/>
      <c r="ST564"/>
      <c r="SU564"/>
      <c r="SV564"/>
      <c r="SW564"/>
      <c r="SX564"/>
      <c r="SY564"/>
      <c r="SZ564"/>
      <c r="TA564"/>
      <c r="TB564"/>
      <c r="TC564"/>
      <c r="TD564"/>
      <c r="TE564"/>
      <c r="TF564"/>
      <c r="TG564"/>
      <c r="TH564"/>
    </row>
    <row r="565" spans="3:528" x14ac:dyDescent="0.2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c r="KT565"/>
      <c r="KU565"/>
      <c r="KV565"/>
      <c r="KW565"/>
      <c r="KX565"/>
      <c r="KY565"/>
      <c r="KZ565"/>
      <c r="LA565"/>
      <c r="LB565"/>
      <c r="LC565"/>
      <c r="LD565"/>
      <c r="LE565"/>
      <c r="LF565"/>
      <c r="LG565"/>
      <c r="LH565"/>
      <c r="LI565"/>
      <c r="LJ565"/>
      <c r="LK565"/>
      <c r="LL565"/>
      <c r="LM565"/>
      <c r="LN565"/>
      <c r="LO565"/>
      <c r="LP565"/>
      <c r="LQ565"/>
      <c r="LR565"/>
      <c r="LS565"/>
      <c r="LT565"/>
      <c r="LU565"/>
      <c r="LV565"/>
      <c r="LW565"/>
      <c r="LX565"/>
      <c r="LY565"/>
      <c r="LZ565"/>
      <c r="MA565"/>
      <c r="MB565"/>
      <c r="MC565"/>
      <c r="MD565"/>
      <c r="ME565"/>
      <c r="MF565"/>
      <c r="MG565"/>
      <c r="MH565"/>
      <c r="MI565"/>
      <c r="MJ565"/>
      <c r="MK565"/>
      <c r="ML565"/>
      <c r="MM565"/>
      <c r="MN565"/>
      <c r="MO565"/>
      <c r="MP565"/>
      <c r="MQ565"/>
      <c r="MR565"/>
      <c r="MS565"/>
      <c r="MT565"/>
      <c r="MU565"/>
      <c r="MV565"/>
      <c r="MW565"/>
      <c r="MX565"/>
      <c r="MY565"/>
      <c r="MZ565"/>
      <c r="NA565"/>
      <c r="NB565"/>
      <c r="NC565"/>
      <c r="ND565"/>
      <c r="NE565"/>
      <c r="NF565"/>
      <c r="NG565"/>
      <c r="NH565"/>
      <c r="NI565"/>
      <c r="NJ565"/>
      <c r="NK565"/>
      <c r="NL565"/>
      <c r="NM565"/>
      <c r="NN565"/>
      <c r="NO565"/>
      <c r="NP565"/>
      <c r="NQ565"/>
      <c r="NR565"/>
      <c r="NS565"/>
      <c r="NT565"/>
      <c r="NU565"/>
      <c r="NV565"/>
      <c r="NW565"/>
      <c r="NX565"/>
      <c r="NY565"/>
      <c r="NZ565"/>
      <c r="OA565"/>
      <c r="OB565"/>
      <c r="OC565"/>
      <c r="OD565"/>
      <c r="OE565"/>
      <c r="OF565"/>
      <c r="OG565"/>
      <c r="OH565"/>
      <c r="OI565"/>
      <c r="OJ565"/>
      <c r="OK565"/>
      <c r="OL565"/>
      <c r="OM565"/>
      <c r="ON565"/>
      <c r="OO565"/>
      <c r="OP565"/>
      <c r="OQ565"/>
      <c r="OR565"/>
      <c r="OS565"/>
      <c r="OT565"/>
      <c r="OU565"/>
      <c r="OV565"/>
      <c r="OW565"/>
      <c r="OX565"/>
      <c r="OY565"/>
      <c r="OZ565"/>
      <c r="PA565"/>
      <c r="PB565"/>
      <c r="PC565"/>
      <c r="PD565"/>
      <c r="PE565"/>
      <c r="PF565"/>
      <c r="PG565"/>
      <c r="PH565"/>
      <c r="PI565"/>
      <c r="PJ565"/>
      <c r="PK565"/>
      <c r="PL565"/>
      <c r="PM565"/>
      <c r="PN565"/>
      <c r="PO565"/>
      <c r="PP565"/>
      <c r="PQ565"/>
      <c r="PR565"/>
      <c r="PS565"/>
      <c r="PT565"/>
      <c r="PU565"/>
      <c r="PV565"/>
      <c r="PW565"/>
      <c r="PX565"/>
      <c r="PY565"/>
      <c r="PZ565"/>
      <c r="QA565"/>
      <c r="QB565"/>
      <c r="QC565"/>
      <c r="QD565"/>
      <c r="QE565"/>
      <c r="QF565"/>
      <c r="QG565"/>
      <c r="QH565"/>
      <c r="QI565"/>
      <c r="QJ565"/>
      <c r="QK565"/>
      <c r="QL565"/>
      <c r="QM565"/>
      <c r="QN565"/>
      <c r="QO565"/>
      <c r="QP565"/>
      <c r="QQ565"/>
      <c r="QR565"/>
      <c r="QS565"/>
      <c r="QT565"/>
      <c r="QU565"/>
      <c r="QV565"/>
      <c r="QW565"/>
      <c r="QX565"/>
      <c r="QY565"/>
      <c r="QZ565"/>
      <c r="RA565"/>
      <c r="RB565"/>
      <c r="RC565"/>
      <c r="RD565"/>
      <c r="RE565"/>
      <c r="RF565"/>
      <c r="RG565"/>
      <c r="RH565"/>
      <c r="RI565"/>
      <c r="RJ565"/>
      <c r="RK565"/>
      <c r="RL565"/>
      <c r="RM565"/>
      <c r="RN565"/>
      <c r="RO565"/>
      <c r="RP565"/>
      <c r="RQ565"/>
      <c r="RR565"/>
      <c r="RS565"/>
      <c r="RT565"/>
      <c r="RU565"/>
      <c r="RV565"/>
      <c r="RW565"/>
      <c r="RX565"/>
      <c r="RY565"/>
      <c r="RZ565"/>
      <c r="SA565"/>
      <c r="SB565"/>
      <c r="SC565"/>
      <c r="SD565"/>
      <c r="SE565"/>
      <c r="SF565"/>
      <c r="SG565"/>
      <c r="SH565"/>
      <c r="SI565"/>
      <c r="SJ565"/>
      <c r="SK565"/>
      <c r="SL565"/>
      <c r="SM565"/>
      <c r="SN565"/>
      <c r="SO565"/>
      <c r="SP565"/>
      <c r="SQ565"/>
      <c r="SR565"/>
      <c r="SS565"/>
      <c r="ST565"/>
      <c r="SU565"/>
      <c r="SV565"/>
      <c r="SW565"/>
      <c r="SX565"/>
      <c r="SY565"/>
      <c r="SZ565"/>
      <c r="TA565"/>
      <c r="TB565"/>
      <c r="TC565"/>
      <c r="TD565"/>
      <c r="TE565"/>
      <c r="TF565"/>
      <c r="TG565"/>
      <c r="TH565"/>
    </row>
    <row r="566" spans="3:528" x14ac:dyDescent="0.25">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c r="KT566"/>
      <c r="KU566"/>
      <c r="KV566"/>
      <c r="KW566"/>
      <c r="KX566"/>
      <c r="KY566"/>
      <c r="KZ566"/>
      <c r="LA566"/>
      <c r="LB566"/>
      <c r="LC566"/>
      <c r="LD566"/>
      <c r="LE566"/>
      <c r="LF566"/>
      <c r="LG566"/>
      <c r="LH566"/>
      <c r="LI566"/>
      <c r="LJ566"/>
      <c r="LK566"/>
      <c r="LL566"/>
      <c r="LM566"/>
      <c r="LN566"/>
      <c r="LO566"/>
      <c r="LP566"/>
      <c r="LQ566"/>
      <c r="LR566"/>
      <c r="LS566"/>
      <c r="LT566"/>
      <c r="LU566"/>
      <c r="LV566"/>
      <c r="LW566"/>
      <c r="LX566"/>
      <c r="LY566"/>
      <c r="LZ566"/>
      <c r="MA566"/>
      <c r="MB566"/>
      <c r="MC566"/>
      <c r="MD566"/>
      <c r="ME566"/>
      <c r="MF566"/>
      <c r="MG566"/>
      <c r="MH566"/>
      <c r="MI566"/>
      <c r="MJ566"/>
      <c r="MK566"/>
      <c r="ML566"/>
      <c r="MM566"/>
      <c r="MN566"/>
      <c r="MO566"/>
      <c r="MP566"/>
      <c r="MQ566"/>
      <c r="MR566"/>
      <c r="MS566"/>
      <c r="MT566"/>
      <c r="MU566"/>
      <c r="MV566"/>
      <c r="MW566"/>
      <c r="MX566"/>
      <c r="MY566"/>
      <c r="MZ566"/>
      <c r="NA566"/>
      <c r="NB566"/>
      <c r="NC566"/>
      <c r="ND566"/>
      <c r="NE566"/>
      <c r="NF566"/>
      <c r="NG566"/>
      <c r="NH566"/>
      <c r="NI566"/>
      <c r="NJ566"/>
      <c r="NK566"/>
      <c r="NL566"/>
      <c r="NM566"/>
      <c r="NN566"/>
      <c r="NO566"/>
      <c r="NP566"/>
      <c r="NQ566"/>
      <c r="NR566"/>
      <c r="NS566"/>
      <c r="NT566"/>
      <c r="NU566"/>
      <c r="NV566"/>
      <c r="NW566"/>
      <c r="NX566"/>
      <c r="NY566"/>
      <c r="NZ566"/>
      <c r="OA566"/>
      <c r="OB566"/>
      <c r="OC566"/>
      <c r="OD566"/>
      <c r="OE566"/>
      <c r="OF566"/>
      <c r="OG566"/>
      <c r="OH566"/>
      <c r="OI566"/>
      <c r="OJ566"/>
      <c r="OK566"/>
      <c r="OL566"/>
      <c r="OM566"/>
      <c r="ON566"/>
      <c r="OO566"/>
      <c r="OP566"/>
      <c r="OQ566"/>
      <c r="OR566"/>
      <c r="OS566"/>
      <c r="OT566"/>
      <c r="OU566"/>
      <c r="OV566"/>
      <c r="OW566"/>
      <c r="OX566"/>
      <c r="OY566"/>
      <c r="OZ566"/>
      <c r="PA566"/>
      <c r="PB566"/>
      <c r="PC566"/>
      <c r="PD566"/>
      <c r="PE566"/>
      <c r="PF566"/>
      <c r="PG566"/>
      <c r="PH566"/>
      <c r="PI566"/>
      <c r="PJ566"/>
      <c r="PK566"/>
      <c r="PL566"/>
      <c r="PM566"/>
      <c r="PN566"/>
      <c r="PO566"/>
      <c r="PP566"/>
      <c r="PQ566"/>
      <c r="PR566"/>
      <c r="PS566"/>
      <c r="PT566"/>
      <c r="PU566"/>
      <c r="PV566"/>
      <c r="PW566"/>
      <c r="PX566"/>
      <c r="PY566"/>
      <c r="PZ566"/>
      <c r="QA566"/>
      <c r="QB566"/>
      <c r="QC566"/>
      <c r="QD566"/>
      <c r="QE566"/>
      <c r="QF566"/>
      <c r="QG566"/>
      <c r="QH566"/>
      <c r="QI566"/>
      <c r="QJ566"/>
      <c r="QK566"/>
      <c r="QL566"/>
      <c r="QM566"/>
      <c r="QN566"/>
      <c r="QO566"/>
      <c r="QP566"/>
      <c r="QQ566"/>
      <c r="QR566"/>
      <c r="QS566"/>
      <c r="QT566"/>
      <c r="QU566"/>
      <c r="QV566"/>
      <c r="QW566"/>
      <c r="QX566"/>
      <c r="QY566"/>
      <c r="QZ566"/>
      <c r="RA566"/>
      <c r="RB566"/>
      <c r="RC566"/>
      <c r="RD566"/>
      <c r="RE566"/>
      <c r="RF566"/>
      <c r="RG566"/>
      <c r="RH566"/>
      <c r="RI566"/>
      <c r="RJ566"/>
      <c r="RK566"/>
      <c r="RL566"/>
      <c r="RM566"/>
      <c r="RN566"/>
      <c r="RO566"/>
      <c r="RP566"/>
      <c r="RQ566"/>
      <c r="RR566"/>
      <c r="RS566"/>
      <c r="RT566"/>
      <c r="RU566"/>
      <c r="RV566"/>
      <c r="RW566"/>
      <c r="RX566"/>
      <c r="RY566"/>
      <c r="RZ566"/>
      <c r="SA566"/>
      <c r="SB566"/>
      <c r="SC566"/>
      <c r="SD566"/>
      <c r="SE566"/>
      <c r="SF566"/>
      <c r="SG566"/>
      <c r="SH566"/>
      <c r="SI566"/>
      <c r="SJ566"/>
      <c r="SK566"/>
      <c r="SL566"/>
      <c r="SM566"/>
      <c r="SN566"/>
      <c r="SO566"/>
      <c r="SP566"/>
      <c r="SQ566"/>
      <c r="SR566"/>
      <c r="SS566"/>
      <c r="ST566"/>
      <c r="SU566"/>
      <c r="SV566"/>
      <c r="SW566"/>
      <c r="SX566"/>
      <c r="SY566"/>
      <c r="SZ566"/>
      <c r="TA566"/>
      <c r="TB566"/>
      <c r="TC566"/>
      <c r="TD566"/>
      <c r="TE566"/>
      <c r="TF566"/>
      <c r="TG566"/>
      <c r="TH566"/>
    </row>
    <row r="567" spans="3:528" x14ac:dyDescent="0.25">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c r="KT567"/>
      <c r="KU567"/>
      <c r="KV567"/>
      <c r="KW567"/>
      <c r="KX567"/>
      <c r="KY567"/>
      <c r="KZ567"/>
      <c r="LA567"/>
      <c r="LB567"/>
      <c r="LC567"/>
      <c r="LD567"/>
      <c r="LE567"/>
      <c r="LF567"/>
      <c r="LG567"/>
      <c r="LH567"/>
      <c r="LI567"/>
      <c r="LJ567"/>
      <c r="LK567"/>
      <c r="LL567"/>
      <c r="LM567"/>
      <c r="LN567"/>
      <c r="LO567"/>
      <c r="LP567"/>
      <c r="LQ567"/>
      <c r="LR567"/>
      <c r="LS567"/>
      <c r="LT567"/>
      <c r="LU567"/>
      <c r="LV567"/>
      <c r="LW567"/>
      <c r="LX567"/>
      <c r="LY567"/>
      <c r="LZ567"/>
      <c r="MA567"/>
      <c r="MB567"/>
      <c r="MC567"/>
      <c r="MD567"/>
      <c r="ME567"/>
      <c r="MF567"/>
      <c r="MG567"/>
      <c r="MH567"/>
      <c r="MI567"/>
      <c r="MJ567"/>
      <c r="MK567"/>
      <c r="ML567"/>
      <c r="MM567"/>
      <c r="MN567"/>
      <c r="MO567"/>
      <c r="MP567"/>
      <c r="MQ567"/>
      <c r="MR567"/>
      <c r="MS567"/>
      <c r="MT567"/>
      <c r="MU567"/>
      <c r="MV567"/>
      <c r="MW567"/>
      <c r="MX567"/>
      <c r="MY567"/>
      <c r="MZ567"/>
      <c r="NA567"/>
      <c r="NB567"/>
      <c r="NC567"/>
      <c r="ND567"/>
      <c r="NE567"/>
      <c r="NF567"/>
      <c r="NG567"/>
      <c r="NH567"/>
      <c r="NI567"/>
      <c r="NJ567"/>
      <c r="NK567"/>
      <c r="NL567"/>
      <c r="NM567"/>
      <c r="NN567"/>
      <c r="NO567"/>
      <c r="NP567"/>
      <c r="NQ567"/>
      <c r="NR567"/>
      <c r="NS567"/>
      <c r="NT567"/>
      <c r="NU567"/>
      <c r="NV567"/>
      <c r="NW567"/>
      <c r="NX567"/>
      <c r="NY567"/>
      <c r="NZ567"/>
      <c r="OA567"/>
      <c r="OB567"/>
      <c r="OC567"/>
      <c r="OD567"/>
      <c r="OE567"/>
      <c r="OF567"/>
      <c r="OG567"/>
      <c r="OH567"/>
      <c r="OI567"/>
      <c r="OJ567"/>
      <c r="OK567"/>
      <c r="OL567"/>
      <c r="OM567"/>
      <c r="ON567"/>
      <c r="OO567"/>
      <c r="OP567"/>
      <c r="OQ567"/>
      <c r="OR567"/>
      <c r="OS567"/>
      <c r="OT567"/>
      <c r="OU567"/>
      <c r="OV567"/>
      <c r="OW567"/>
      <c r="OX567"/>
      <c r="OY567"/>
      <c r="OZ567"/>
      <c r="PA567"/>
      <c r="PB567"/>
      <c r="PC567"/>
      <c r="PD567"/>
      <c r="PE567"/>
      <c r="PF567"/>
      <c r="PG567"/>
      <c r="PH567"/>
      <c r="PI567"/>
      <c r="PJ567"/>
      <c r="PK567"/>
      <c r="PL567"/>
      <c r="PM567"/>
      <c r="PN567"/>
      <c r="PO567"/>
      <c r="PP567"/>
      <c r="PQ567"/>
      <c r="PR567"/>
      <c r="PS567"/>
      <c r="PT567"/>
      <c r="PU567"/>
      <c r="PV567"/>
      <c r="PW567"/>
      <c r="PX567"/>
      <c r="PY567"/>
      <c r="PZ567"/>
      <c r="QA567"/>
      <c r="QB567"/>
      <c r="QC567"/>
      <c r="QD567"/>
      <c r="QE567"/>
      <c r="QF567"/>
      <c r="QG567"/>
      <c r="QH567"/>
      <c r="QI567"/>
      <c r="QJ567"/>
      <c r="QK567"/>
      <c r="QL567"/>
      <c r="QM567"/>
      <c r="QN567"/>
      <c r="QO567"/>
      <c r="QP567"/>
      <c r="QQ567"/>
      <c r="QR567"/>
      <c r="QS567"/>
      <c r="QT567"/>
      <c r="QU567"/>
      <c r="QV567"/>
      <c r="QW567"/>
      <c r="QX567"/>
      <c r="QY567"/>
      <c r="QZ567"/>
      <c r="RA567"/>
      <c r="RB567"/>
      <c r="RC567"/>
      <c r="RD567"/>
      <c r="RE567"/>
      <c r="RF567"/>
      <c r="RG567"/>
      <c r="RH567"/>
      <c r="RI567"/>
      <c r="RJ567"/>
      <c r="RK567"/>
      <c r="RL567"/>
      <c r="RM567"/>
      <c r="RN567"/>
      <c r="RO567"/>
      <c r="RP567"/>
      <c r="RQ567"/>
      <c r="RR567"/>
      <c r="RS567"/>
      <c r="RT567"/>
      <c r="RU567"/>
      <c r="RV567"/>
      <c r="RW567"/>
      <c r="RX567"/>
      <c r="RY567"/>
      <c r="RZ567"/>
      <c r="SA567"/>
      <c r="SB567"/>
      <c r="SC567"/>
      <c r="SD567"/>
      <c r="SE567"/>
      <c r="SF567"/>
      <c r="SG567"/>
      <c r="SH567"/>
      <c r="SI567"/>
      <c r="SJ567"/>
      <c r="SK567"/>
      <c r="SL567"/>
      <c r="SM567"/>
      <c r="SN567"/>
      <c r="SO567"/>
      <c r="SP567"/>
      <c r="SQ567"/>
      <c r="SR567"/>
      <c r="SS567"/>
      <c r="ST567"/>
      <c r="SU567"/>
      <c r="SV567"/>
      <c r="SW567"/>
      <c r="SX567"/>
      <c r="SY567"/>
      <c r="SZ567"/>
      <c r="TA567"/>
      <c r="TB567"/>
      <c r="TC567"/>
      <c r="TD567"/>
      <c r="TE567"/>
      <c r="TF567"/>
      <c r="TG567"/>
      <c r="TH567"/>
    </row>
    <row r="568" spans="3:528" x14ac:dyDescent="0.25">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c r="KT568"/>
      <c r="KU568"/>
      <c r="KV568"/>
      <c r="KW568"/>
      <c r="KX568"/>
      <c r="KY568"/>
      <c r="KZ568"/>
      <c r="LA568"/>
      <c r="LB568"/>
      <c r="LC568"/>
      <c r="LD568"/>
      <c r="LE568"/>
      <c r="LF568"/>
      <c r="LG568"/>
      <c r="LH568"/>
      <c r="LI568"/>
      <c r="LJ568"/>
      <c r="LK568"/>
      <c r="LL568"/>
      <c r="LM568"/>
      <c r="LN568"/>
      <c r="LO568"/>
      <c r="LP568"/>
      <c r="LQ568"/>
      <c r="LR568"/>
      <c r="LS568"/>
      <c r="LT568"/>
      <c r="LU568"/>
      <c r="LV568"/>
      <c r="LW568"/>
      <c r="LX568"/>
      <c r="LY568"/>
      <c r="LZ568"/>
      <c r="MA568"/>
      <c r="MB568"/>
      <c r="MC568"/>
      <c r="MD568"/>
      <c r="ME568"/>
      <c r="MF568"/>
      <c r="MG568"/>
      <c r="MH568"/>
      <c r="MI568"/>
      <c r="MJ568"/>
      <c r="MK568"/>
      <c r="ML568"/>
      <c r="MM568"/>
      <c r="MN568"/>
      <c r="MO568"/>
      <c r="MP568"/>
      <c r="MQ568"/>
      <c r="MR568"/>
      <c r="MS568"/>
      <c r="MT568"/>
      <c r="MU568"/>
      <c r="MV568"/>
      <c r="MW568"/>
      <c r="MX568"/>
      <c r="MY568"/>
      <c r="MZ568"/>
      <c r="NA568"/>
      <c r="NB568"/>
      <c r="NC568"/>
      <c r="ND568"/>
      <c r="NE568"/>
      <c r="NF568"/>
      <c r="NG568"/>
      <c r="NH568"/>
      <c r="NI568"/>
      <c r="NJ568"/>
      <c r="NK568"/>
      <c r="NL568"/>
      <c r="NM568"/>
      <c r="NN568"/>
      <c r="NO568"/>
      <c r="NP568"/>
      <c r="NQ568"/>
      <c r="NR568"/>
      <c r="NS568"/>
      <c r="NT568"/>
      <c r="NU568"/>
      <c r="NV568"/>
      <c r="NW568"/>
      <c r="NX568"/>
      <c r="NY568"/>
      <c r="NZ568"/>
      <c r="OA568"/>
      <c r="OB568"/>
      <c r="OC568"/>
      <c r="OD568"/>
      <c r="OE568"/>
      <c r="OF568"/>
      <c r="OG568"/>
      <c r="OH568"/>
      <c r="OI568"/>
      <c r="OJ568"/>
      <c r="OK568"/>
      <c r="OL568"/>
      <c r="OM568"/>
      <c r="ON568"/>
      <c r="OO568"/>
      <c r="OP568"/>
      <c r="OQ568"/>
      <c r="OR568"/>
      <c r="OS568"/>
      <c r="OT568"/>
      <c r="OU568"/>
      <c r="OV568"/>
      <c r="OW568"/>
      <c r="OX568"/>
      <c r="OY568"/>
      <c r="OZ568"/>
      <c r="PA568"/>
      <c r="PB568"/>
      <c r="PC568"/>
      <c r="PD568"/>
      <c r="PE568"/>
      <c r="PF568"/>
      <c r="PG568"/>
      <c r="PH568"/>
      <c r="PI568"/>
      <c r="PJ568"/>
      <c r="PK568"/>
      <c r="PL568"/>
      <c r="PM568"/>
      <c r="PN568"/>
      <c r="PO568"/>
      <c r="PP568"/>
      <c r="PQ568"/>
      <c r="PR568"/>
      <c r="PS568"/>
      <c r="PT568"/>
      <c r="PU568"/>
      <c r="PV568"/>
      <c r="PW568"/>
      <c r="PX568"/>
      <c r="PY568"/>
      <c r="PZ568"/>
      <c r="QA568"/>
      <c r="QB568"/>
      <c r="QC568"/>
      <c r="QD568"/>
      <c r="QE568"/>
      <c r="QF568"/>
      <c r="QG568"/>
      <c r="QH568"/>
      <c r="QI568"/>
      <c r="QJ568"/>
      <c r="QK568"/>
      <c r="QL568"/>
      <c r="QM568"/>
      <c r="QN568"/>
      <c r="QO568"/>
      <c r="QP568"/>
      <c r="QQ568"/>
      <c r="QR568"/>
      <c r="QS568"/>
      <c r="QT568"/>
      <c r="QU568"/>
      <c r="QV568"/>
      <c r="QW568"/>
      <c r="QX568"/>
      <c r="QY568"/>
      <c r="QZ568"/>
      <c r="RA568"/>
      <c r="RB568"/>
      <c r="RC568"/>
      <c r="RD568"/>
      <c r="RE568"/>
      <c r="RF568"/>
      <c r="RG568"/>
      <c r="RH568"/>
      <c r="RI568"/>
      <c r="RJ568"/>
      <c r="RK568"/>
      <c r="RL568"/>
      <c r="RM568"/>
      <c r="RN568"/>
      <c r="RO568"/>
      <c r="RP568"/>
      <c r="RQ568"/>
      <c r="RR568"/>
      <c r="RS568"/>
      <c r="RT568"/>
      <c r="RU568"/>
      <c r="RV568"/>
      <c r="RW568"/>
      <c r="RX568"/>
      <c r="RY568"/>
      <c r="RZ568"/>
      <c r="SA568"/>
      <c r="SB568"/>
      <c r="SC568"/>
      <c r="SD568"/>
      <c r="SE568"/>
      <c r="SF568"/>
      <c r="SG568"/>
      <c r="SH568"/>
      <c r="SI568"/>
      <c r="SJ568"/>
      <c r="SK568"/>
      <c r="SL568"/>
      <c r="SM568"/>
      <c r="SN568"/>
      <c r="SO568"/>
      <c r="SP568"/>
      <c r="SQ568"/>
      <c r="SR568"/>
      <c r="SS568"/>
      <c r="ST568"/>
      <c r="SU568"/>
      <c r="SV568"/>
      <c r="SW568"/>
      <c r="SX568"/>
      <c r="SY568"/>
      <c r="SZ568"/>
      <c r="TA568"/>
      <c r="TB568"/>
      <c r="TC568"/>
      <c r="TD568"/>
      <c r="TE568"/>
      <c r="TF568"/>
      <c r="TG568"/>
      <c r="TH568"/>
    </row>
    <row r="569" spans="3:528" x14ac:dyDescent="0.25">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c r="KT569"/>
      <c r="KU569"/>
      <c r="KV569"/>
      <c r="KW569"/>
      <c r="KX569"/>
      <c r="KY569"/>
      <c r="KZ569"/>
      <c r="LA569"/>
      <c r="LB569"/>
      <c r="LC569"/>
      <c r="LD569"/>
      <c r="LE569"/>
      <c r="LF569"/>
      <c r="LG569"/>
      <c r="LH569"/>
      <c r="LI569"/>
      <c r="LJ569"/>
      <c r="LK569"/>
      <c r="LL569"/>
      <c r="LM569"/>
      <c r="LN569"/>
      <c r="LO569"/>
      <c r="LP569"/>
      <c r="LQ569"/>
      <c r="LR569"/>
      <c r="LS569"/>
      <c r="LT569"/>
      <c r="LU569"/>
      <c r="LV569"/>
      <c r="LW569"/>
      <c r="LX569"/>
      <c r="LY569"/>
      <c r="LZ569"/>
      <c r="MA569"/>
      <c r="MB569"/>
      <c r="MC569"/>
      <c r="MD569"/>
      <c r="ME569"/>
      <c r="MF569"/>
      <c r="MG569"/>
      <c r="MH569"/>
      <c r="MI569"/>
      <c r="MJ569"/>
      <c r="MK569"/>
      <c r="ML569"/>
      <c r="MM569"/>
      <c r="MN569"/>
      <c r="MO569"/>
      <c r="MP569"/>
      <c r="MQ569"/>
      <c r="MR569"/>
      <c r="MS569"/>
      <c r="MT569"/>
      <c r="MU569"/>
      <c r="MV569"/>
      <c r="MW569"/>
      <c r="MX569"/>
      <c r="MY569"/>
      <c r="MZ569"/>
      <c r="NA569"/>
      <c r="NB569"/>
      <c r="NC569"/>
      <c r="ND569"/>
      <c r="NE569"/>
      <c r="NF569"/>
      <c r="NG569"/>
      <c r="NH569"/>
      <c r="NI569"/>
      <c r="NJ569"/>
      <c r="NK569"/>
      <c r="NL569"/>
      <c r="NM569"/>
      <c r="NN569"/>
      <c r="NO569"/>
      <c r="NP569"/>
      <c r="NQ569"/>
      <c r="NR569"/>
      <c r="NS569"/>
      <c r="NT569"/>
      <c r="NU569"/>
      <c r="NV569"/>
      <c r="NW569"/>
      <c r="NX569"/>
      <c r="NY569"/>
      <c r="NZ569"/>
      <c r="OA569"/>
      <c r="OB569"/>
      <c r="OC569"/>
      <c r="OD569"/>
      <c r="OE569"/>
      <c r="OF569"/>
      <c r="OG569"/>
      <c r="OH569"/>
      <c r="OI569"/>
      <c r="OJ569"/>
      <c r="OK569"/>
      <c r="OL569"/>
      <c r="OM569"/>
      <c r="ON569"/>
      <c r="OO569"/>
      <c r="OP569"/>
      <c r="OQ569"/>
      <c r="OR569"/>
      <c r="OS569"/>
      <c r="OT569"/>
      <c r="OU569"/>
      <c r="OV569"/>
      <c r="OW569"/>
      <c r="OX569"/>
      <c r="OY569"/>
      <c r="OZ569"/>
      <c r="PA569"/>
      <c r="PB569"/>
      <c r="PC569"/>
      <c r="PD569"/>
      <c r="PE569"/>
      <c r="PF569"/>
      <c r="PG569"/>
      <c r="PH569"/>
      <c r="PI569"/>
      <c r="PJ569"/>
      <c r="PK569"/>
      <c r="PL569"/>
      <c r="PM569"/>
      <c r="PN569"/>
      <c r="PO569"/>
      <c r="PP569"/>
      <c r="PQ569"/>
      <c r="PR569"/>
      <c r="PS569"/>
      <c r="PT569"/>
      <c r="PU569"/>
      <c r="PV569"/>
      <c r="PW569"/>
      <c r="PX569"/>
      <c r="PY569"/>
      <c r="PZ569"/>
      <c r="QA569"/>
      <c r="QB569"/>
      <c r="QC569"/>
      <c r="QD569"/>
      <c r="QE569"/>
      <c r="QF569"/>
      <c r="QG569"/>
      <c r="QH569"/>
      <c r="QI569"/>
      <c r="QJ569"/>
      <c r="QK569"/>
      <c r="QL569"/>
      <c r="QM569"/>
      <c r="QN569"/>
      <c r="QO569"/>
      <c r="QP569"/>
      <c r="QQ569"/>
      <c r="QR569"/>
      <c r="QS569"/>
      <c r="QT569"/>
      <c r="QU569"/>
      <c r="QV569"/>
      <c r="QW569"/>
      <c r="QX569"/>
      <c r="QY569"/>
      <c r="QZ569"/>
      <c r="RA569"/>
      <c r="RB569"/>
      <c r="RC569"/>
      <c r="RD569"/>
      <c r="RE569"/>
      <c r="RF569"/>
      <c r="RG569"/>
      <c r="RH569"/>
      <c r="RI569"/>
      <c r="RJ569"/>
      <c r="RK569"/>
      <c r="RL569"/>
      <c r="RM569"/>
      <c r="RN569"/>
      <c r="RO569"/>
      <c r="RP569"/>
      <c r="RQ569"/>
      <c r="RR569"/>
      <c r="RS569"/>
      <c r="RT569"/>
      <c r="RU569"/>
      <c r="RV569"/>
      <c r="RW569"/>
      <c r="RX569"/>
      <c r="RY569"/>
      <c r="RZ569"/>
      <c r="SA569"/>
      <c r="SB569"/>
      <c r="SC569"/>
      <c r="SD569"/>
      <c r="SE569"/>
      <c r="SF569"/>
      <c r="SG569"/>
      <c r="SH569"/>
      <c r="SI569"/>
      <c r="SJ569"/>
      <c r="SK569"/>
      <c r="SL569"/>
      <c r="SM569"/>
      <c r="SN569"/>
      <c r="SO569"/>
      <c r="SP569"/>
      <c r="SQ569"/>
      <c r="SR569"/>
      <c r="SS569"/>
      <c r="ST569"/>
      <c r="SU569"/>
      <c r="SV569"/>
      <c r="SW569"/>
      <c r="SX569"/>
      <c r="SY569"/>
      <c r="SZ569"/>
      <c r="TA569"/>
      <c r="TB569"/>
      <c r="TC569"/>
      <c r="TD569"/>
      <c r="TE569"/>
      <c r="TF569"/>
      <c r="TG569"/>
      <c r="TH569"/>
    </row>
    <row r="570" spans="3:528" x14ac:dyDescent="0.25">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c r="KT570"/>
      <c r="KU570"/>
      <c r="KV570"/>
      <c r="KW570"/>
      <c r="KX570"/>
      <c r="KY570"/>
      <c r="KZ570"/>
      <c r="LA570"/>
      <c r="LB570"/>
      <c r="LC570"/>
      <c r="LD570"/>
      <c r="LE570"/>
      <c r="LF570"/>
      <c r="LG570"/>
      <c r="LH570"/>
      <c r="LI570"/>
      <c r="LJ570"/>
      <c r="LK570"/>
      <c r="LL570"/>
      <c r="LM570"/>
      <c r="LN570"/>
      <c r="LO570"/>
      <c r="LP570"/>
      <c r="LQ570"/>
      <c r="LR570"/>
      <c r="LS570"/>
      <c r="LT570"/>
      <c r="LU570"/>
      <c r="LV570"/>
      <c r="LW570"/>
      <c r="LX570"/>
      <c r="LY570"/>
      <c r="LZ570"/>
      <c r="MA570"/>
      <c r="MB570"/>
      <c r="MC570"/>
      <c r="MD570"/>
      <c r="ME570"/>
      <c r="MF570"/>
      <c r="MG570"/>
      <c r="MH570"/>
      <c r="MI570"/>
      <c r="MJ570"/>
      <c r="MK570"/>
      <c r="ML570"/>
      <c r="MM570"/>
      <c r="MN570"/>
      <c r="MO570"/>
      <c r="MP570"/>
      <c r="MQ570"/>
      <c r="MR570"/>
      <c r="MS570"/>
      <c r="MT570"/>
      <c r="MU570"/>
      <c r="MV570"/>
      <c r="MW570"/>
      <c r="MX570"/>
      <c r="MY570"/>
      <c r="MZ570"/>
      <c r="NA570"/>
      <c r="NB570"/>
      <c r="NC570"/>
      <c r="ND570"/>
      <c r="NE570"/>
      <c r="NF570"/>
      <c r="NG570"/>
      <c r="NH570"/>
      <c r="NI570"/>
      <c r="NJ570"/>
      <c r="NK570"/>
      <c r="NL570"/>
      <c r="NM570"/>
      <c r="NN570"/>
      <c r="NO570"/>
      <c r="NP570"/>
      <c r="NQ570"/>
      <c r="NR570"/>
      <c r="NS570"/>
      <c r="NT570"/>
      <c r="NU570"/>
      <c r="NV570"/>
      <c r="NW570"/>
      <c r="NX570"/>
      <c r="NY570"/>
      <c r="NZ570"/>
      <c r="OA570"/>
      <c r="OB570"/>
      <c r="OC570"/>
      <c r="OD570"/>
      <c r="OE570"/>
      <c r="OF570"/>
      <c r="OG570"/>
      <c r="OH570"/>
      <c r="OI570"/>
      <c r="OJ570"/>
      <c r="OK570"/>
      <c r="OL570"/>
      <c r="OM570"/>
      <c r="ON570"/>
      <c r="OO570"/>
      <c r="OP570"/>
      <c r="OQ570"/>
      <c r="OR570"/>
      <c r="OS570"/>
      <c r="OT570"/>
      <c r="OU570"/>
      <c r="OV570"/>
      <c r="OW570"/>
      <c r="OX570"/>
      <c r="OY570"/>
      <c r="OZ570"/>
      <c r="PA570"/>
      <c r="PB570"/>
      <c r="PC570"/>
      <c r="PD570"/>
      <c r="PE570"/>
      <c r="PF570"/>
      <c r="PG570"/>
      <c r="PH570"/>
      <c r="PI570"/>
      <c r="PJ570"/>
      <c r="PK570"/>
      <c r="PL570"/>
      <c r="PM570"/>
      <c r="PN570"/>
      <c r="PO570"/>
      <c r="PP570"/>
      <c r="PQ570"/>
      <c r="PR570"/>
      <c r="PS570"/>
      <c r="PT570"/>
      <c r="PU570"/>
      <c r="PV570"/>
      <c r="PW570"/>
      <c r="PX570"/>
      <c r="PY570"/>
      <c r="PZ570"/>
      <c r="QA570"/>
      <c r="QB570"/>
      <c r="QC570"/>
      <c r="QD570"/>
      <c r="QE570"/>
      <c r="QF570"/>
      <c r="QG570"/>
      <c r="QH570"/>
      <c r="QI570"/>
      <c r="QJ570"/>
      <c r="QK570"/>
      <c r="QL570"/>
      <c r="QM570"/>
      <c r="QN570"/>
      <c r="QO570"/>
      <c r="QP570"/>
      <c r="QQ570"/>
      <c r="QR570"/>
      <c r="QS570"/>
      <c r="QT570"/>
      <c r="QU570"/>
      <c r="QV570"/>
      <c r="QW570"/>
      <c r="QX570"/>
      <c r="QY570"/>
      <c r="QZ570"/>
      <c r="RA570"/>
      <c r="RB570"/>
      <c r="RC570"/>
      <c r="RD570"/>
      <c r="RE570"/>
      <c r="RF570"/>
      <c r="RG570"/>
      <c r="RH570"/>
      <c r="RI570"/>
      <c r="RJ570"/>
      <c r="RK570"/>
      <c r="RL570"/>
      <c r="RM570"/>
      <c r="RN570"/>
      <c r="RO570"/>
      <c r="RP570"/>
      <c r="RQ570"/>
      <c r="RR570"/>
      <c r="RS570"/>
      <c r="RT570"/>
      <c r="RU570"/>
      <c r="RV570"/>
      <c r="RW570"/>
      <c r="RX570"/>
      <c r="RY570"/>
      <c r="RZ570"/>
      <c r="SA570"/>
      <c r="SB570"/>
      <c r="SC570"/>
      <c r="SD570"/>
      <c r="SE570"/>
      <c r="SF570"/>
      <c r="SG570"/>
      <c r="SH570"/>
      <c r="SI570"/>
      <c r="SJ570"/>
      <c r="SK570"/>
      <c r="SL570"/>
      <c r="SM570"/>
      <c r="SN570"/>
      <c r="SO570"/>
      <c r="SP570"/>
      <c r="SQ570"/>
      <c r="SR570"/>
      <c r="SS570"/>
      <c r="ST570"/>
      <c r="SU570"/>
      <c r="SV570"/>
      <c r="SW570"/>
      <c r="SX570"/>
      <c r="SY570"/>
      <c r="SZ570"/>
      <c r="TA570"/>
      <c r="TB570"/>
      <c r="TC570"/>
      <c r="TD570"/>
      <c r="TE570"/>
      <c r="TF570"/>
      <c r="TG570"/>
      <c r="TH570"/>
    </row>
    <row r="571" spans="3:528" x14ac:dyDescent="0.25">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c r="KT571"/>
      <c r="KU571"/>
      <c r="KV571"/>
      <c r="KW571"/>
      <c r="KX571"/>
      <c r="KY571"/>
      <c r="KZ571"/>
      <c r="LA571"/>
      <c r="LB571"/>
      <c r="LC571"/>
      <c r="LD571"/>
      <c r="LE571"/>
      <c r="LF571"/>
      <c r="LG571"/>
      <c r="LH571"/>
      <c r="LI571"/>
      <c r="LJ571"/>
      <c r="LK571"/>
      <c r="LL571"/>
      <c r="LM571"/>
      <c r="LN571"/>
      <c r="LO571"/>
      <c r="LP571"/>
      <c r="LQ571"/>
      <c r="LR571"/>
      <c r="LS571"/>
      <c r="LT571"/>
      <c r="LU571"/>
      <c r="LV571"/>
      <c r="LW571"/>
      <c r="LX571"/>
      <c r="LY571"/>
      <c r="LZ571"/>
      <c r="MA571"/>
      <c r="MB571"/>
      <c r="MC571"/>
      <c r="MD571"/>
      <c r="ME571"/>
      <c r="MF571"/>
      <c r="MG571"/>
      <c r="MH571"/>
      <c r="MI571"/>
      <c r="MJ571"/>
      <c r="MK571"/>
      <c r="ML571"/>
      <c r="MM571"/>
      <c r="MN571"/>
      <c r="MO571"/>
      <c r="MP571"/>
      <c r="MQ571"/>
      <c r="MR571"/>
      <c r="MS571"/>
      <c r="MT571"/>
      <c r="MU571"/>
      <c r="MV571"/>
      <c r="MW571"/>
      <c r="MX571"/>
      <c r="MY571"/>
      <c r="MZ571"/>
      <c r="NA571"/>
      <c r="NB571"/>
      <c r="NC571"/>
      <c r="ND571"/>
      <c r="NE571"/>
      <c r="NF571"/>
      <c r="NG571"/>
      <c r="NH571"/>
      <c r="NI571"/>
      <c r="NJ571"/>
      <c r="NK571"/>
      <c r="NL571"/>
      <c r="NM571"/>
      <c r="NN571"/>
      <c r="NO571"/>
      <c r="NP571"/>
      <c r="NQ571"/>
      <c r="NR571"/>
      <c r="NS571"/>
      <c r="NT571"/>
      <c r="NU571"/>
      <c r="NV571"/>
      <c r="NW571"/>
      <c r="NX571"/>
      <c r="NY571"/>
      <c r="NZ571"/>
      <c r="OA571"/>
      <c r="OB571"/>
      <c r="OC571"/>
      <c r="OD571"/>
      <c r="OE571"/>
      <c r="OF571"/>
      <c r="OG571"/>
      <c r="OH571"/>
      <c r="OI571"/>
      <c r="OJ571"/>
      <c r="OK571"/>
      <c r="OL571"/>
      <c r="OM571"/>
      <c r="ON571"/>
      <c r="OO571"/>
      <c r="OP571"/>
      <c r="OQ571"/>
      <c r="OR571"/>
      <c r="OS571"/>
      <c r="OT571"/>
      <c r="OU571"/>
      <c r="OV571"/>
      <c r="OW571"/>
      <c r="OX571"/>
      <c r="OY571"/>
      <c r="OZ571"/>
      <c r="PA571"/>
      <c r="PB571"/>
      <c r="PC571"/>
      <c r="PD571"/>
      <c r="PE571"/>
      <c r="PF571"/>
      <c r="PG571"/>
      <c r="PH571"/>
      <c r="PI571"/>
      <c r="PJ571"/>
      <c r="PK571"/>
      <c r="PL571"/>
      <c r="PM571"/>
      <c r="PN571"/>
      <c r="PO571"/>
      <c r="PP571"/>
      <c r="PQ571"/>
      <c r="PR571"/>
      <c r="PS571"/>
      <c r="PT571"/>
      <c r="PU571"/>
      <c r="PV571"/>
      <c r="PW571"/>
      <c r="PX571"/>
      <c r="PY571"/>
      <c r="PZ571"/>
      <c r="QA571"/>
      <c r="QB571"/>
      <c r="QC571"/>
      <c r="QD571"/>
      <c r="QE571"/>
      <c r="QF571"/>
      <c r="QG571"/>
      <c r="QH571"/>
      <c r="QI571"/>
      <c r="QJ571"/>
      <c r="QK571"/>
      <c r="QL571"/>
      <c r="QM571"/>
      <c r="QN571"/>
      <c r="QO571"/>
      <c r="QP571"/>
      <c r="QQ571"/>
      <c r="QR571"/>
      <c r="QS571"/>
      <c r="QT571"/>
      <c r="QU571"/>
      <c r="QV571"/>
      <c r="QW571"/>
      <c r="QX571"/>
      <c r="QY571"/>
      <c r="QZ571"/>
      <c r="RA571"/>
      <c r="RB571"/>
      <c r="RC571"/>
      <c r="RD571"/>
      <c r="RE571"/>
      <c r="RF571"/>
      <c r="RG571"/>
      <c r="RH571"/>
      <c r="RI571"/>
      <c r="RJ571"/>
      <c r="RK571"/>
      <c r="RL571"/>
      <c r="RM571"/>
      <c r="RN571"/>
      <c r="RO571"/>
      <c r="RP571"/>
      <c r="RQ571"/>
      <c r="RR571"/>
      <c r="RS571"/>
      <c r="RT571"/>
      <c r="RU571"/>
      <c r="RV571"/>
      <c r="RW571"/>
      <c r="RX571"/>
      <c r="RY571"/>
      <c r="RZ571"/>
      <c r="SA571"/>
      <c r="SB571"/>
      <c r="SC571"/>
      <c r="SD571"/>
      <c r="SE571"/>
      <c r="SF571"/>
      <c r="SG571"/>
      <c r="SH571"/>
      <c r="SI571"/>
      <c r="SJ571"/>
      <c r="SK571"/>
      <c r="SL571"/>
      <c r="SM571"/>
      <c r="SN571"/>
      <c r="SO571"/>
      <c r="SP571"/>
      <c r="SQ571"/>
      <c r="SR571"/>
      <c r="SS571"/>
      <c r="ST571"/>
      <c r="SU571"/>
      <c r="SV571"/>
      <c r="SW571"/>
      <c r="SX571"/>
      <c r="SY571"/>
      <c r="SZ571"/>
      <c r="TA571"/>
      <c r="TB571"/>
      <c r="TC571"/>
      <c r="TD571"/>
      <c r="TE571"/>
      <c r="TF571"/>
      <c r="TG571"/>
      <c r="TH571"/>
    </row>
    <row r="572" spans="3:528" x14ac:dyDescent="0.25">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c r="KT572"/>
      <c r="KU572"/>
      <c r="KV572"/>
      <c r="KW572"/>
      <c r="KX572"/>
      <c r="KY572"/>
      <c r="KZ572"/>
      <c r="LA572"/>
      <c r="LB572"/>
      <c r="LC572"/>
      <c r="LD572"/>
      <c r="LE572"/>
      <c r="LF572"/>
      <c r="LG572"/>
      <c r="LH572"/>
      <c r="LI572"/>
      <c r="LJ572"/>
      <c r="LK572"/>
      <c r="LL572"/>
      <c r="LM572"/>
      <c r="LN572"/>
      <c r="LO572"/>
      <c r="LP572"/>
      <c r="LQ572"/>
      <c r="LR572"/>
      <c r="LS572"/>
      <c r="LT572"/>
      <c r="LU572"/>
      <c r="LV572"/>
      <c r="LW572"/>
      <c r="LX572"/>
      <c r="LY572"/>
      <c r="LZ572"/>
      <c r="MA572"/>
      <c r="MB572"/>
      <c r="MC572"/>
      <c r="MD572"/>
      <c r="ME572"/>
      <c r="MF572"/>
      <c r="MG572"/>
      <c r="MH572"/>
      <c r="MI572"/>
      <c r="MJ572"/>
      <c r="MK572"/>
      <c r="ML572"/>
      <c r="MM572"/>
      <c r="MN572"/>
      <c r="MO572"/>
      <c r="MP572"/>
      <c r="MQ572"/>
      <c r="MR572"/>
      <c r="MS572"/>
      <c r="MT572"/>
      <c r="MU572"/>
      <c r="MV572"/>
      <c r="MW572"/>
      <c r="MX572"/>
      <c r="MY572"/>
      <c r="MZ572"/>
      <c r="NA572"/>
      <c r="NB572"/>
      <c r="NC572"/>
      <c r="ND572"/>
      <c r="NE572"/>
      <c r="NF572"/>
      <c r="NG572"/>
      <c r="NH572"/>
      <c r="NI572"/>
      <c r="NJ572"/>
      <c r="NK572"/>
      <c r="NL572"/>
      <c r="NM572"/>
      <c r="NN572"/>
      <c r="NO572"/>
      <c r="NP572"/>
      <c r="NQ572"/>
      <c r="NR572"/>
      <c r="NS572"/>
      <c r="NT572"/>
      <c r="NU572"/>
      <c r="NV572"/>
      <c r="NW572"/>
      <c r="NX572"/>
      <c r="NY572"/>
      <c r="NZ572"/>
      <c r="OA572"/>
      <c r="OB572"/>
      <c r="OC572"/>
      <c r="OD572"/>
      <c r="OE572"/>
      <c r="OF572"/>
      <c r="OG572"/>
      <c r="OH572"/>
      <c r="OI572"/>
      <c r="OJ572"/>
      <c r="OK572"/>
      <c r="OL572"/>
      <c r="OM572"/>
      <c r="ON572"/>
      <c r="OO572"/>
      <c r="OP572"/>
      <c r="OQ572"/>
      <c r="OR572"/>
      <c r="OS572"/>
      <c r="OT572"/>
      <c r="OU572"/>
      <c r="OV572"/>
      <c r="OW572"/>
      <c r="OX572"/>
      <c r="OY572"/>
      <c r="OZ572"/>
      <c r="PA572"/>
      <c r="PB572"/>
      <c r="PC572"/>
      <c r="PD572"/>
      <c r="PE572"/>
      <c r="PF572"/>
      <c r="PG572"/>
      <c r="PH572"/>
      <c r="PI572"/>
      <c r="PJ572"/>
      <c r="PK572"/>
      <c r="PL572"/>
      <c r="PM572"/>
      <c r="PN572"/>
      <c r="PO572"/>
      <c r="PP572"/>
      <c r="PQ572"/>
      <c r="PR572"/>
      <c r="PS572"/>
      <c r="PT572"/>
      <c r="PU572"/>
      <c r="PV572"/>
      <c r="PW572"/>
      <c r="PX572"/>
      <c r="PY572"/>
      <c r="PZ572"/>
      <c r="QA572"/>
      <c r="QB572"/>
      <c r="QC572"/>
      <c r="QD572"/>
      <c r="QE572"/>
      <c r="QF572"/>
      <c r="QG572"/>
      <c r="QH572"/>
      <c r="QI572"/>
      <c r="QJ572"/>
      <c r="QK572"/>
      <c r="QL572"/>
      <c r="QM572"/>
      <c r="QN572"/>
      <c r="QO572"/>
      <c r="QP572"/>
      <c r="QQ572"/>
      <c r="QR572"/>
      <c r="QS572"/>
      <c r="QT572"/>
      <c r="QU572"/>
      <c r="QV572"/>
      <c r="QW572"/>
      <c r="QX572"/>
      <c r="QY572"/>
      <c r="QZ572"/>
      <c r="RA572"/>
      <c r="RB572"/>
      <c r="RC572"/>
      <c r="RD572"/>
      <c r="RE572"/>
      <c r="RF572"/>
      <c r="RG572"/>
      <c r="RH572"/>
      <c r="RI572"/>
      <c r="RJ572"/>
      <c r="RK572"/>
      <c r="RL572"/>
      <c r="RM572"/>
      <c r="RN572"/>
      <c r="RO572"/>
      <c r="RP572"/>
      <c r="RQ572"/>
      <c r="RR572"/>
      <c r="RS572"/>
      <c r="RT572"/>
      <c r="RU572"/>
      <c r="RV572"/>
      <c r="RW572"/>
      <c r="RX572"/>
      <c r="RY572"/>
      <c r="RZ572"/>
      <c r="SA572"/>
      <c r="SB572"/>
      <c r="SC572"/>
      <c r="SD572"/>
      <c r="SE572"/>
      <c r="SF572"/>
      <c r="SG572"/>
      <c r="SH572"/>
      <c r="SI572"/>
      <c r="SJ572"/>
      <c r="SK572"/>
      <c r="SL572"/>
      <c r="SM572"/>
      <c r="SN572"/>
      <c r="SO572"/>
      <c r="SP572"/>
      <c r="SQ572"/>
      <c r="SR572"/>
      <c r="SS572"/>
      <c r="ST572"/>
      <c r="SU572"/>
      <c r="SV572"/>
      <c r="SW572"/>
      <c r="SX572"/>
      <c r="SY572"/>
      <c r="SZ572"/>
      <c r="TA572"/>
      <c r="TB572"/>
      <c r="TC572"/>
      <c r="TD572"/>
      <c r="TE572"/>
      <c r="TF572"/>
      <c r="TG572"/>
      <c r="TH572"/>
    </row>
    <row r="573" spans="3:528" x14ac:dyDescent="0.25">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c r="KT573"/>
      <c r="KU573"/>
      <c r="KV573"/>
      <c r="KW573"/>
      <c r="KX573"/>
      <c r="KY573"/>
      <c r="KZ573"/>
      <c r="LA573"/>
      <c r="LB573"/>
      <c r="LC573"/>
      <c r="LD573"/>
      <c r="LE573"/>
      <c r="LF573"/>
      <c r="LG573"/>
      <c r="LH573"/>
      <c r="LI573"/>
      <c r="LJ573"/>
      <c r="LK573"/>
      <c r="LL573"/>
      <c r="LM573"/>
      <c r="LN573"/>
      <c r="LO573"/>
      <c r="LP573"/>
      <c r="LQ573"/>
      <c r="LR573"/>
      <c r="LS573"/>
      <c r="LT573"/>
      <c r="LU573"/>
      <c r="LV573"/>
      <c r="LW573"/>
      <c r="LX573"/>
      <c r="LY573"/>
      <c r="LZ573"/>
      <c r="MA573"/>
      <c r="MB573"/>
      <c r="MC573"/>
      <c r="MD573"/>
      <c r="ME573"/>
      <c r="MF573"/>
      <c r="MG573"/>
      <c r="MH573"/>
      <c r="MI573"/>
      <c r="MJ573"/>
      <c r="MK573"/>
      <c r="ML573"/>
      <c r="MM573"/>
      <c r="MN573"/>
      <c r="MO573"/>
      <c r="MP573"/>
      <c r="MQ573"/>
      <c r="MR573"/>
      <c r="MS573"/>
      <c r="MT573"/>
      <c r="MU573"/>
      <c r="MV573"/>
      <c r="MW573"/>
      <c r="MX573"/>
      <c r="MY573"/>
      <c r="MZ573"/>
      <c r="NA573"/>
      <c r="NB573"/>
      <c r="NC573"/>
      <c r="ND573"/>
      <c r="NE573"/>
      <c r="NF573"/>
      <c r="NG573"/>
      <c r="NH573"/>
      <c r="NI573"/>
      <c r="NJ573"/>
      <c r="NK573"/>
      <c r="NL573"/>
      <c r="NM573"/>
      <c r="NN573"/>
      <c r="NO573"/>
      <c r="NP573"/>
      <c r="NQ573"/>
      <c r="NR573"/>
      <c r="NS573"/>
      <c r="NT573"/>
      <c r="NU573"/>
      <c r="NV573"/>
      <c r="NW573"/>
      <c r="NX573"/>
      <c r="NY573"/>
      <c r="NZ573"/>
      <c r="OA573"/>
      <c r="OB573"/>
      <c r="OC573"/>
      <c r="OD573"/>
      <c r="OE573"/>
      <c r="OF573"/>
      <c r="OG573"/>
      <c r="OH573"/>
      <c r="OI573"/>
      <c r="OJ573"/>
      <c r="OK573"/>
      <c r="OL573"/>
      <c r="OM573"/>
      <c r="ON573"/>
      <c r="OO573"/>
      <c r="OP573"/>
      <c r="OQ573"/>
      <c r="OR573"/>
      <c r="OS573"/>
      <c r="OT573"/>
      <c r="OU573"/>
      <c r="OV573"/>
      <c r="OW573"/>
      <c r="OX573"/>
      <c r="OY573"/>
      <c r="OZ573"/>
      <c r="PA573"/>
      <c r="PB573"/>
      <c r="PC573"/>
      <c r="PD573"/>
      <c r="PE573"/>
      <c r="PF573"/>
      <c r="PG573"/>
      <c r="PH573"/>
      <c r="PI573"/>
      <c r="PJ573"/>
      <c r="PK573"/>
      <c r="PL573"/>
      <c r="PM573"/>
      <c r="PN573"/>
      <c r="PO573"/>
      <c r="PP573"/>
      <c r="PQ573"/>
      <c r="PR573"/>
      <c r="PS573"/>
      <c r="PT573"/>
      <c r="PU573"/>
      <c r="PV573"/>
      <c r="PW573"/>
      <c r="PX573"/>
      <c r="PY573"/>
      <c r="PZ573"/>
      <c r="QA573"/>
      <c r="QB573"/>
      <c r="QC573"/>
      <c r="QD573"/>
      <c r="QE573"/>
      <c r="QF573"/>
      <c r="QG573"/>
      <c r="QH573"/>
      <c r="QI573"/>
      <c r="QJ573"/>
      <c r="QK573"/>
      <c r="QL573"/>
      <c r="QM573"/>
      <c r="QN573"/>
      <c r="QO573"/>
      <c r="QP573"/>
      <c r="QQ573"/>
      <c r="QR573"/>
      <c r="QS573"/>
      <c r="QT573"/>
      <c r="QU573"/>
      <c r="QV573"/>
      <c r="QW573"/>
      <c r="QX573"/>
      <c r="QY573"/>
      <c r="QZ573"/>
      <c r="RA573"/>
      <c r="RB573"/>
      <c r="RC573"/>
      <c r="RD573"/>
      <c r="RE573"/>
      <c r="RF573"/>
      <c r="RG573"/>
      <c r="RH573"/>
      <c r="RI573"/>
      <c r="RJ573"/>
      <c r="RK573"/>
      <c r="RL573"/>
      <c r="RM573"/>
      <c r="RN573"/>
      <c r="RO573"/>
      <c r="RP573"/>
      <c r="RQ573"/>
      <c r="RR573"/>
      <c r="RS573"/>
      <c r="RT573"/>
      <c r="RU573"/>
      <c r="RV573"/>
      <c r="RW573"/>
      <c r="RX573"/>
      <c r="RY573"/>
      <c r="RZ573"/>
      <c r="SA573"/>
      <c r="SB573"/>
      <c r="SC573"/>
      <c r="SD573"/>
      <c r="SE573"/>
      <c r="SF573"/>
      <c r="SG573"/>
      <c r="SH573"/>
      <c r="SI573"/>
      <c r="SJ573"/>
      <c r="SK573"/>
      <c r="SL573"/>
      <c r="SM573"/>
      <c r="SN573"/>
      <c r="SO573"/>
      <c r="SP573"/>
      <c r="SQ573"/>
      <c r="SR573"/>
      <c r="SS573"/>
      <c r="ST573"/>
      <c r="SU573"/>
      <c r="SV573"/>
      <c r="SW573"/>
      <c r="SX573"/>
      <c r="SY573"/>
      <c r="SZ573"/>
      <c r="TA573"/>
      <c r="TB573"/>
      <c r="TC573"/>
      <c r="TD573"/>
      <c r="TE573"/>
      <c r="TF573"/>
      <c r="TG573"/>
      <c r="TH573"/>
    </row>
    <row r="574" spans="3:528" x14ac:dyDescent="0.25">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c r="KT574"/>
      <c r="KU574"/>
      <c r="KV574"/>
      <c r="KW574"/>
      <c r="KX574"/>
      <c r="KY574"/>
      <c r="KZ574"/>
      <c r="LA574"/>
      <c r="LB574"/>
      <c r="LC574"/>
      <c r="LD574"/>
      <c r="LE574"/>
      <c r="LF574"/>
      <c r="LG574"/>
      <c r="LH574"/>
      <c r="LI574"/>
      <c r="LJ574"/>
      <c r="LK574"/>
      <c r="LL574"/>
      <c r="LM574"/>
      <c r="LN574"/>
      <c r="LO574"/>
      <c r="LP574"/>
      <c r="LQ574"/>
      <c r="LR574"/>
      <c r="LS574"/>
      <c r="LT574"/>
      <c r="LU574"/>
      <c r="LV574"/>
      <c r="LW574"/>
      <c r="LX574"/>
      <c r="LY574"/>
      <c r="LZ574"/>
      <c r="MA574"/>
      <c r="MB574"/>
      <c r="MC574"/>
      <c r="MD574"/>
      <c r="ME574"/>
      <c r="MF574"/>
      <c r="MG574"/>
      <c r="MH574"/>
      <c r="MI574"/>
      <c r="MJ574"/>
      <c r="MK574"/>
      <c r="ML574"/>
      <c r="MM574"/>
      <c r="MN574"/>
      <c r="MO574"/>
      <c r="MP574"/>
      <c r="MQ574"/>
      <c r="MR574"/>
      <c r="MS574"/>
      <c r="MT574"/>
      <c r="MU574"/>
      <c r="MV574"/>
      <c r="MW574"/>
      <c r="MX574"/>
      <c r="MY574"/>
      <c r="MZ574"/>
      <c r="NA574"/>
      <c r="NB574"/>
      <c r="NC574"/>
      <c r="ND574"/>
      <c r="NE574"/>
      <c r="NF574"/>
      <c r="NG574"/>
      <c r="NH574"/>
      <c r="NI574"/>
      <c r="NJ574"/>
      <c r="NK574"/>
      <c r="NL574"/>
      <c r="NM574"/>
      <c r="NN574"/>
      <c r="NO574"/>
      <c r="NP574"/>
      <c r="NQ574"/>
      <c r="NR574"/>
      <c r="NS574"/>
      <c r="NT574"/>
      <c r="NU574"/>
      <c r="NV574"/>
      <c r="NW574"/>
      <c r="NX574"/>
      <c r="NY574"/>
      <c r="NZ574"/>
      <c r="OA574"/>
      <c r="OB574"/>
      <c r="OC574"/>
      <c r="OD574"/>
      <c r="OE574"/>
      <c r="OF574"/>
      <c r="OG574"/>
      <c r="OH574"/>
      <c r="OI574"/>
      <c r="OJ574"/>
      <c r="OK574"/>
      <c r="OL574"/>
      <c r="OM574"/>
      <c r="ON574"/>
      <c r="OO574"/>
      <c r="OP574"/>
      <c r="OQ574"/>
      <c r="OR574"/>
      <c r="OS574"/>
      <c r="OT574"/>
      <c r="OU574"/>
      <c r="OV574"/>
      <c r="OW574"/>
      <c r="OX574"/>
      <c r="OY574"/>
      <c r="OZ574"/>
      <c r="PA574"/>
      <c r="PB574"/>
      <c r="PC574"/>
      <c r="PD574"/>
      <c r="PE574"/>
      <c r="PF574"/>
      <c r="PG574"/>
      <c r="PH574"/>
      <c r="PI574"/>
      <c r="PJ574"/>
      <c r="PK574"/>
      <c r="PL574"/>
      <c r="PM574"/>
      <c r="PN574"/>
      <c r="PO574"/>
      <c r="PP574"/>
      <c r="PQ574"/>
      <c r="PR574"/>
      <c r="PS574"/>
      <c r="PT574"/>
      <c r="PU574"/>
      <c r="PV574"/>
      <c r="PW574"/>
      <c r="PX574"/>
      <c r="PY574"/>
      <c r="PZ574"/>
      <c r="QA574"/>
      <c r="QB574"/>
      <c r="QC574"/>
      <c r="QD574"/>
      <c r="QE574"/>
      <c r="QF574"/>
      <c r="QG574"/>
      <c r="QH574"/>
      <c r="QI574"/>
      <c r="QJ574"/>
      <c r="QK574"/>
      <c r="QL574"/>
      <c r="QM574"/>
      <c r="QN574"/>
      <c r="QO574"/>
      <c r="QP574"/>
      <c r="QQ574"/>
      <c r="QR574"/>
      <c r="QS574"/>
      <c r="QT574"/>
      <c r="QU574"/>
      <c r="QV574"/>
      <c r="QW574"/>
      <c r="QX574"/>
      <c r="QY574"/>
      <c r="QZ574"/>
      <c r="RA574"/>
      <c r="RB574"/>
      <c r="RC574"/>
      <c r="RD574"/>
      <c r="RE574"/>
      <c r="RF574"/>
      <c r="RG574"/>
      <c r="RH574"/>
      <c r="RI574"/>
      <c r="RJ574"/>
      <c r="RK574"/>
      <c r="RL574"/>
      <c r="RM574"/>
      <c r="RN574"/>
      <c r="RO574"/>
      <c r="RP574"/>
      <c r="RQ574"/>
      <c r="RR574"/>
      <c r="RS574"/>
      <c r="RT574"/>
      <c r="RU574"/>
      <c r="RV574"/>
      <c r="RW574"/>
      <c r="RX574"/>
      <c r="RY574"/>
      <c r="RZ574"/>
      <c r="SA574"/>
      <c r="SB574"/>
      <c r="SC574"/>
      <c r="SD574"/>
      <c r="SE574"/>
      <c r="SF574"/>
      <c r="SG574"/>
      <c r="SH574"/>
      <c r="SI574"/>
      <c r="SJ574"/>
      <c r="SK574"/>
      <c r="SL574"/>
      <c r="SM574"/>
      <c r="SN574"/>
      <c r="SO574"/>
      <c r="SP574"/>
      <c r="SQ574"/>
      <c r="SR574"/>
      <c r="SS574"/>
      <c r="ST574"/>
      <c r="SU574"/>
      <c r="SV574"/>
      <c r="SW574"/>
      <c r="SX574"/>
      <c r="SY574"/>
      <c r="SZ574"/>
      <c r="TA574"/>
      <c r="TB574"/>
      <c r="TC574"/>
      <c r="TD574"/>
      <c r="TE574"/>
      <c r="TF574"/>
      <c r="TG574"/>
      <c r="TH574"/>
    </row>
    <row r="575" spans="3:528" x14ac:dyDescent="0.2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c r="KT575"/>
      <c r="KU575"/>
      <c r="KV575"/>
      <c r="KW575"/>
      <c r="KX575"/>
      <c r="KY575"/>
      <c r="KZ575"/>
      <c r="LA575"/>
      <c r="LB575"/>
      <c r="LC575"/>
      <c r="LD575"/>
      <c r="LE575"/>
      <c r="LF575"/>
      <c r="LG575"/>
      <c r="LH575"/>
      <c r="LI575"/>
      <c r="LJ575"/>
      <c r="LK575"/>
      <c r="LL575"/>
      <c r="LM575"/>
      <c r="LN575"/>
      <c r="LO575"/>
      <c r="LP575"/>
      <c r="LQ575"/>
      <c r="LR575"/>
      <c r="LS575"/>
      <c r="LT575"/>
      <c r="LU575"/>
      <c r="LV575"/>
      <c r="LW575"/>
      <c r="LX575"/>
      <c r="LY575"/>
      <c r="LZ575"/>
      <c r="MA575"/>
      <c r="MB575"/>
      <c r="MC575"/>
      <c r="MD575"/>
      <c r="ME575"/>
      <c r="MF575"/>
      <c r="MG575"/>
      <c r="MH575"/>
      <c r="MI575"/>
      <c r="MJ575"/>
      <c r="MK575"/>
      <c r="ML575"/>
      <c r="MM575"/>
      <c r="MN575"/>
      <c r="MO575"/>
      <c r="MP575"/>
      <c r="MQ575"/>
      <c r="MR575"/>
      <c r="MS575"/>
      <c r="MT575"/>
      <c r="MU575"/>
      <c r="MV575"/>
      <c r="MW575"/>
      <c r="MX575"/>
      <c r="MY575"/>
      <c r="MZ575"/>
      <c r="NA575"/>
      <c r="NB575"/>
      <c r="NC575"/>
      <c r="ND575"/>
      <c r="NE575"/>
      <c r="NF575"/>
      <c r="NG575"/>
      <c r="NH575"/>
      <c r="NI575"/>
      <c r="NJ575"/>
      <c r="NK575"/>
      <c r="NL575"/>
      <c r="NM575"/>
      <c r="NN575"/>
      <c r="NO575"/>
      <c r="NP575"/>
      <c r="NQ575"/>
      <c r="NR575"/>
      <c r="NS575"/>
      <c r="NT575"/>
      <c r="NU575"/>
      <c r="NV575"/>
      <c r="NW575"/>
      <c r="NX575"/>
      <c r="NY575"/>
      <c r="NZ575"/>
      <c r="OA575"/>
      <c r="OB575"/>
      <c r="OC575"/>
      <c r="OD575"/>
      <c r="OE575"/>
      <c r="OF575"/>
      <c r="OG575"/>
      <c r="OH575"/>
      <c r="OI575"/>
      <c r="OJ575"/>
      <c r="OK575"/>
      <c r="OL575"/>
      <c r="OM575"/>
      <c r="ON575"/>
      <c r="OO575"/>
      <c r="OP575"/>
      <c r="OQ575"/>
      <c r="OR575"/>
      <c r="OS575"/>
      <c r="OT575"/>
      <c r="OU575"/>
      <c r="OV575"/>
      <c r="OW575"/>
      <c r="OX575"/>
      <c r="OY575"/>
      <c r="OZ575"/>
      <c r="PA575"/>
      <c r="PB575"/>
      <c r="PC575"/>
      <c r="PD575"/>
      <c r="PE575"/>
      <c r="PF575"/>
      <c r="PG575"/>
      <c r="PH575"/>
      <c r="PI575"/>
      <c r="PJ575"/>
      <c r="PK575"/>
      <c r="PL575"/>
      <c r="PM575"/>
      <c r="PN575"/>
      <c r="PO575"/>
      <c r="PP575"/>
      <c r="PQ575"/>
      <c r="PR575"/>
      <c r="PS575"/>
      <c r="PT575"/>
      <c r="PU575"/>
      <c r="PV575"/>
      <c r="PW575"/>
      <c r="PX575"/>
      <c r="PY575"/>
      <c r="PZ575"/>
      <c r="QA575"/>
      <c r="QB575"/>
      <c r="QC575"/>
      <c r="QD575"/>
      <c r="QE575"/>
      <c r="QF575"/>
      <c r="QG575"/>
      <c r="QH575"/>
      <c r="QI575"/>
      <c r="QJ575"/>
      <c r="QK575"/>
      <c r="QL575"/>
      <c r="QM575"/>
      <c r="QN575"/>
      <c r="QO575"/>
      <c r="QP575"/>
      <c r="QQ575"/>
      <c r="QR575"/>
      <c r="QS575"/>
      <c r="QT575"/>
      <c r="QU575"/>
      <c r="QV575"/>
      <c r="QW575"/>
      <c r="QX575"/>
      <c r="QY575"/>
      <c r="QZ575"/>
      <c r="RA575"/>
      <c r="RB575"/>
      <c r="RC575"/>
      <c r="RD575"/>
      <c r="RE575"/>
      <c r="RF575"/>
      <c r="RG575"/>
      <c r="RH575"/>
      <c r="RI575"/>
      <c r="RJ575"/>
      <c r="RK575"/>
      <c r="RL575"/>
      <c r="RM575"/>
      <c r="RN575"/>
      <c r="RO575"/>
      <c r="RP575"/>
      <c r="RQ575"/>
      <c r="RR575"/>
      <c r="RS575"/>
      <c r="RT575"/>
      <c r="RU575"/>
      <c r="RV575"/>
      <c r="RW575"/>
      <c r="RX575"/>
      <c r="RY575"/>
      <c r="RZ575"/>
      <c r="SA575"/>
      <c r="SB575"/>
      <c r="SC575"/>
      <c r="SD575"/>
      <c r="SE575"/>
      <c r="SF575"/>
      <c r="SG575"/>
      <c r="SH575"/>
      <c r="SI575"/>
      <c r="SJ575"/>
      <c r="SK575"/>
      <c r="SL575"/>
      <c r="SM575"/>
      <c r="SN575"/>
      <c r="SO575"/>
      <c r="SP575"/>
      <c r="SQ575"/>
      <c r="SR575"/>
      <c r="SS575"/>
      <c r="ST575"/>
      <c r="SU575"/>
      <c r="SV575"/>
      <c r="SW575"/>
      <c r="SX575"/>
      <c r="SY575"/>
      <c r="SZ575"/>
      <c r="TA575"/>
      <c r="TB575"/>
      <c r="TC575"/>
      <c r="TD575"/>
      <c r="TE575"/>
      <c r="TF575"/>
      <c r="TG575"/>
      <c r="TH575"/>
    </row>
    <row r="576" spans="3:528" x14ac:dyDescent="0.25">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c r="KT576"/>
      <c r="KU576"/>
      <c r="KV576"/>
      <c r="KW576"/>
      <c r="KX576"/>
      <c r="KY576"/>
      <c r="KZ576"/>
      <c r="LA576"/>
      <c r="LB576"/>
      <c r="LC576"/>
      <c r="LD576"/>
      <c r="LE576"/>
      <c r="LF576"/>
      <c r="LG576"/>
      <c r="LH576"/>
      <c r="LI576"/>
      <c r="LJ576"/>
      <c r="LK576"/>
      <c r="LL576"/>
      <c r="LM576"/>
      <c r="LN576"/>
      <c r="LO576"/>
      <c r="LP576"/>
      <c r="LQ576"/>
      <c r="LR576"/>
      <c r="LS576"/>
      <c r="LT576"/>
      <c r="LU576"/>
      <c r="LV576"/>
      <c r="LW576"/>
      <c r="LX576"/>
      <c r="LY576"/>
      <c r="LZ576"/>
      <c r="MA576"/>
      <c r="MB576"/>
      <c r="MC576"/>
      <c r="MD576"/>
      <c r="ME576"/>
      <c r="MF576"/>
      <c r="MG576"/>
      <c r="MH576"/>
      <c r="MI576"/>
      <c r="MJ576"/>
      <c r="MK576"/>
      <c r="ML576"/>
      <c r="MM576"/>
      <c r="MN576"/>
      <c r="MO576"/>
      <c r="MP576"/>
      <c r="MQ576"/>
      <c r="MR576"/>
      <c r="MS576"/>
      <c r="MT576"/>
      <c r="MU576"/>
      <c r="MV576"/>
      <c r="MW576"/>
      <c r="MX576"/>
      <c r="MY576"/>
      <c r="MZ576"/>
      <c r="NA576"/>
      <c r="NB576"/>
      <c r="NC576"/>
      <c r="ND576"/>
      <c r="NE576"/>
      <c r="NF576"/>
      <c r="NG576"/>
      <c r="NH576"/>
      <c r="NI576"/>
      <c r="NJ576"/>
      <c r="NK576"/>
      <c r="NL576"/>
      <c r="NM576"/>
      <c r="NN576"/>
      <c r="NO576"/>
      <c r="NP576"/>
      <c r="NQ576"/>
      <c r="NR576"/>
      <c r="NS576"/>
      <c r="NT576"/>
      <c r="NU576"/>
      <c r="NV576"/>
      <c r="NW576"/>
      <c r="NX576"/>
      <c r="NY576"/>
      <c r="NZ576"/>
      <c r="OA576"/>
      <c r="OB576"/>
      <c r="OC576"/>
      <c r="OD576"/>
      <c r="OE576"/>
      <c r="OF576"/>
      <c r="OG576"/>
      <c r="OH576"/>
      <c r="OI576"/>
      <c r="OJ576"/>
      <c r="OK576"/>
      <c r="OL576"/>
      <c r="OM576"/>
      <c r="ON576"/>
      <c r="OO576"/>
      <c r="OP576"/>
      <c r="OQ576"/>
      <c r="OR576"/>
      <c r="OS576"/>
      <c r="OT576"/>
      <c r="OU576"/>
      <c r="OV576"/>
      <c r="OW576"/>
      <c r="OX576"/>
      <c r="OY576"/>
      <c r="OZ576"/>
      <c r="PA576"/>
      <c r="PB576"/>
      <c r="PC576"/>
      <c r="PD576"/>
      <c r="PE576"/>
      <c r="PF576"/>
      <c r="PG576"/>
      <c r="PH576"/>
      <c r="PI576"/>
      <c r="PJ576"/>
      <c r="PK576"/>
      <c r="PL576"/>
      <c r="PM576"/>
      <c r="PN576"/>
      <c r="PO576"/>
      <c r="PP576"/>
      <c r="PQ576"/>
      <c r="PR576"/>
      <c r="PS576"/>
      <c r="PT576"/>
      <c r="PU576"/>
      <c r="PV576"/>
      <c r="PW576"/>
      <c r="PX576"/>
      <c r="PY576"/>
      <c r="PZ576"/>
      <c r="QA576"/>
      <c r="QB576"/>
      <c r="QC576"/>
      <c r="QD576"/>
      <c r="QE576"/>
      <c r="QF576"/>
      <c r="QG576"/>
      <c r="QH576"/>
      <c r="QI576"/>
      <c r="QJ576"/>
      <c r="QK576"/>
      <c r="QL576"/>
      <c r="QM576"/>
      <c r="QN576"/>
      <c r="QO576"/>
      <c r="QP576"/>
      <c r="QQ576"/>
      <c r="QR576"/>
      <c r="QS576"/>
      <c r="QT576"/>
      <c r="QU576"/>
      <c r="QV576"/>
      <c r="QW576"/>
      <c r="QX576"/>
      <c r="QY576"/>
      <c r="QZ576"/>
      <c r="RA576"/>
      <c r="RB576"/>
      <c r="RC576"/>
      <c r="RD576"/>
      <c r="RE576"/>
      <c r="RF576"/>
      <c r="RG576"/>
      <c r="RH576"/>
      <c r="RI576"/>
      <c r="RJ576"/>
      <c r="RK576"/>
      <c r="RL576"/>
      <c r="RM576"/>
      <c r="RN576"/>
      <c r="RO576"/>
      <c r="RP576"/>
      <c r="RQ576"/>
      <c r="RR576"/>
      <c r="RS576"/>
      <c r="RT576"/>
      <c r="RU576"/>
      <c r="RV576"/>
      <c r="RW576"/>
      <c r="RX576"/>
      <c r="RY576"/>
      <c r="RZ576"/>
      <c r="SA576"/>
      <c r="SB576"/>
      <c r="SC576"/>
      <c r="SD576"/>
      <c r="SE576"/>
      <c r="SF576"/>
      <c r="SG576"/>
      <c r="SH576"/>
      <c r="SI576"/>
      <c r="SJ576"/>
      <c r="SK576"/>
      <c r="SL576"/>
      <c r="SM576"/>
      <c r="SN576"/>
      <c r="SO576"/>
      <c r="SP576"/>
      <c r="SQ576"/>
      <c r="SR576"/>
      <c r="SS576"/>
      <c r="ST576"/>
      <c r="SU576"/>
      <c r="SV576"/>
      <c r="SW576"/>
      <c r="SX576"/>
      <c r="SY576"/>
      <c r="SZ576"/>
      <c r="TA576"/>
      <c r="TB576"/>
      <c r="TC576"/>
      <c r="TD576"/>
      <c r="TE576"/>
      <c r="TF576"/>
      <c r="TG576"/>
      <c r="TH576"/>
    </row>
    <row r="577" spans="3:8" x14ac:dyDescent="0.25">
      <c r="C577"/>
      <c r="D577"/>
      <c r="E577"/>
      <c r="F577"/>
      <c r="G577"/>
      <c r="H577"/>
    </row>
    <row r="578" spans="3:8" x14ac:dyDescent="0.25">
      <c r="C578"/>
      <c r="D578"/>
      <c r="E578"/>
      <c r="F578"/>
      <c r="G578"/>
      <c r="H578"/>
    </row>
    <row r="579" spans="3:8" x14ac:dyDescent="0.25">
      <c r="C579"/>
      <c r="D579"/>
      <c r="E579"/>
      <c r="F579"/>
      <c r="G579"/>
      <c r="H579"/>
    </row>
    <row r="580" spans="3:8" x14ac:dyDescent="0.25">
      <c r="C580"/>
      <c r="D580"/>
      <c r="E580"/>
      <c r="F580"/>
      <c r="G580"/>
      <c r="H580"/>
    </row>
    <row r="581" spans="3:8" x14ac:dyDescent="0.25">
      <c r="C581"/>
      <c r="D581"/>
      <c r="E581"/>
      <c r="F581"/>
      <c r="G581"/>
      <c r="H581"/>
    </row>
    <row r="582" spans="3:8" x14ac:dyDescent="0.25">
      <c r="C582"/>
      <c r="D582"/>
      <c r="E582"/>
      <c r="F582"/>
      <c r="G582"/>
      <c r="H582"/>
    </row>
    <row r="583" spans="3:8" x14ac:dyDescent="0.25">
      <c r="C583"/>
      <c r="D583"/>
      <c r="E583"/>
      <c r="F583"/>
      <c r="G583"/>
      <c r="H583"/>
    </row>
    <row r="584" spans="3:8" x14ac:dyDescent="0.25">
      <c r="C584"/>
      <c r="D584"/>
      <c r="E584"/>
      <c r="F584"/>
      <c r="G584"/>
      <c r="H584"/>
    </row>
    <row r="585" spans="3:8" x14ac:dyDescent="0.25">
      <c r="C585"/>
      <c r="D585"/>
      <c r="E585"/>
      <c r="F585"/>
      <c r="G585"/>
      <c r="H585"/>
    </row>
    <row r="586" spans="3:8" x14ac:dyDescent="0.25">
      <c r="C586"/>
      <c r="D586"/>
      <c r="E586"/>
      <c r="F586"/>
      <c r="G586"/>
      <c r="H586"/>
    </row>
    <row r="587" spans="3:8" x14ac:dyDescent="0.25">
      <c r="C587"/>
      <c r="D587"/>
      <c r="E587"/>
      <c r="F587"/>
      <c r="G587"/>
      <c r="H587"/>
    </row>
    <row r="588" spans="3:8" x14ac:dyDescent="0.25">
      <c r="C588"/>
      <c r="D588"/>
      <c r="E588"/>
      <c r="F588"/>
      <c r="G588"/>
      <c r="H588"/>
    </row>
    <row r="589" spans="3:8" x14ac:dyDescent="0.25">
      <c r="C589"/>
      <c r="D589"/>
      <c r="E589"/>
      <c r="F589"/>
      <c r="G589"/>
      <c r="H589"/>
    </row>
    <row r="590" spans="3:8" x14ac:dyDescent="0.25">
      <c r="C590"/>
      <c r="D590"/>
      <c r="E590"/>
      <c r="F590"/>
      <c r="G590"/>
      <c r="H590"/>
    </row>
    <row r="591" spans="3:8" x14ac:dyDescent="0.25">
      <c r="C591"/>
      <c r="D591"/>
      <c r="E591"/>
      <c r="F591"/>
      <c r="G591"/>
      <c r="H591"/>
    </row>
    <row r="592" spans="3:8" x14ac:dyDescent="0.25">
      <c r="C592"/>
      <c r="D592"/>
      <c r="E592"/>
      <c r="F592"/>
      <c r="G592"/>
      <c r="H592"/>
    </row>
    <row r="593" spans="3:8" x14ac:dyDescent="0.25">
      <c r="C593"/>
      <c r="D593"/>
      <c r="E593"/>
      <c r="F593"/>
      <c r="G593"/>
      <c r="H593"/>
    </row>
    <row r="594" spans="3:8" x14ac:dyDescent="0.25">
      <c r="C594"/>
      <c r="D594"/>
      <c r="E594"/>
      <c r="F594"/>
      <c r="G594"/>
      <c r="H594"/>
    </row>
    <row r="595" spans="3:8" x14ac:dyDescent="0.25">
      <c r="C595"/>
      <c r="D595"/>
      <c r="E595"/>
      <c r="F595"/>
      <c r="G595"/>
      <c r="H595"/>
    </row>
    <row r="596" spans="3:8" x14ac:dyDescent="0.25">
      <c r="C596"/>
      <c r="D596"/>
      <c r="E596"/>
      <c r="F596"/>
      <c r="G596"/>
      <c r="H596"/>
    </row>
    <row r="597" spans="3:8" x14ac:dyDescent="0.25">
      <c r="C597"/>
      <c r="D597"/>
      <c r="E597"/>
      <c r="F597"/>
      <c r="G597"/>
      <c r="H597"/>
    </row>
    <row r="598" spans="3:8" x14ac:dyDescent="0.25">
      <c r="C598"/>
      <c r="D598"/>
      <c r="E598"/>
      <c r="F598"/>
      <c r="G598"/>
      <c r="H598"/>
    </row>
    <row r="599" spans="3:8" x14ac:dyDescent="0.25">
      <c r="C599"/>
      <c r="D599"/>
      <c r="E599"/>
      <c r="F599"/>
      <c r="G599"/>
      <c r="H599"/>
    </row>
    <row r="600" spans="3:8" x14ac:dyDescent="0.25">
      <c r="C600"/>
      <c r="D600"/>
      <c r="E600"/>
      <c r="F600"/>
      <c r="G600"/>
      <c r="H600"/>
    </row>
    <row r="601" spans="3:8" x14ac:dyDescent="0.25">
      <c r="C601"/>
      <c r="D601"/>
      <c r="E601"/>
      <c r="F601"/>
      <c r="G601"/>
      <c r="H601"/>
    </row>
    <row r="602" spans="3:8" x14ac:dyDescent="0.25">
      <c r="C602"/>
      <c r="D602"/>
      <c r="E602"/>
      <c r="F602"/>
      <c r="G602"/>
      <c r="H602"/>
    </row>
    <row r="603" spans="3:8" x14ac:dyDescent="0.25">
      <c r="C603"/>
      <c r="D603"/>
      <c r="E603"/>
      <c r="F603"/>
      <c r="G603"/>
      <c r="H603"/>
    </row>
    <row r="604" spans="3:8" x14ac:dyDescent="0.25">
      <c r="C604"/>
      <c r="D604"/>
      <c r="E604"/>
      <c r="F604"/>
      <c r="G604"/>
      <c r="H604"/>
    </row>
    <row r="605" spans="3:8" x14ac:dyDescent="0.25">
      <c r="C605"/>
      <c r="D605"/>
      <c r="E605"/>
      <c r="F605"/>
      <c r="G605"/>
      <c r="H605"/>
    </row>
    <row r="606" spans="3:8" x14ac:dyDescent="0.25">
      <c r="C606"/>
      <c r="D606"/>
      <c r="E606"/>
      <c r="F606"/>
      <c r="G606"/>
      <c r="H606"/>
    </row>
    <row r="607" spans="3:8" x14ac:dyDescent="0.25">
      <c r="C607"/>
      <c r="D607"/>
      <c r="E607"/>
      <c r="F607"/>
      <c r="G607"/>
      <c r="H607"/>
    </row>
    <row r="608" spans="3:8" x14ac:dyDescent="0.25">
      <c r="C608"/>
      <c r="D608"/>
      <c r="E608"/>
      <c r="F608"/>
      <c r="G608"/>
      <c r="H608"/>
    </row>
    <row r="609" spans="3:8" x14ac:dyDescent="0.25">
      <c r="C609"/>
      <c r="D609"/>
      <c r="E609"/>
      <c r="F609"/>
      <c r="G609"/>
      <c r="H609"/>
    </row>
    <row r="610" spans="3:8" x14ac:dyDescent="0.25">
      <c r="C610"/>
      <c r="D610"/>
      <c r="E610"/>
      <c r="F610"/>
      <c r="G610"/>
      <c r="H610"/>
    </row>
    <row r="611" spans="3:8" x14ac:dyDescent="0.25">
      <c r="C611"/>
      <c r="D611"/>
      <c r="E611"/>
      <c r="F611"/>
      <c r="G611"/>
      <c r="H611"/>
    </row>
    <row r="612" spans="3:8" x14ac:dyDescent="0.25">
      <c r="C612"/>
      <c r="D612"/>
      <c r="E612"/>
      <c r="F612"/>
      <c r="G612"/>
      <c r="H612"/>
    </row>
    <row r="613" spans="3:8" x14ac:dyDescent="0.25">
      <c r="C613"/>
      <c r="D613"/>
      <c r="E613"/>
      <c r="F613"/>
      <c r="G613"/>
      <c r="H613"/>
    </row>
    <row r="614" spans="3:8" x14ac:dyDescent="0.25">
      <c r="C614"/>
      <c r="D614"/>
      <c r="E614"/>
      <c r="F614"/>
      <c r="G614"/>
      <c r="H614"/>
    </row>
    <row r="615" spans="3:8" x14ac:dyDescent="0.25">
      <c r="C615"/>
      <c r="D615"/>
      <c r="E615"/>
      <c r="F615"/>
      <c r="G615"/>
      <c r="H615"/>
    </row>
    <row r="616" spans="3:8" x14ac:dyDescent="0.25">
      <c r="C616"/>
      <c r="D616"/>
      <c r="E616"/>
      <c r="F616"/>
      <c r="G616"/>
      <c r="H616"/>
    </row>
    <row r="617" spans="3:8" x14ac:dyDescent="0.25">
      <c r="C617"/>
      <c r="D617"/>
      <c r="E617"/>
      <c r="F617"/>
      <c r="G617"/>
      <c r="H617"/>
    </row>
    <row r="618" spans="3:8" x14ac:dyDescent="0.25">
      <c r="C618"/>
      <c r="D618"/>
      <c r="E618"/>
      <c r="F618"/>
      <c r="G618"/>
      <c r="H618"/>
    </row>
    <row r="619" spans="3:8" x14ac:dyDescent="0.25">
      <c r="C619"/>
      <c r="D619"/>
      <c r="E619"/>
      <c r="F619"/>
      <c r="G619"/>
      <c r="H619"/>
    </row>
    <row r="620" spans="3:8" x14ac:dyDescent="0.25">
      <c r="C620"/>
      <c r="D620"/>
      <c r="E620"/>
      <c r="F620"/>
      <c r="G620"/>
      <c r="H620"/>
    </row>
    <row r="621" spans="3:8" x14ac:dyDescent="0.25">
      <c r="C621"/>
      <c r="D621"/>
      <c r="E621"/>
      <c r="F621"/>
      <c r="G621"/>
      <c r="H621"/>
    </row>
    <row r="622" spans="3:8" x14ac:dyDescent="0.25">
      <c r="C622"/>
      <c r="D622"/>
      <c r="E622"/>
      <c r="F622"/>
      <c r="G622"/>
      <c r="H622"/>
    </row>
    <row r="623" spans="3:8" x14ac:dyDescent="0.25">
      <c r="C623"/>
      <c r="D623"/>
      <c r="E623"/>
      <c r="F623"/>
      <c r="G623"/>
      <c r="H623"/>
    </row>
    <row r="624" spans="3:8" x14ac:dyDescent="0.25">
      <c r="C624"/>
      <c r="D624"/>
      <c r="E624"/>
      <c r="F624"/>
      <c r="G624"/>
      <c r="H624"/>
    </row>
    <row r="625" spans="3:8" x14ac:dyDescent="0.25">
      <c r="C625"/>
      <c r="D625"/>
      <c r="E625"/>
      <c r="F625"/>
      <c r="G625"/>
      <c r="H625"/>
    </row>
    <row r="626" spans="3:8" x14ac:dyDescent="0.25">
      <c r="C626"/>
      <c r="D626"/>
      <c r="E626"/>
      <c r="F626"/>
      <c r="G626"/>
      <c r="H626"/>
    </row>
    <row r="627" spans="3:8" x14ac:dyDescent="0.25">
      <c r="C627"/>
      <c r="D627"/>
      <c r="E627"/>
      <c r="F627"/>
      <c r="G627"/>
      <c r="H627"/>
    </row>
    <row r="628" spans="3:8" x14ac:dyDescent="0.25">
      <c r="C628"/>
      <c r="D628"/>
      <c r="E628"/>
      <c r="F628"/>
      <c r="G628"/>
      <c r="H628"/>
    </row>
    <row r="629" spans="3:8" x14ac:dyDescent="0.25">
      <c r="C629"/>
      <c r="D629"/>
      <c r="E629"/>
      <c r="F629"/>
      <c r="G629"/>
      <c r="H629"/>
    </row>
    <row r="630" spans="3:8" x14ac:dyDescent="0.25">
      <c r="C630"/>
      <c r="D630"/>
      <c r="E630"/>
      <c r="F630"/>
      <c r="G630"/>
      <c r="H630"/>
    </row>
    <row r="631" spans="3:8" x14ac:dyDescent="0.25">
      <c r="C631"/>
      <c r="D631"/>
      <c r="E631"/>
      <c r="F631"/>
      <c r="G631"/>
      <c r="H631"/>
    </row>
    <row r="632" spans="3:8" x14ac:dyDescent="0.25">
      <c r="C632"/>
      <c r="D632"/>
      <c r="E632"/>
      <c r="F632"/>
      <c r="G632"/>
      <c r="H632"/>
    </row>
    <row r="633" spans="3:8" x14ac:dyDescent="0.25">
      <c r="C633"/>
      <c r="D633"/>
      <c r="E633"/>
      <c r="F633"/>
      <c r="G633"/>
      <c r="H633"/>
    </row>
    <row r="634" spans="3:8" x14ac:dyDescent="0.25">
      <c r="C634"/>
      <c r="D634"/>
      <c r="E634"/>
      <c r="F634"/>
      <c r="G634"/>
      <c r="H634"/>
    </row>
    <row r="635" spans="3:8" x14ac:dyDescent="0.25">
      <c r="C635"/>
      <c r="D635"/>
      <c r="E635"/>
      <c r="F635"/>
      <c r="G635"/>
      <c r="H635"/>
    </row>
    <row r="636" spans="3:8" x14ac:dyDescent="0.25">
      <c r="C636"/>
      <c r="D636"/>
      <c r="E636"/>
      <c r="F636"/>
      <c r="G636"/>
      <c r="H636"/>
    </row>
    <row r="637" spans="3:8" x14ac:dyDescent="0.25">
      <c r="C637"/>
      <c r="D637"/>
      <c r="E637"/>
      <c r="F637"/>
      <c r="G637"/>
      <c r="H637"/>
    </row>
    <row r="638" spans="3:8" x14ac:dyDescent="0.25">
      <c r="C638"/>
      <c r="D638"/>
      <c r="E638"/>
      <c r="F638"/>
      <c r="G638"/>
      <c r="H638"/>
    </row>
    <row r="639" spans="3:8" x14ac:dyDescent="0.25">
      <c r="C639"/>
      <c r="D639"/>
      <c r="E639"/>
      <c r="F639"/>
      <c r="G639"/>
      <c r="H639"/>
    </row>
    <row r="640" spans="3:8" x14ac:dyDescent="0.25">
      <c r="C640"/>
      <c r="D640"/>
      <c r="E640"/>
      <c r="F640"/>
      <c r="G640"/>
      <c r="H640"/>
    </row>
    <row r="641" spans="3:8" x14ac:dyDescent="0.25">
      <c r="C641"/>
      <c r="D641"/>
      <c r="E641"/>
      <c r="F641"/>
      <c r="G641"/>
      <c r="H641"/>
    </row>
    <row r="642" spans="3:8" x14ac:dyDescent="0.25">
      <c r="C642"/>
      <c r="D642"/>
      <c r="E642"/>
      <c r="F642"/>
      <c r="G642"/>
      <c r="H642"/>
    </row>
    <row r="643" spans="3:8" x14ac:dyDescent="0.25">
      <c r="C643"/>
      <c r="D643"/>
      <c r="E643"/>
      <c r="F643"/>
      <c r="G643"/>
      <c r="H643"/>
    </row>
    <row r="644" spans="3:8" x14ac:dyDescent="0.25">
      <c r="C644"/>
      <c r="D644"/>
      <c r="E644"/>
      <c r="F644"/>
      <c r="G644"/>
      <c r="H644"/>
    </row>
    <row r="645" spans="3:8" x14ac:dyDescent="0.25">
      <c r="C645"/>
      <c r="D645"/>
      <c r="E645"/>
      <c r="F645"/>
      <c r="G645"/>
      <c r="H645"/>
    </row>
    <row r="646" spans="3:8" x14ac:dyDescent="0.25">
      <c r="C646"/>
      <c r="D646"/>
      <c r="E646"/>
      <c r="F646"/>
      <c r="G646"/>
      <c r="H646"/>
    </row>
    <row r="647" spans="3:8" x14ac:dyDescent="0.25">
      <c r="C647"/>
      <c r="D647"/>
      <c r="E647"/>
      <c r="F647"/>
      <c r="G647"/>
      <c r="H647"/>
    </row>
    <row r="648" spans="3:8" x14ac:dyDescent="0.25">
      <c r="C648"/>
      <c r="D648"/>
      <c r="E648"/>
      <c r="F648"/>
      <c r="G648"/>
      <c r="H648"/>
    </row>
    <row r="649" spans="3:8" x14ac:dyDescent="0.25">
      <c r="C649"/>
      <c r="D649"/>
      <c r="E649"/>
      <c r="F649"/>
      <c r="G649"/>
      <c r="H649"/>
    </row>
    <row r="650" spans="3:8" x14ac:dyDescent="0.25">
      <c r="C650"/>
      <c r="D650"/>
      <c r="E650"/>
      <c r="F650"/>
      <c r="G650"/>
      <c r="H650"/>
    </row>
    <row r="651" spans="3:8" x14ac:dyDescent="0.25">
      <c r="C651"/>
      <c r="D651"/>
      <c r="E651"/>
      <c r="F651"/>
      <c r="G651"/>
      <c r="H651"/>
    </row>
    <row r="652" spans="3:8" x14ac:dyDescent="0.25">
      <c r="C652"/>
      <c r="D652"/>
      <c r="E652"/>
      <c r="F652"/>
      <c r="G652"/>
      <c r="H652"/>
    </row>
    <row r="653" spans="3:8" x14ac:dyDescent="0.25">
      <c r="C653"/>
      <c r="D653"/>
      <c r="E653"/>
      <c r="F653"/>
      <c r="G653"/>
      <c r="H653"/>
    </row>
    <row r="654" spans="3:8" x14ac:dyDescent="0.25">
      <c r="C654"/>
      <c r="D654"/>
      <c r="E654"/>
      <c r="F654"/>
      <c r="G654"/>
      <c r="H654"/>
    </row>
    <row r="655" spans="3:8" x14ac:dyDescent="0.25">
      <c r="C655"/>
      <c r="D655"/>
      <c r="E655"/>
      <c r="F655"/>
      <c r="G655"/>
      <c r="H655"/>
    </row>
    <row r="656" spans="3:8" x14ac:dyDescent="0.25">
      <c r="C656"/>
      <c r="D656"/>
      <c r="E656"/>
      <c r="F656"/>
      <c r="G656"/>
      <c r="H656"/>
    </row>
    <row r="657" spans="3:8" x14ac:dyDescent="0.25">
      <c r="C657"/>
      <c r="D657"/>
      <c r="E657"/>
      <c r="F657"/>
      <c r="G657"/>
      <c r="H657"/>
    </row>
    <row r="658" spans="3:8" x14ac:dyDescent="0.25">
      <c r="C658"/>
      <c r="D658"/>
      <c r="E658"/>
      <c r="F658"/>
      <c r="G658"/>
      <c r="H658"/>
    </row>
    <row r="659" spans="3:8" x14ac:dyDescent="0.25">
      <c r="C659"/>
      <c r="D659"/>
      <c r="E659"/>
      <c r="F659"/>
      <c r="G659"/>
      <c r="H659"/>
    </row>
    <row r="660" spans="3:8" x14ac:dyDescent="0.25">
      <c r="C660"/>
      <c r="D660"/>
      <c r="E660"/>
      <c r="F660"/>
      <c r="G660"/>
      <c r="H660"/>
    </row>
    <row r="661" spans="3:8" x14ac:dyDescent="0.25">
      <c r="C661"/>
      <c r="D661"/>
      <c r="E661"/>
      <c r="F661"/>
      <c r="G661"/>
      <c r="H661"/>
    </row>
    <row r="662" spans="3:8" x14ac:dyDescent="0.25">
      <c r="C662"/>
      <c r="D662"/>
      <c r="E662"/>
      <c r="F662"/>
      <c r="G662"/>
      <c r="H662"/>
    </row>
    <row r="663" spans="3:8" x14ac:dyDescent="0.25">
      <c r="C663"/>
      <c r="D663"/>
      <c r="E663"/>
      <c r="F663"/>
      <c r="G663"/>
      <c r="H663"/>
    </row>
    <row r="664" spans="3:8" x14ac:dyDescent="0.25">
      <c r="C664"/>
      <c r="D664"/>
      <c r="E664"/>
      <c r="F664"/>
      <c r="G664"/>
      <c r="H664"/>
    </row>
    <row r="665" spans="3:8" x14ac:dyDescent="0.25">
      <c r="C665"/>
      <c r="D665"/>
      <c r="E665"/>
      <c r="F665"/>
      <c r="G665"/>
      <c r="H665"/>
    </row>
    <row r="666" spans="3:8" x14ac:dyDescent="0.25">
      <c r="C666"/>
      <c r="D666"/>
      <c r="E666"/>
      <c r="F666"/>
      <c r="G666"/>
      <c r="H666"/>
    </row>
    <row r="667" spans="3:8" x14ac:dyDescent="0.25">
      <c r="C667"/>
      <c r="D667"/>
      <c r="E667"/>
      <c r="F667"/>
      <c r="G667"/>
      <c r="H667"/>
    </row>
    <row r="668" spans="3:8" x14ac:dyDescent="0.25">
      <c r="C668"/>
      <c r="D668"/>
      <c r="E668"/>
      <c r="F668"/>
      <c r="G668"/>
      <c r="H668"/>
    </row>
    <row r="669" spans="3:8" x14ac:dyDescent="0.25">
      <c r="C669"/>
      <c r="D669"/>
      <c r="E669"/>
      <c r="F669"/>
      <c r="G669"/>
      <c r="H669"/>
    </row>
    <row r="670" spans="3:8" x14ac:dyDescent="0.25">
      <c r="C670"/>
      <c r="D670"/>
      <c r="E670"/>
      <c r="F670"/>
      <c r="G670"/>
      <c r="H670"/>
    </row>
    <row r="671" spans="3:8" x14ac:dyDescent="0.25">
      <c r="C671"/>
      <c r="D671"/>
      <c r="E671"/>
      <c r="F671"/>
      <c r="G671"/>
      <c r="H671"/>
    </row>
    <row r="672" spans="3:8" x14ac:dyDescent="0.25">
      <c r="C672"/>
      <c r="D672"/>
      <c r="E672"/>
      <c r="F672"/>
      <c r="G672"/>
      <c r="H672"/>
    </row>
    <row r="673" spans="3:8" x14ac:dyDescent="0.25">
      <c r="C673"/>
      <c r="D673"/>
      <c r="E673"/>
      <c r="F673"/>
      <c r="G673"/>
      <c r="H673"/>
    </row>
    <row r="674" spans="3:8" x14ac:dyDescent="0.25">
      <c r="C674"/>
      <c r="D674"/>
      <c r="E674"/>
      <c r="F674"/>
      <c r="G674"/>
      <c r="H674"/>
    </row>
    <row r="675" spans="3:8" x14ac:dyDescent="0.25">
      <c r="C675"/>
      <c r="D675"/>
      <c r="E675"/>
      <c r="F675"/>
      <c r="G675"/>
      <c r="H675"/>
    </row>
    <row r="676" spans="3:8" x14ac:dyDescent="0.25">
      <c r="C676"/>
      <c r="D676"/>
      <c r="E676"/>
      <c r="F676"/>
      <c r="G676"/>
      <c r="H676"/>
    </row>
    <row r="677" spans="3:8" x14ac:dyDescent="0.25">
      <c r="C677"/>
      <c r="D677"/>
      <c r="E677"/>
      <c r="F677"/>
      <c r="G677"/>
      <c r="H677"/>
    </row>
    <row r="678" spans="3:8" x14ac:dyDescent="0.25">
      <c r="C678"/>
      <c r="D678"/>
      <c r="E678"/>
      <c r="F678"/>
      <c r="G678"/>
      <c r="H678"/>
    </row>
    <row r="679" spans="3:8" x14ac:dyDescent="0.25">
      <c r="C679"/>
      <c r="D679"/>
      <c r="E679"/>
      <c r="F679"/>
      <c r="G679"/>
      <c r="H679"/>
    </row>
    <row r="680" spans="3:8" x14ac:dyDescent="0.25">
      <c r="C680"/>
      <c r="D680"/>
      <c r="E680"/>
      <c r="F680"/>
      <c r="G680"/>
      <c r="H680"/>
    </row>
    <row r="681" spans="3:8" x14ac:dyDescent="0.25">
      <c r="C681"/>
      <c r="D681"/>
      <c r="E681"/>
      <c r="F681"/>
      <c r="G681"/>
      <c r="H681"/>
    </row>
    <row r="682" spans="3:8" x14ac:dyDescent="0.25">
      <c r="C682"/>
      <c r="D682"/>
      <c r="E682"/>
      <c r="F682"/>
      <c r="G682"/>
      <c r="H682"/>
    </row>
    <row r="683" spans="3:8" x14ac:dyDescent="0.25">
      <c r="C683"/>
      <c r="D683"/>
      <c r="E683"/>
      <c r="F683"/>
      <c r="G683"/>
      <c r="H683"/>
    </row>
    <row r="684" spans="3:8" x14ac:dyDescent="0.25">
      <c r="C684"/>
      <c r="D684"/>
      <c r="E684"/>
      <c r="F684"/>
      <c r="G684"/>
      <c r="H684"/>
    </row>
    <row r="685" spans="3:8" x14ac:dyDescent="0.25">
      <c r="C685"/>
      <c r="D685"/>
      <c r="E685"/>
      <c r="F685"/>
      <c r="G685"/>
      <c r="H685"/>
    </row>
    <row r="686" spans="3:8" x14ac:dyDescent="0.25">
      <c r="C686"/>
      <c r="D686"/>
      <c r="E686"/>
      <c r="F686"/>
      <c r="G686"/>
      <c r="H686"/>
    </row>
    <row r="687" spans="3:8" x14ac:dyDescent="0.25">
      <c r="C687"/>
      <c r="D687"/>
      <c r="E687"/>
      <c r="F687"/>
      <c r="G687"/>
      <c r="H687"/>
    </row>
    <row r="688" spans="3:8" x14ac:dyDescent="0.25">
      <c r="C688"/>
      <c r="D688"/>
      <c r="E688"/>
      <c r="F688"/>
      <c r="G688"/>
      <c r="H688"/>
    </row>
    <row r="689" spans="3:8" x14ac:dyDescent="0.25">
      <c r="C689"/>
      <c r="D689"/>
      <c r="E689"/>
      <c r="F689"/>
      <c r="G689"/>
      <c r="H689"/>
    </row>
    <row r="690" spans="3:8" x14ac:dyDescent="0.25">
      <c r="C690"/>
      <c r="D690"/>
      <c r="E690"/>
      <c r="F690"/>
      <c r="G690"/>
      <c r="H690"/>
    </row>
    <row r="691" spans="3:8" x14ac:dyDescent="0.25">
      <c r="C691"/>
      <c r="D691"/>
      <c r="E691"/>
      <c r="F691"/>
      <c r="G691"/>
      <c r="H691"/>
    </row>
    <row r="692" spans="3:8" x14ac:dyDescent="0.25">
      <c r="C692"/>
      <c r="D692"/>
      <c r="E692"/>
      <c r="F692"/>
      <c r="G692"/>
      <c r="H692"/>
    </row>
    <row r="693" spans="3:8" x14ac:dyDescent="0.25">
      <c r="C693"/>
      <c r="D693"/>
      <c r="E693"/>
      <c r="F693"/>
      <c r="G693"/>
      <c r="H693"/>
    </row>
    <row r="694" spans="3:8" x14ac:dyDescent="0.25">
      <c r="C694"/>
      <c r="D694"/>
      <c r="E694"/>
      <c r="F694"/>
      <c r="G694"/>
      <c r="H694"/>
    </row>
    <row r="695" spans="3:8" x14ac:dyDescent="0.25">
      <c r="C695"/>
      <c r="D695"/>
      <c r="E695"/>
      <c r="F695"/>
      <c r="G695"/>
      <c r="H695"/>
    </row>
    <row r="696" spans="3:8" x14ac:dyDescent="0.25">
      <c r="C696"/>
      <c r="D696"/>
      <c r="E696"/>
      <c r="F696"/>
      <c r="G696"/>
      <c r="H696"/>
    </row>
    <row r="697" spans="3:8" x14ac:dyDescent="0.25">
      <c r="C697"/>
      <c r="D697"/>
      <c r="E697"/>
      <c r="F697"/>
      <c r="G697"/>
      <c r="H697"/>
    </row>
    <row r="698" spans="3:8" x14ac:dyDescent="0.25">
      <c r="C698"/>
      <c r="D698"/>
      <c r="E698"/>
      <c r="F698"/>
      <c r="G698"/>
      <c r="H698"/>
    </row>
    <row r="699" spans="3:8" x14ac:dyDescent="0.25">
      <c r="C699"/>
      <c r="D699"/>
      <c r="E699"/>
      <c r="F699"/>
      <c r="G699"/>
      <c r="H699"/>
    </row>
    <row r="700" spans="3:8" x14ac:dyDescent="0.25">
      <c r="C700"/>
      <c r="D700"/>
      <c r="E700"/>
      <c r="F700"/>
      <c r="G700"/>
      <c r="H700"/>
    </row>
    <row r="701" spans="3:8" x14ac:dyDescent="0.25">
      <c r="C701"/>
      <c r="D701"/>
      <c r="E701"/>
      <c r="F701"/>
      <c r="G701"/>
      <c r="H701"/>
    </row>
    <row r="702" spans="3:8" x14ac:dyDescent="0.25">
      <c r="C702"/>
      <c r="D702"/>
      <c r="E702"/>
      <c r="F702"/>
      <c r="G702"/>
      <c r="H702"/>
    </row>
    <row r="703" spans="3:8" x14ac:dyDescent="0.25">
      <c r="C703"/>
      <c r="D703"/>
      <c r="E703"/>
      <c r="F703"/>
      <c r="G703"/>
      <c r="H703"/>
    </row>
    <row r="704" spans="3:8" x14ac:dyDescent="0.25">
      <c r="C704"/>
      <c r="D704"/>
      <c r="E704"/>
      <c r="F704"/>
      <c r="G704"/>
      <c r="H704"/>
    </row>
    <row r="705" spans="3:8" x14ac:dyDescent="0.25">
      <c r="C705"/>
      <c r="D705"/>
      <c r="E705"/>
      <c r="F705"/>
      <c r="G705"/>
      <c r="H705"/>
    </row>
    <row r="706" spans="3:8" x14ac:dyDescent="0.25">
      <c r="C706"/>
      <c r="D706"/>
      <c r="E706"/>
      <c r="F706"/>
      <c r="G706"/>
      <c r="H706"/>
    </row>
    <row r="707" spans="3:8" x14ac:dyDescent="0.25">
      <c r="C707"/>
      <c r="D707"/>
      <c r="E707"/>
      <c r="F707"/>
      <c r="G707"/>
      <c r="H707"/>
    </row>
    <row r="708" spans="3:8" x14ac:dyDescent="0.25">
      <c r="C708"/>
      <c r="D708"/>
      <c r="E708"/>
      <c r="F708"/>
      <c r="G708"/>
      <c r="H708"/>
    </row>
    <row r="709" spans="3:8" x14ac:dyDescent="0.25">
      <c r="C709"/>
      <c r="D709"/>
      <c r="E709"/>
      <c r="F709"/>
      <c r="G709"/>
      <c r="H709"/>
    </row>
    <row r="710" spans="3:8" x14ac:dyDescent="0.25">
      <c r="C710"/>
      <c r="D710"/>
      <c r="E710"/>
      <c r="F710"/>
      <c r="G710"/>
      <c r="H710"/>
    </row>
    <row r="711" spans="3:8" x14ac:dyDescent="0.25">
      <c r="C711"/>
      <c r="D711"/>
      <c r="E711"/>
      <c r="F711"/>
      <c r="G711"/>
      <c r="H711"/>
    </row>
    <row r="712" spans="3:8" x14ac:dyDescent="0.25">
      <c r="C712"/>
      <c r="D712"/>
      <c r="E712"/>
      <c r="F712"/>
      <c r="G712"/>
      <c r="H712"/>
    </row>
    <row r="713" spans="3:8" x14ac:dyDescent="0.25">
      <c r="C713"/>
      <c r="D713"/>
      <c r="E713"/>
      <c r="F713"/>
      <c r="G713"/>
      <c r="H713"/>
    </row>
    <row r="714" spans="3:8" x14ac:dyDescent="0.25">
      <c r="C714"/>
      <c r="D714"/>
      <c r="E714"/>
      <c r="F714"/>
      <c r="G714"/>
      <c r="H714"/>
    </row>
    <row r="715" spans="3:8" x14ac:dyDescent="0.25">
      <c r="C715"/>
      <c r="D715"/>
      <c r="E715"/>
      <c r="F715"/>
      <c r="G715"/>
      <c r="H715"/>
    </row>
    <row r="716" spans="3:8" x14ac:dyDescent="0.25">
      <c r="C716"/>
      <c r="D716"/>
      <c r="E716"/>
      <c r="F716"/>
      <c r="G716"/>
      <c r="H716"/>
    </row>
    <row r="717" spans="3:8" x14ac:dyDescent="0.25">
      <c r="C717"/>
      <c r="D717"/>
      <c r="E717"/>
      <c r="F717"/>
      <c r="G717"/>
      <c r="H717"/>
    </row>
    <row r="718" spans="3:8" x14ac:dyDescent="0.25">
      <c r="C718"/>
      <c r="D718"/>
      <c r="E718"/>
      <c r="F718"/>
      <c r="G718"/>
      <c r="H718"/>
    </row>
    <row r="719" spans="3:8" x14ac:dyDescent="0.25">
      <c r="C719"/>
      <c r="D719"/>
      <c r="E719"/>
      <c r="F719"/>
      <c r="G719"/>
      <c r="H719"/>
    </row>
    <row r="720" spans="3:8" x14ac:dyDescent="0.25">
      <c r="C720"/>
      <c r="D720"/>
      <c r="E720"/>
      <c r="F720"/>
      <c r="G720"/>
      <c r="H720"/>
    </row>
    <row r="721" spans="3:8" x14ac:dyDescent="0.25">
      <c r="C721"/>
      <c r="D721"/>
      <c r="E721"/>
      <c r="F721"/>
      <c r="G721"/>
      <c r="H721"/>
    </row>
    <row r="722" spans="3:8" x14ac:dyDescent="0.25">
      <c r="C722"/>
      <c r="D722"/>
      <c r="E722"/>
      <c r="F722"/>
      <c r="G722"/>
      <c r="H722"/>
    </row>
    <row r="723" spans="3:8" x14ac:dyDescent="0.25">
      <c r="C723"/>
      <c r="D723"/>
      <c r="E723"/>
      <c r="F723"/>
      <c r="G723"/>
      <c r="H723"/>
    </row>
    <row r="724" spans="3:8" x14ac:dyDescent="0.25">
      <c r="C724"/>
      <c r="D724"/>
      <c r="E724"/>
      <c r="F724"/>
      <c r="G724"/>
      <c r="H724"/>
    </row>
    <row r="725" spans="3:8" x14ac:dyDescent="0.25">
      <c r="C725"/>
      <c r="D725"/>
      <c r="E725"/>
      <c r="F725"/>
      <c r="G725"/>
      <c r="H725"/>
    </row>
    <row r="726" spans="3:8" x14ac:dyDescent="0.25">
      <c r="C726"/>
      <c r="D726"/>
      <c r="E726"/>
      <c r="F726"/>
      <c r="G726"/>
      <c r="H726"/>
    </row>
    <row r="727" spans="3:8" x14ac:dyDescent="0.25">
      <c r="C727"/>
      <c r="D727"/>
      <c r="E727"/>
      <c r="F727"/>
      <c r="G727"/>
      <c r="H727"/>
    </row>
    <row r="728" spans="3:8" x14ac:dyDescent="0.25">
      <c r="C728"/>
      <c r="D728"/>
      <c r="E728"/>
      <c r="F728"/>
      <c r="G728"/>
      <c r="H728"/>
    </row>
    <row r="729" spans="3:8" x14ac:dyDescent="0.25">
      <c r="C729"/>
      <c r="D729"/>
      <c r="E729"/>
      <c r="F729"/>
      <c r="G729"/>
      <c r="H729"/>
    </row>
    <row r="730" spans="3:8" x14ac:dyDescent="0.25">
      <c r="C730"/>
      <c r="D730"/>
      <c r="E730"/>
      <c r="F730"/>
      <c r="G730"/>
      <c r="H730"/>
    </row>
    <row r="731" spans="3:8" x14ac:dyDescent="0.25">
      <c r="C731"/>
      <c r="D731"/>
      <c r="E731"/>
      <c r="F731"/>
      <c r="G731"/>
      <c r="H731"/>
    </row>
    <row r="732" spans="3:8" x14ac:dyDescent="0.25">
      <c r="C732"/>
      <c r="D732"/>
      <c r="E732"/>
      <c r="F732"/>
      <c r="G732"/>
      <c r="H732"/>
    </row>
    <row r="733" spans="3:8" x14ac:dyDescent="0.25">
      <c r="C733"/>
      <c r="D733"/>
      <c r="E733"/>
      <c r="F733"/>
      <c r="G733"/>
      <c r="H733"/>
    </row>
    <row r="734" spans="3:8" x14ac:dyDescent="0.25">
      <c r="C734"/>
      <c r="D734"/>
      <c r="E734"/>
      <c r="F734"/>
      <c r="G734"/>
      <c r="H734"/>
    </row>
    <row r="735" spans="3:8" x14ac:dyDescent="0.25">
      <c r="C735"/>
      <c r="D735"/>
      <c r="E735"/>
      <c r="F735"/>
      <c r="G735"/>
      <c r="H735"/>
    </row>
    <row r="736" spans="3:8" x14ac:dyDescent="0.25">
      <c r="C736"/>
      <c r="D736"/>
      <c r="E736"/>
      <c r="F736"/>
      <c r="G736"/>
      <c r="H736"/>
    </row>
    <row r="737" spans="3:8" x14ac:dyDescent="0.25">
      <c r="C737"/>
      <c r="D737"/>
      <c r="E737"/>
      <c r="F737"/>
      <c r="G737"/>
      <c r="H737"/>
    </row>
    <row r="738" spans="3:8" x14ac:dyDescent="0.25">
      <c r="C738"/>
      <c r="D738"/>
      <c r="E738"/>
      <c r="F738"/>
      <c r="G738"/>
      <c r="H738"/>
    </row>
    <row r="739" spans="3:8" x14ac:dyDescent="0.25">
      <c r="C739"/>
      <c r="D739"/>
      <c r="E739"/>
      <c r="F739"/>
      <c r="G739"/>
      <c r="H739"/>
    </row>
    <row r="740" spans="3:8" x14ac:dyDescent="0.25">
      <c r="C740"/>
      <c r="D740"/>
      <c r="E740"/>
      <c r="F740"/>
      <c r="G740"/>
      <c r="H740"/>
    </row>
    <row r="741" spans="3:8" x14ac:dyDescent="0.25">
      <c r="C741"/>
      <c r="D741"/>
      <c r="E741"/>
      <c r="F741"/>
      <c r="G741"/>
      <c r="H741"/>
    </row>
    <row r="742" spans="3:8" x14ac:dyDescent="0.25">
      <c r="C742"/>
      <c r="D742"/>
      <c r="E742"/>
      <c r="F742"/>
      <c r="G742"/>
      <c r="H742"/>
    </row>
    <row r="743" spans="3:8" x14ac:dyDescent="0.25">
      <c r="C743"/>
      <c r="D743"/>
      <c r="E743"/>
      <c r="F743"/>
      <c r="G743"/>
      <c r="H743"/>
    </row>
    <row r="744" spans="3:8" x14ac:dyDescent="0.25">
      <c r="C744"/>
      <c r="D744"/>
      <c r="E744"/>
      <c r="F744"/>
      <c r="G744"/>
      <c r="H744"/>
    </row>
    <row r="745" spans="3:8" x14ac:dyDescent="0.25">
      <c r="C745"/>
      <c r="D745"/>
      <c r="E745"/>
      <c r="F745"/>
      <c r="G745"/>
      <c r="H745"/>
    </row>
    <row r="746" spans="3:8" x14ac:dyDescent="0.25">
      <c r="C746"/>
      <c r="D746"/>
      <c r="E746"/>
      <c r="F746"/>
      <c r="G746"/>
      <c r="H746"/>
    </row>
    <row r="747" spans="3:8" x14ac:dyDescent="0.25">
      <c r="C747"/>
      <c r="D747"/>
      <c r="E747"/>
      <c r="F747"/>
      <c r="G747"/>
      <c r="H747"/>
    </row>
    <row r="748" spans="3:8" x14ac:dyDescent="0.25">
      <c r="C748"/>
      <c r="D748"/>
      <c r="E748"/>
      <c r="F748"/>
      <c r="G748"/>
      <c r="H748"/>
    </row>
    <row r="749" spans="3:8" x14ac:dyDescent="0.25">
      <c r="C749"/>
      <c r="D749"/>
      <c r="E749"/>
      <c r="F749"/>
      <c r="G749"/>
      <c r="H749"/>
    </row>
    <row r="750" spans="3:8" x14ac:dyDescent="0.25">
      <c r="C750"/>
      <c r="D750"/>
      <c r="E750"/>
      <c r="F750"/>
      <c r="G750"/>
      <c r="H750"/>
    </row>
    <row r="751" spans="3:8" x14ac:dyDescent="0.25">
      <c r="C751"/>
      <c r="D751"/>
      <c r="E751"/>
      <c r="F751"/>
      <c r="G751"/>
      <c r="H751"/>
    </row>
    <row r="752" spans="3:8" x14ac:dyDescent="0.25">
      <c r="C752"/>
      <c r="D752"/>
      <c r="E752"/>
      <c r="F752"/>
      <c r="G752"/>
      <c r="H752"/>
    </row>
    <row r="753" spans="3:8" x14ac:dyDescent="0.25">
      <c r="C753"/>
      <c r="D753"/>
      <c r="E753"/>
      <c r="F753"/>
      <c r="G753"/>
      <c r="H753"/>
    </row>
    <row r="754" spans="3:8" x14ac:dyDescent="0.25">
      <c r="C754"/>
      <c r="D754"/>
      <c r="E754"/>
      <c r="F754"/>
      <c r="G754"/>
      <c r="H754"/>
    </row>
    <row r="755" spans="3:8" x14ac:dyDescent="0.25">
      <c r="C755"/>
      <c r="D755"/>
      <c r="E755"/>
      <c r="F755"/>
      <c r="G755"/>
      <c r="H755"/>
    </row>
    <row r="756" spans="3:8" x14ac:dyDescent="0.25">
      <c r="C756"/>
      <c r="D756"/>
      <c r="E756"/>
      <c r="F756"/>
      <c r="G756"/>
      <c r="H756"/>
    </row>
    <row r="757" spans="3:8" x14ac:dyDescent="0.25">
      <c r="C757"/>
      <c r="D757"/>
      <c r="E757"/>
      <c r="F757"/>
      <c r="G757"/>
      <c r="H757"/>
    </row>
    <row r="758" spans="3:8" x14ac:dyDescent="0.25">
      <c r="C758"/>
      <c r="D758"/>
      <c r="E758"/>
      <c r="F758"/>
      <c r="G758"/>
      <c r="H758"/>
    </row>
    <row r="759" spans="3:8" x14ac:dyDescent="0.25">
      <c r="C759"/>
      <c r="D759"/>
      <c r="E759"/>
      <c r="F759"/>
      <c r="G759"/>
      <c r="H759"/>
    </row>
    <row r="760" spans="3:8" x14ac:dyDescent="0.25">
      <c r="C760"/>
      <c r="D760"/>
      <c r="E760"/>
      <c r="F760"/>
      <c r="G760"/>
      <c r="H760"/>
    </row>
    <row r="761" spans="3:8" x14ac:dyDescent="0.25">
      <c r="C761"/>
      <c r="D761"/>
      <c r="E761"/>
      <c r="F761"/>
      <c r="G761"/>
      <c r="H761"/>
    </row>
    <row r="762" spans="3:8" x14ac:dyDescent="0.25">
      <c r="C762"/>
      <c r="D762"/>
      <c r="E762"/>
      <c r="F762"/>
      <c r="G762"/>
      <c r="H762"/>
    </row>
    <row r="763" spans="3:8" x14ac:dyDescent="0.25">
      <c r="C763"/>
      <c r="D763"/>
      <c r="E763"/>
      <c r="F763"/>
      <c r="G763"/>
      <c r="H763"/>
    </row>
    <row r="764" spans="3:8" x14ac:dyDescent="0.25">
      <c r="C764"/>
      <c r="D764"/>
      <c r="E764"/>
      <c r="F764"/>
      <c r="G764"/>
      <c r="H764"/>
    </row>
    <row r="765" spans="3:8" x14ac:dyDescent="0.25">
      <c r="C765"/>
      <c r="D765"/>
      <c r="E765"/>
      <c r="F765"/>
      <c r="G765"/>
      <c r="H765"/>
    </row>
    <row r="766" spans="3:8" x14ac:dyDescent="0.25">
      <c r="C766"/>
      <c r="D766"/>
      <c r="E766"/>
      <c r="F766"/>
      <c r="G766"/>
      <c r="H766"/>
    </row>
    <row r="767" spans="3:8" x14ac:dyDescent="0.25">
      <c r="C767"/>
      <c r="D767"/>
      <c r="E767"/>
      <c r="F767"/>
      <c r="G767"/>
      <c r="H767"/>
    </row>
    <row r="768" spans="3:8" x14ac:dyDescent="0.25">
      <c r="C768"/>
      <c r="D768"/>
      <c r="E768"/>
      <c r="F768"/>
      <c r="G768"/>
      <c r="H768"/>
    </row>
    <row r="769" spans="3:8" x14ac:dyDescent="0.25">
      <c r="C769"/>
      <c r="D769"/>
      <c r="E769"/>
      <c r="F769"/>
      <c r="G769"/>
      <c r="H769"/>
    </row>
    <row r="770" spans="3:8" x14ac:dyDescent="0.25">
      <c r="C770"/>
      <c r="D770"/>
      <c r="E770"/>
      <c r="F770"/>
      <c r="G770"/>
      <c r="H770"/>
    </row>
    <row r="771" spans="3:8" x14ac:dyDescent="0.25">
      <c r="C771"/>
      <c r="D771"/>
      <c r="E771"/>
      <c r="F771"/>
      <c r="G771"/>
      <c r="H771"/>
    </row>
    <row r="772" spans="3:8" x14ac:dyDescent="0.25">
      <c r="C772"/>
      <c r="D772"/>
      <c r="E772"/>
      <c r="F772"/>
      <c r="G772"/>
      <c r="H772"/>
    </row>
    <row r="773" spans="3:8" x14ac:dyDescent="0.25">
      <c r="C773"/>
      <c r="D773"/>
      <c r="E773"/>
      <c r="F773"/>
      <c r="G773"/>
      <c r="H773"/>
    </row>
    <row r="774" spans="3:8" x14ac:dyDescent="0.25">
      <c r="C774"/>
      <c r="D774"/>
      <c r="E774"/>
      <c r="F774"/>
      <c r="G774"/>
      <c r="H774"/>
    </row>
    <row r="775" spans="3:8" x14ac:dyDescent="0.25">
      <c r="C775"/>
      <c r="D775"/>
      <c r="E775"/>
      <c r="F775"/>
      <c r="G775"/>
      <c r="H775"/>
    </row>
    <row r="776" spans="3:8" x14ac:dyDescent="0.25">
      <c r="C776"/>
      <c r="D776"/>
      <c r="E776"/>
      <c r="F776"/>
      <c r="G776"/>
      <c r="H776"/>
    </row>
    <row r="777" spans="3:8" x14ac:dyDescent="0.25">
      <c r="C777"/>
      <c r="D777"/>
      <c r="E777"/>
      <c r="F777"/>
      <c r="G777"/>
      <c r="H777"/>
    </row>
    <row r="778" spans="3:8" x14ac:dyDescent="0.25">
      <c r="C778"/>
      <c r="D778"/>
      <c r="E778"/>
      <c r="F778"/>
      <c r="G778"/>
      <c r="H778"/>
    </row>
    <row r="779" spans="3:8" x14ac:dyDescent="0.25">
      <c r="C779"/>
      <c r="D779"/>
      <c r="E779"/>
      <c r="F779"/>
      <c r="G779"/>
      <c r="H779"/>
    </row>
    <row r="780" spans="3:8" x14ac:dyDescent="0.25">
      <c r="C780"/>
      <c r="D780"/>
      <c r="E780"/>
      <c r="F780"/>
      <c r="G780"/>
      <c r="H780"/>
    </row>
    <row r="781" spans="3:8" x14ac:dyDescent="0.25">
      <c r="C781"/>
      <c r="D781"/>
      <c r="E781"/>
      <c r="F781"/>
      <c r="G781"/>
      <c r="H781"/>
    </row>
    <row r="782" spans="3:8" x14ac:dyDescent="0.25">
      <c r="C782"/>
      <c r="D782"/>
      <c r="E782"/>
      <c r="F782"/>
      <c r="G782"/>
      <c r="H782"/>
    </row>
    <row r="783" spans="3:8" x14ac:dyDescent="0.25">
      <c r="C783"/>
      <c r="D783"/>
      <c r="E783"/>
      <c r="F783"/>
      <c r="G783"/>
      <c r="H783"/>
    </row>
    <row r="784" spans="3:8" x14ac:dyDescent="0.25">
      <c r="C784"/>
      <c r="D784"/>
      <c r="E784"/>
      <c r="F784"/>
      <c r="G784"/>
      <c r="H784"/>
    </row>
    <row r="785" spans="3:8" x14ac:dyDescent="0.25">
      <c r="C785"/>
      <c r="D785"/>
      <c r="E785"/>
      <c r="F785"/>
      <c r="G785"/>
      <c r="H785"/>
    </row>
    <row r="786" spans="3:8" x14ac:dyDescent="0.25">
      <c r="C786"/>
      <c r="D786"/>
      <c r="E786"/>
      <c r="F786"/>
      <c r="G786"/>
      <c r="H786"/>
    </row>
    <row r="787" spans="3:8" x14ac:dyDescent="0.25">
      <c r="C787"/>
      <c r="D787"/>
      <c r="E787"/>
      <c r="F787"/>
      <c r="G787"/>
      <c r="H787"/>
    </row>
    <row r="788" spans="3:8" x14ac:dyDescent="0.25">
      <c r="C788"/>
      <c r="D788"/>
      <c r="E788"/>
      <c r="F788"/>
      <c r="G788"/>
      <c r="H788"/>
    </row>
    <row r="789" spans="3:8" x14ac:dyDescent="0.25">
      <c r="C789"/>
      <c r="D789"/>
      <c r="E789"/>
      <c r="F789"/>
      <c r="G789"/>
      <c r="H789"/>
    </row>
    <row r="790" spans="3:8" x14ac:dyDescent="0.25">
      <c r="C790"/>
      <c r="D790"/>
      <c r="E790"/>
      <c r="F790"/>
      <c r="G790"/>
      <c r="H790"/>
    </row>
    <row r="791" spans="3:8" x14ac:dyDescent="0.25">
      <c r="C791"/>
      <c r="D791"/>
      <c r="E791"/>
      <c r="F791"/>
      <c r="G791"/>
      <c r="H791"/>
    </row>
    <row r="792" spans="3:8" x14ac:dyDescent="0.25">
      <c r="C792"/>
      <c r="D792"/>
      <c r="E792"/>
      <c r="F792"/>
      <c r="G792"/>
      <c r="H792"/>
    </row>
    <row r="793" spans="3:8" x14ac:dyDescent="0.25">
      <c r="C793"/>
      <c r="D793"/>
      <c r="E793"/>
      <c r="F793"/>
      <c r="G793"/>
      <c r="H793"/>
    </row>
    <row r="794" spans="3:8" x14ac:dyDescent="0.25">
      <c r="C794"/>
      <c r="D794"/>
      <c r="E794"/>
      <c r="F794"/>
      <c r="G794"/>
      <c r="H794"/>
    </row>
    <row r="795" spans="3:8" x14ac:dyDescent="0.25">
      <c r="C795"/>
      <c r="D795"/>
      <c r="E795"/>
      <c r="F795"/>
      <c r="G795"/>
      <c r="H795"/>
    </row>
    <row r="796" spans="3:8" x14ac:dyDescent="0.25">
      <c r="C796"/>
      <c r="D796"/>
      <c r="E796"/>
      <c r="F796"/>
      <c r="G796"/>
      <c r="H796"/>
    </row>
    <row r="797" spans="3:8" x14ac:dyDescent="0.25">
      <c r="C797"/>
      <c r="D797"/>
      <c r="E797"/>
      <c r="F797"/>
      <c r="G797"/>
      <c r="H797"/>
    </row>
    <row r="798" spans="3:8" x14ac:dyDescent="0.25">
      <c r="C798"/>
      <c r="D798"/>
      <c r="E798"/>
      <c r="F798"/>
      <c r="G798"/>
      <c r="H798"/>
    </row>
    <row r="799" spans="3:8" x14ac:dyDescent="0.25">
      <c r="C799"/>
      <c r="D799"/>
      <c r="E799"/>
      <c r="F799"/>
      <c r="G799"/>
      <c r="H799"/>
    </row>
    <row r="800" spans="3:8" x14ac:dyDescent="0.25">
      <c r="C800"/>
      <c r="D800"/>
      <c r="E800"/>
      <c r="F800"/>
      <c r="G800"/>
      <c r="H800"/>
    </row>
    <row r="801" spans="3:8" x14ac:dyDescent="0.25">
      <c r="C801"/>
      <c r="D801"/>
      <c r="E801"/>
      <c r="F801"/>
      <c r="G801"/>
      <c r="H801"/>
    </row>
    <row r="802" spans="3:8" x14ac:dyDescent="0.25">
      <c r="C802"/>
      <c r="D802"/>
      <c r="E802"/>
      <c r="F802"/>
      <c r="G802"/>
      <c r="H802"/>
    </row>
    <row r="803" spans="3:8" x14ac:dyDescent="0.25">
      <c r="C803"/>
      <c r="D803"/>
      <c r="E803"/>
      <c r="F803"/>
      <c r="G803"/>
      <c r="H803"/>
    </row>
    <row r="804" spans="3:8" x14ac:dyDescent="0.25">
      <c r="C804"/>
      <c r="D804"/>
      <c r="E804"/>
      <c r="F804"/>
      <c r="G804"/>
      <c r="H804"/>
    </row>
    <row r="805" spans="3:8" x14ac:dyDescent="0.25">
      <c r="C805"/>
      <c r="D805"/>
      <c r="E805"/>
      <c r="F805"/>
      <c r="G805"/>
      <c r="H805"/>
    </row>
    <row r="806" spans="3:8" x14ac:dyDescent="0.25">
      <c r="C806"/>
      <c r="D806"/>
      <c r="E806"/>
      <c r="F806"/>
      <c r="G806"/>
      <c r="H806"/>
    </row>
    <row r="807" spans="3:8" x14ac:dyDescent="0.25">
      <c r="C807"/>
      <c r="D807"/>
      <c r="E807"/>
      <c r="F807"/>
      <c r="G807"/>
      <c r="H807"/>
    </row>
    <row r="808" spans="3:8" x14ac:dyDescent="0.25">
      <c r="C808"/>
      <c r="D808"/>
      <c r="E808"/>
      <c r="F808"/>
      <c r="G808"/>
      <c r="H808"/>
    </row>
    <row r="809" spans="3:8" x14ac:dyDescent="0.25">
      <c r="C809"/>
      <c r="D809"/>
      <c r="E809"/>
      <c r="F809"/>
      <c r="G809"/>
      <c r="H809"/>
    </row>
    <row r="810" spans="3:8" x14ac:dyDescent="0.25">
      <c r="C810"/>
      <c r="D810"/>
      <c r="E810"/>
      <c r="F810"/>
      <c r="G810"/>
      <c r="H810"/>
    </row>
    <row r="811" spans="3:8" x14ac:dyDescent="0.25">
      <c r="C811"/>
      <c r="D811"/>
      <c r="E811"/>
      <c r="F811"/>
      <c r="G811"/>
      <c r="H811"/>
    </row>
    <row r="812" spans="3:8" x14ac:dyDescent="0.25">
      <c r="C812"/>
      <c r="D812"/>
      <c r="E812"/>
      <c r="F812"/>
      <c r="G812"/>
      <c r="H812"/>
    </row>
    <row r="813" spans="3:8" x14ac:dyDescent="0.25">
      <c r="C813"/>
      <c r="D813"/>
      <c r="E813"/>
      <c r="F813"/>
      <c r="G813"/>
      <c r="H813"/>
    </row>
    <row r="814" spans="3:8" x14ac:dyDescent="0.25">
      <c r="C814"/>
      <c r="D814"/>
      <c r="E814"/>
      <c r="F814"/>
      <c r="G814"/>
      <c r="H814"/>
    </row>
    <row r="815" spans="3:8" x14ac:dyDescent="0.25">
      <c r="C815"/>
      <c r="D815"/>
      <c r="E815"/>
      <c r="F815"/>
      <c r="G815"/>
      <c r="H815"/>
    </row>
    <row r="816" spans="3:8" x14ac:dyDescent="0.25">
      <c r="C816"/>
      <c r="D816"/>
      <c r="E816"/>
      <c r="F816"/>
      <c r="G816"/>
      <c r="H816"/>
    </row>
    <row r="817" spans="3:8" x14ac:dyDescent="0.25">
      <c r="C817"/>
      <c r="D817"/>
      <c r="E817"/>
      <c r="F817"/>
      <c r="G817"/>
      <c r="H817"/>
    </row>
    <row r="818" spans="3:8" x14ac:dyDescent="0.25">
      <c r="C818"/>
      <c r="D818"/>
      <c r="E818"/>
      <c r="F818"/>
      <c r="G818"/>
      <c r="H818"/>
    </row>
    <row r="819" spans="3:8" x14ac:dyDescent="0.25">
      <c r="C819"/>
      <c r="D819"/>
      <c r="E819"/>
      <c r="F819"/>
      <c r="G819"/>
      <c r="H819"/>
    </row>
    <row r="820" spans="3:8" x14ac:dyDescent="0.25">
      <c r="C820"/>
      <c r="D820"/>
      <c r="E820"/>
      <c r="F820"/>
      <c r="G820"/>
      <c r="H820"/>
    </row>
    <row r="821" spans="3:8" x14ac:dyDescent="0.25">
      <c r="C821"/>
      <c r="D821"/>
      <c r="E821"/>
      <c r="F821"/>
      <c r="G821"/>
      <c r="H821"/>
    </row>
    <row r="822" spans="3:8" x14ac:dyDescent="0.25">
      <c r="C822"/>
      <c r="D822"/>
      <c r="E822"/>
      <c r="F822"/>
      <c r="G822"/>
      <c r="H822"/>
    </row>
    <row r="823" spans="3:8" x14ac:dyDescent="0.25">
      <c r="C823"/>
      <c r="D823"/>
      <c r="E823"/>
      <c r="F823"/>
      <c r="G823"/>
      <c r="H823"/>
    </row>
    <row r="824" spans="3:8" x14ac:dyDescent="0.25">
      <c r="C824"/>
      <c r="D824"/>
      <c r="E824"/>
      <c r="F824"/>
      <c r="G824"/>
      <c r="H824"/>
    </row>
    <row r="825" spans="3:8" x14ac:dyDescent="0.25">
      <c r="C825"/>
      <c r="D825"/>
      <c r="E825"/>
      <c r="F825"/>
      <c r="G825"/>
      <c r="H825"/>
    </row>
    <row r="826" spans="3:8" x14ac:dyDescent="0.25">
      <c r="C826"/>
      <c r="D826"/>
      <c r="E826"/>
      <c r="F826"/>
      <c r="G826"/>
      <c r="H826"/>
    </row>
    <row r="827" spans="3:8" x14ac:dyDescent="0.25">
      <c r="C827"/>
      <c r="D827"/>
      <c r="E827"/>
      <c r="F827"/>
      <c r="G827"/>
      <c r="H827"/>
    </row>
    <row r="828" spans="3:8" x14ac:dyDescent="0.25">
      <c r="C828"/>
      <c r="D828"/>
      <c r="E828"/>
      <c r="F828"/>
      <c r="G828"/>
      <c r="H828"/>
    </row>
    <row r="829" spans="3:8" x14ac:dyDescent="0.25">
      <c r="C829"/>
      <c r="D829"/>
      <c r="E829"/>
      <c r="F829"/>
      <c r="G829"/>
      <c r="H829"/>
    </row>
    <row r="830" spans="3:8" x14ac:dyDescent="0.25">
      <c r="C830"/>
      <c r="D830"/>
      <c r="E830"/>
      <c r="F830"/>
      <c r="G830"/>
      <c r="H830"/>
    </row>
    <row r="831" spans="3:8" x14ac:dyDescent="0.25">
      <c r="C831"/>
      <c r="D831"/>
      <c r="E831"/>
      <c r="F831"/>
      <c r="G831"/>
      <c r="H831"/>
    </row>
    <row r="832" spans="3:8" x14ac:dyDescent="0.25">
      <c r="C832"/>
      <c r="D832"/>
      <c r="E832"/>
      <c r="F832"/>
      <c r="G832"/>
      <c r="H832"/>
    </row>
    <row r="833" spans="3:8" x14ac:dyDescent="0.25">
      <c r="C833"/>
      <c r="D833"/>
      <c r="E833"/>
      <c r="F833"/>
      <c r="G833"/>
      <c r="H833"/>
    </row>
    <row r="834" spans="3:8" x14ac:dyDescent="0.25">
      <c r="C834"/>
      <c r="D834"/>
      <c r="E834"/>
      <c r="F834"/>
      <c r="G834"/>
      <c r="H834"/>
    </row>
    <row r="835" spans="3:8" x14ac:dyDescent="0.25">
      <c r="C835"/>
      <c r="D835"/>
      <c r="E835"/>
      <c r="F835"/>
      <c r="G835"/>
      <c r="H835"/>
    </row>
    <row r="836" spans="3:8" x14ac:dyDescent="0.25">
      <c r="C836"/>
      <c r="D836"/>
      <c r="E836"/>
      <c r="F836"/>
      <c r="G836"/>
      <c r="H836"/>
    </row>
    <row r="837" spans="3:8" x14ac:dyDescent="0.25">
      <c r="C837"/>
      <c r="D837"/>
      <c r="E837"/>
      <c r="F837"/>
      <c r="G837"/>
      <c r="H837"/>
    </row>
    <row r="838" spans="3:8" x14ac:dyDescent="0.25">
      <c r="C838"/>
      <c r="D838"/>
      <c r="E838"/>
      <c r="F838"/>
      <c r="G838"/>
      <c r="H838"/>
    </row>
    <row r="839" spans="3:8" x14ac:dyDescent="0.25">
      <c r="C839"/>
      <c r="D839"/>
      <c r="E839"/>
      <c r="F839"/>
      <c r="G839"/>
      <c r="H839"/>
    </row>
    <row r="840" spans="3:8" x14ac:dyDescent="0.25">
      <c r="C840"/>
      <c r="D840"/>
      <c r="E840"/>
      <c r="F840"/>
      <c r="G840"/>
      <c r="H840"/>
    </row>
    <row r="841" spans="3:8" x14ac:dyDescent="0.25">
      <c r="C841"/>
      <c r="D841"/>
      <c r="E841"/>
      <c r="F841"/>
      <c r="G841"/>
      <c r="H841"/>
    </row>
    <row r="842" spans="3:8" x14ac:dyDescent="0.25">
      <c r="C842"/>
      <c r="D842"/>
      <c r="E842"/>
      <c r="F842"/>
      <c r="G842"/>
      <c r="H842"/>
    </row>
    <row r="843" spans="3:8" x14ac:dyDescent="0.25">
      <c r="C843"/>
      <c r="D843"/>
      <c r="E843"/>
      <c r="F843"/>
      <c r="G843"/>
      <c r="H843"/>
    </row>
    <row r="844" spans="3:8" x14ac:dyDescent="0.25">
      <c r="C844"/>
      <c r="D844"/>
      <c r="E844"/>
      <c r="F844"/>
      <c r="G844"/>
      <c r="H844"/>
    </row>
    <row r="845" spans="3:8" x14ac:dyDescent="0.25">
      <c r="C845"/>
      <c r="D845"/>
      <c r="E845"/>
      <c r="F845"/>
      <c r="G845"/>
      <c r="H845"/>
    </row>
    <row r="846" spans="3:8" x14ac:dyDescent="0.25">
      <c r="C846"/>
      <c r="D846"/>
      <c r="E846"/>
      <c r="F846"/>
      <c r="G846"/>
      <c r="H846"/>
    </row>
    <row r="847" spans="3:8" x14ac:dyDescent="0.25">
      <c r="C847"/>
      <c r="D847"/>
      <c r="E847"/>
      <c r="F847"/>
      <c r="G847"/>
      <c r="H847"/>
    </row>
    <row r="848" spans="3:8" x14ac:dyDescent="0.25">
      <c r="C848"/>
      <c r="D848"/>
      <c r="E848"/>
      <c r="F848"/>
      <c r="G848"/>
      <c r="H848"/>
    </row>
    <row r="849" spans="3:8" x14ac:dyDescent="0.25">
      <c r="C849"/>
      <c r="D849"/>
      <c r="E849"/>
      <c r="F849"/>
      <c r="G849"/>
      <c r="H849"/>
    </row>
    <row r="850" spans="3:8" x14ac:dyDescent="0.25">
      <c r="C850"/>
      <c r="D850"/>
      <c r="E850"/>
      <c r="F850"/>
      <c r="G850"/>
      <c r="H850"/>
    </row>
    <row r="851" spans="3:8" x14ac:dyDescent="0.25">
      <c r="C851"/>
      <c r="D851"/>
      <c r="E851"/>
      <c r="F851"/>
      <c r="G851"/>
      <c r="H851"/>
    </row>
    <row r="852" spans="3:8" x14ac:dyDescent="0.25">
      <c r="C852"/>
      <c r="D852"/>
      <c r="E852"/>
      <c r="F852"/>
      <c r="G852"/>
      <c r="H852"/>
    </row>
    <row r="853" spans="3:8" x14ac:dyDescent="0.25">
      <c r="C853"/>
      <c r="D853"/>
      <c r="E853"/>
      <c r="F853"/>
      <c r="G853"/>
      <c r="H853"/>
    </row>
    <row r="854" spans="3:8" x14ac:dyDescent="0.25">
      <c r="C854"/>
      <c r="D854"/>
      <c r="E854"/>
      <c r="F854"/>
      <c r="G854"/>
      <c r="H854"/>
    </row>
    <row r="855" spans="3:8" x14ac:dyDescent="0.25">
      <c r="C855"/>
      <c r="D855"/>
      <c r="E855"/>
      <c r="F855"/>
      <c r="G855"/>
      <c r="H855"/>
    </row>
    <row r="856" spans="3:8" x14ac:dyDescent="0.25">
      <c r="C856"/>
      <c r="D856"/>
      <c r="E856"/>
      <c r="F856"/>
      <c r="G856"/>
      <c r="H856"/>
    </row>
    <row r="857" spans="3:8" x14ac:dyDescent="0.25">
      <c r="C857"/>
      <c r="D857"/>
      <c r="E857"/>
      <c r="F857"/>
      <c r="G857"/>
      <c r="H857"/>
    </row>
    <row r="858" spans="3:8" x14ac:dyDescent="0.25">
      <c r="C858"/>
      <c r="D858"/>
      <c r="E858"/>
      <c r="F858"/>
      <c r="G858"/>
      <c r="H858"/>
    </row>
    <row r="859" spans="3:8" x14ac:dyDescent="0.25">
      <c r="C859"/>
      <c r="D859"/>
      <c r="E859"/>
      <c r="F859"/>
      <c r="G859"/>
      <c r="H859"/>
    </row>
    <row r="860" spans="3:8" x14ac:dyDescent="0.25">
      <c r="C860"/>
      <c r="D860"/>
      <c r="E860"/>
      <c r="F860"/>
      <c r="G860"/>
      <c r="H860"/>
    </row>
    <row r="861" spans="3:8" x14ac:dyDescent="0.25">
      <c r="C861"/>
      <c r="D861"/>
      <c r="E861"/>
      <c r="F861"/>
      <c r="G861"/>
      <c r="H861"/>
    </row>
    <row r="862" spans="3:8" x14ac:dyDescent="0.25">
      <c r="C862"/>
      <c r="D862"/>
      <c r="E862"/>
      <c r="F862"/>
      <c r="G862"/>
      <c r="H862"/>
    </row>
    <row r="863" spans="3:8" x14ac:dyDescent="0.25">
      <c r="C863"/>
      <c r="D863"/>
      <c r="E863"/>
      <c r="F863"/>
      <c r="G863"/>
      <c r="H863"/>
    </row>
    <row r="864" spans="3:8" x14ac:dyDescent="0.25">
      <c r="C864"/>
      <c r="D864"/>
      <c r="E864"/>
      <c r="F864"/>
      <c r="G864"/>
      <c r="H864"/>
    </row>
    <row r="865" spans="3:8" x14ac:dyDescent="0.25">
      <c r="C865"/>
      <c r="D865"/>
      <c r="E865"/>
      <c r="F865"/>
      <c r="G865"/>
      <c r="H865"/>
    </row>
    <row r="866" spans="3:8" x14ac:dyDescent="0.25">
      <c r="C866"/>
      <c r="D866"/>
      <c r="E866"/>
      <c r="F866"/>
      <c r="G866"/>
      <c r="H866"/>
    </row>
    <row r="867" spans="3:8" x14ac:dyDescent="0.25">
      <c r="C867"/>
      <c r="D867"/>
      <c r="E867"/>
      <c r="F867"/>
      <c r="G867"/>
      <c r="H867"/>
    </row>
    <row r="868" spans="3:8" x14ac:dyDescent="0.25">
      <c r="C868"/>
      <c r="D868"/>
      <c r="E868"/>
      <c r="F868"/>
      <c r="G868"/>
      <c r="H868"/>
    </row>
    <row r="869" spans="3:8" x14ac:dyDescent="0.25">
      <c r="C869"/>
      <c r="D869"/>
      <c r="E869"/>
      <c r="F869"/>
      <c r="G869"/>
      <c r="H869"/>
    </row>
    <row r="870" spans="3:8" x14ac:dyDescent="0.25">
      <c r="C870"/>
      <c r="D870"/>
      <c r="E870"/>
      <c r="F870"/>
      <c r="G870"/>
      <c r="H870"/>
    </row>
    <row r="871" spans="3:8" x14ac:dyDescent="0.25">
      <c r="C871"/>
      <c r="D871"/>
      <c r="E871"/>
      <c r="F871"/>
      <c r="G871"/>
      <c r="H871"/>
    </row>
    <row r="872" spans="3:8" x14ac:dyDescent="0.25">
      <c r="C872"/>
      <c r="D872"/>
      <c r="E872"/>
      <c r="F872"/>
      <c r="G872"/>
      <c r="H872"/>
    </row>
    <row r="873" spans="3:8" x14ac:dyDescent="0.25">
      <c r="C873"/>
      <c r="D873"/>
      <c r="E873"/>
      <c r="F873"/>
      <c r="G873"/>
      <c r="H873"/>
    </row>
    <row r="874" spans="3:8" x14ac:dyDescent="0.25">
      <c r="C874"/>
      <c r="D874"/>
      <c r="E874"/>
      <c r="F874"/>
      <c r="G874"/>
      <c r="H874"/>
    </row>
    <row r="875" spans="3:8" x14ac:dyDescent="0.25">
      <c r="C875"/>
      <c r="D875"/>
      <c r="E875"/>
      <c r="F875"/>
      <c r="G875"/>
      <c r="H875"/>
    </row>
    <row r="876" spans="3:8" x14ac:dyDescent="0.25">
      <c r="C876"/>
      <c r="D876"/>
      <c r="E876"/>
      <c r="F876"/>
      <c r="G876"/>
      <c r="H876"/>
    </row>
    <row r="877" spans="3:8" x14ac:dyDescent="0.25">
      <c r="C877"/>
      <c r="D877"/>
      <c r="E877"/>
      <c r="F877"/>
      <c r="G877"/>
      <c r="H877"/>
    </row>
    <row r="878" spans="3:8" x14ac:dyDescent="0.25">
      <c r="C878"/>
      <c r="D878"/>
      <c r="E878"/>
      <c r="F878"/>
      <c r="G878"/>
      <c r="H878"/>
    </row>
    <row r="879" spans="3:8" x14ac:dyDescent="0.25">
      <c r="C879"/>
      <c r="D879"/>
      <c r="E879"/>
      <c r="F879"/>
      <c r="G879"/>
      <c r="H879"/>
    </row>
    <row r="880" spans="3:8" x14ac:dyDescent="0.25">
      <c r="C880"/>
      <c r="D880"/>
      <c r="E880"/>
      <c r="F880"/>
      <c r="G880"/>
      <c r="H880"/>
    </row>
    <row r="881" spans="3:8" x14ac:dyDescent="0.25">
      <c r="C881"/>
      <c r="D881"/>
      <c r="E881"/>
      <c r="F881"/>
      <c r="G881"/>
      <c r="H881"/>
    </row>
    <row r="882" spans="3:8" x14ac:dyDescent="0.25">
      <c r="C882"/>
      <c r="D882"/>
      <c r="E882"/>
      <c r="F882"/>
      <c r="G882"/>
      <c r="H882"/>
    </row>
    <row r="883" spans="3:8" x14ac:dyDescent="0.25">
      <c r="C883"/>
      <c r="D883"/>
      <c r="E883"/>
      <c r="F883"/>
      <c r="G883"/>
      <c r="H883"/>
    </row>
    <row r="884" spans="3:8" x14ac:dyDescent="0.25">
      <c r="C884"/>
      <c r="D884"/>
      <c r="E884"/>
      <c r="F884"/>
      <c r="G884"/>
      <c r="H884"/>
    </row>
    <row r="885" spans="3:8" x14ac:dyDescent="0.25">
      <c r="C885"/>
      <c r="D885"/>
      <c r="E885"/>
      <c r="F885"/>
      <c r="G885"/>
      <c r="H885"/>
    </row>
    <row r="886" spans="3:8" x14ac:dyDescent="0.25">
      <c r="C886"/>
      <c r="D886"/>
      <c r="E886"/>
      <c r="F886"/>
      <c r="G886"/>
      <c r="H886"/>
    </row>
    <row r="887" spans="3:8" x14ac:dyDescent="0.25">
      <c r="C887"/>
      <c r="D887"/>
      <c r="E887"/>
      <c r="F887"/>
      <c r="G887"/>
      <c r="H887"/>
    </row>
    <row r="888" spans="3:8" x14ac:dyDescent="0.25">
      <c r="C888"/>
      <c r="D888"/>
      <c r="E888"/>
      <c r="F888"/>
      <c r="G888"/>
      <c r="H888"/>
    </row>
    <row r="889" spans="3:8" x14ac:dyDescent="0.25">
      <c r="C889"/>
      <c r="D889"/>
      <c r="E889"/>
      <c r="F889"/>
      <c r="G889"/>
      <c r="H889"/>
    </row>
    <row r="890" spans="3:8" x14ac:dyDescent="0.25">
      <c r="C890"/>
      <c r="D890"/>
      <c r="E890"/>
      <c r="F890"/>
      <c r="G890"/>
      <c r="H890"/>
    </row>
    <row r="891" spans="3:8" x14ac:dyDescent="0.25">
      <c r="C891"/>
      <c r="D891"/>
      <c r="E891"/>
      <c r="F891"/>
      <c r="G891"/>
      <c r="H891"/>
    </row>
    <row r="892" spans="3:8" x14ac:dyDescent="0.25">
      <c r="C892"/>
      <c r="D892"/>
      <c r="E892"/>
      <c r="F892"/>
      <c r="G892"/>
      <c r="H892"/>
    </row>
    <row r="893" spans="3:8" x14ac:dyDescent="0.25">
      <c r="C893"/>
      <c r="D893"/>
      <c r="E893"/>
      <c r="F893"/>
      <c r="G893"/>
      <c r="H893"/>
    </row>
    <row r="894" spans="3:8" x14ac:dyDescent="0.25">
      <c r="C894"/>
      <c r="D894"/>
      <c r="E894"/>
      <c r="F894"/>
      <c r="G894"/>
      <c r="H894"/>
    </row>
    <row r="895" spans="3:8" x14ac:dyDescent="0.25">
      <c r="C895"/>
      <c r="D895"/>
      <c r="E895"/>
      <c r="F895"/>
      <c r="G895"/>
      <c r="H895"/>
    </row>
    <row r="896" spans="3:8" x14ac:dyDescent="0.25">
      <c r="C896"/>
      <c r="D896"/>
      <c r="E896"/>
      <c r="F896"/>
      <c r="G896"/>
      <c r="H896"/>
    </row>
    <row r="897" spans="3:8" x14ac:dyDescent="0.25">
      <c r="C897"/>
      <c r="D897"/>
      <c r="E897"/>
      <c r="F897"/>
      <c r="G897"/>
      <c r="H897"/>
    </row>
    <row r="898" spans="3:8" x14ac:dyDescent="0.25">
      <c r="C898"/>
      <c r="D898"/>
      <c r="E898"/>
      <c r="F898"/>
      <c r="G898"/>
      <c r="H898"/>
    </row>
    <row r="899" spans="3:8" x14ac:dyDescent="0.25">
      <c r="C899"/>
      <c r="D899"/>
      <c r="E899"/>
      <c r="F899"/>
      <c r="G899"/>
      <c r="H899"/>
    </row>
    <row r="900" spans="3:8" x14ac:dyDescent="0.25">
      <c r="C900"/>
      <c r="D900"/>
      <c r="E900"/>
      <c r="F900"/>
      <c r="G900"/>
      <c r="H900"/>
    </row>
    <row r="901" spans="3:8" x14ac:dyDescent="0.25">
      <c r="C901"/>
      <c r="D901"/>
      <c r="E901"/>
      <c r="F901"/>
      <c r="G901"/>
      <c r="H901"/>
    </row>
    <row r="902" spans="3:8" x14ac:dyDescent="0.25">
      <c r="C902"/>
      <c r="D902"/>
      <c r="E902"/>
      <c r="F902"/>
      <c r="G902"/>
      <c r="H902"/>
    </row>
    <row r="903" spans="3:8" x14ac:dyDescent="0.25">
      <c r="C903"/>
      <c r="D903"/>
      <c r="E903"/>
      <c r="F903"/>
      <c r="G903"/>
      <c r="H903"/>
    </row>
    <row r="904" spans="3:8" x14ac:dyDescent="0.25">
      <c r="C904"/>
      <c r="D904"/>
      <c r="E904"/>
      <c r="F904"/>
      <c r="G904"/>
      <c r="H904"/>
    </row>
    <row r="905" spans="3:8" x14ac:dyDescent="0.25">
      <c r="C905"/>
      <c r="D905"/>
      <c r="E905"/>
      <c r="F905"/>
      <c r="G905"/>
      <c r="H905"/>
    </row>
    <row r="906" spans="3:8" x14ac:dyDescent="0.25">
      <c r="C906"/>
      <c r="D906"/>
      <c r="E906"/>
      <c r="F906"/>
      <c r="G906"/>
      <c r="H906"/>
    </row>
    <row r="907" spans="3:8" x14ac:dyDescent="0.25">
      <c r="C907"/>
      <c r="D907"/>
      <c r="E907"/>
      <c r="F907"/>
      <c r="G907"/>
      <c r="H907"/>
    </row>
    <row r="908" spans="3:8" x14ac:dyDescent="0.25">
      <c r="C908"/>
      <c r="D908"/>
      <c r="E908"/>
      <c r="F908"/>
      <c r="G908"/>
      <c r="H908"/>
    </row>
    <row r="909" spans="3:8" x14ac:dyDescent="0.25">
      <c r="C909"/>
      <c r="D909"/>
      <c r="E909"/>
      <c r="F909"/>
      <c r="G909"/>
      <c r="H909"/>
    </row>
    <row r="910" spans="3:8" x14ac:dyDescent="0.25">
      <c r="C910"/>
      <c r="D910"/>
      <c r="E910"/>
      <c r="F910"/>
      <c r="G910"/>
      <c r="H910"/>
    </row>
    <row r="911" spans="3:8" x14ac:dyDescent="0.25">
      <c r="C911"/>
      <c r="D911"/>
      <c r="E911"/>
      <c r="F911"/>
      <c r="G911"/>
      <c r="H911"/>
    </row>
    <row r="912" spans="3:8" x14ac:dyDescent="0.25">
      <c r="C912"/>
      <c r="D912"/>
      <c r="E912"/>
      <c r="F912"/>
      <c r="G912"/>
      <c r="H912"/>
    </row>
    <row r="913" spans="3:8" x14ac:dyDescent="0.25">
      <c r="C913"/>
      <c r="D913"/>
      <c r="E913"/>
      <c r="F913"/>
      <c r="G913"/>
      <c r="H913"/>
    </row>
    <row r="914" spans="3:8" x14ac:dyDescent="0.25">
      <c r="C914"/>
      <c r="D914"/>
      <c r="E914"/>
      <c r="F914"/>
      <c r="G914"/>
      <c r="H914"/>
    </row>
    <row r="915" spans="3:8" x14ac:dyDescent="0.25">
      <c r="C915"/>
      <c r="D915"/>
      <c r="E915"/>
      <c r="F915"/>
      <c r="G915"/>
      <c r="H915"/>
    </row>
    <row r="916" spans="3:8" x14ac:dyDescent="0.25">
      <c r="C916"/>
      <c r="D916"/>
      <c r="E916"/>
      <c r="F916"/>
      <c r="G916"/>
      <c r="H916"/>
    </row>
    <row r="917" spans="3:8" x14ac:dyDescent="0.25">
      <c r="C917"/>
      <c r="D917"/>
      <c r="E917"/>
      <c r="F917"/>
      <c r="G917"/>
      <c r="H917"/>
    </row>
    <row r="918" spans="3:8" x14ac:dyDescent="0.25">
      <c r="C918"/>
      <c r="D918"/>
      <c r="E918"/>
      <c r="F918"/>
      <c r="G918"/>
      <c r="H918"/>
    </row>
    <row r="919" spans="3:8" x14ac:dyDescent="0.25">
      <c r="C919"/>
      <c r="D919"/>
      <c r="E919"/>
      <c r="F919"/>
      <c r="G919"/>
      <c r="H919"/>
    </row>
    <row r="920" spans="3:8" x14ac:dyDescent="0.25">
      <c r="C920"/>
      <c r="D920"/>
      <c r="E920"/>
      <c r="F920"/>
      <c r="G920"/>
      <c r="H920"/>
    </row>
    <row r="921" spans="3:8" x14ac:dyDescent="0.25">
      <c r="C921"/>
      <c r="D921"/>
      <c r="E921"/>
      <c r="F921"/>
      <c r="G921"/>
      <c r="H921"/>
    </row>
    <row r="922" spans="3:8" x14ac:dyDescent="0.25">
      <c r="C922"/>
      <c r="D922"/>
      <c r="E922"/>
      <c r="F922"/>
      <c r="G922"/>
      <c r="H922"/>
    </row>
    <row r="923" spans="3:8" x14ac:dyDescent="0.25">
      <c r="C923"/>
      <c r="D923"/>
      <c r="E923"/>
      <c r="F923"/>
      <c r="G923"/>
      <c r="H923"/>
    </row>
    <row r="924" spans="3:8" x14ac:dyDescent="0.25">
      <c r="C924"/>
      <c r="D924"/>
      <c r="E924"/>
      <c r="F924"/>
      <c r="G924"/>
      <c r="H924"/>
    </row>
    <row r="925" spans="3:8" x14ac:dyDescent="0.25">
      <c r="C925"/>
      <c r="D925"/>
      <c r="E925"/>
      <c r="F925"/>
      <c r="G925"/>
      <c r="H925"/>
    </row>
    <row r="926" spans="3:8" x14ac:dyDescent="0.25">
      <c r="C926"/>
      <c r="D926"/>
      <c r="E926"/>
      <c r="F926"/>
      <c r="G926"/>
      <c r="H926"/>
    </row>
    <row r="927" spans="3:8" x14ac:dyDescent="0.25">
      <c r="C927"/>
      <c r="D927"/>
      <c r="E927"/>
      <c r="F927"/>
      <c r="G927"/>
      <c r="H927"/>
    </row>
    <row r="928" spans="3:8" x14ac:dyDescent="0.25">
      <c r="C928"/>
      <c r="D928"/>
      <c r="E928"/>
      <c r="F928"/>
      <c r="G928"/>
      <c r="H928"/>
    </row>
    <row r="929" spans="3:8" x14ac:dyDescent="0.25">
      <c r="C929"/>
      <c r="D929"/>
      <c r="E929"/>
      <c r="F929"/>
      <c r="G929"/>
      <c r="H929"/>
    </row>
    <row r="930" spans="3:8" x14ac:dyDescent="0.25">
      <c r="C930"/>
      <c r="D930"/>
      <c r="E930"/>
      <c r="F930"/>
      <c r="G930"/>
      <c r="H930"/>
    </row>
    <row r="931" spans="3:8" x14ac:dyDescent="0.25">
      <c r="C931"/>
      <c r="D931"/>
      <c r="E931"/>
      <c r="F931"/>
      <c r="G931"/>
      <c r="H931"/>
    </row>
    <row r="932" spans="3:8" x14ac:dyDescent="0.25">
      <c r="C932"/>
      <c r="D932"/>
      <c r="E932"/>
      <c r="F932"/>
      <c r="G932"/>
      <c r="H932"/>
    </row>
    <row r="933" spans="3:8" x14ac:dyDescent="0.25">
      <c r="C933"/>
      <c r="D933"/>
      <c r="E933"/>
      <c r="F933"/>
      <c r="G933"/>
      <c r="H933"/>
    </row>
    <row r="934" spans="3:8" x14ac:dyDescent="0.25">
      <c r="C934"/>
      <c r="D934"/>
      <c r="E934"/>
      <c r="F934"/>
      <c r="G934"/>
      <c r="H934"/>
    </row>
    <row r="935" spans="3:8" x14ac:dyDescent="0.25">
      <c r="C935"/>
      <c r="D935"/>
      <c r="E935"/>
      <c r="F935"/>
      <c r="G935"/>
      <c r="H935"/>
    </row>
    <row r="936" spans="3:8" x14ac:dyDescent="0.25">
      <c r="C936"/>
      <c r="D936"/>
      <c r="E936"/>
      <c r="F936"/>
      <c r="G936"/>
      <c r="H936"/>
    </row>
    <row r="937" spans="3:8" x14ac:dyDescent="0.25">
      <c r="C937"/>
      <c r="D937"/>
      <c r="E937"/>
      <c r="F937"/>
      <c r="G937"/>
      <c r="H937"/>
    </row>
    <row r="938" spans="3:8" x14ac:dyDescent="0.25">
      <c r="C938"/>
      <c r="D938"/>
      <c r="E938"/>
      <c r="F938"/>
      <c r="G938"/>
      <c r="H938"/>
    </row>
    <row r="939" spans="3:8" x14ac:dyDescent="0.25">
      <c r="C939"/>
      <c r="D939"/>
      <c r="E939"/>
      <c r="F939"/>
      <c r="G939"/>
      <c r="H939"/>
    </row>
    <row r="940" spans="3:8" x14ac:dyDescent="0.25">
      <c r="C940"/>
      <c r="D940"/>
      <c r="E940"/>
      <c r="F940"/>
      <c r="G940"/>
      <c r="H940"/>
    </row>
    <row r="941" spans="3:8" x14ac:dyDescent="0.25">
      <c r="C941"/>
      <c r="D941"/>
      <c r="E941"/>
      <c r="F941"/>
      <c r="G941"/>
      <c r="H941"/>
    </row>
    <row r="942" spans="3:8" x14ac:dyDescent="0.25">
      <c r="C942"/>
      <c r="D942"/>
      <c r="E942"/>
      <c r="F942"/>
      <c r="G942"/>
      <c r="H942"/>
    </row>
    <row r="943" spans="3:8" x14ac:dyDescent="0.25">
      <c r="C943"/>
      <c r="D943"/>
      <c r="E943"/>
      <c r="F943"/>
      <c r="G943"/>
      <c r="H943"/>
    </row>
    <row r="944" spans="3:8" x14ac:dyDescent="0.25">
      <c r="C944"/>
      <c r="D944"/>
      <c r="E944"/>
      <c r="F944"/>
      <c r="G944"/>
      <c r="H944"/>
    </row>
    <row r="945" spans="3:8" x14ac:dyDescent="0.25">
      <c r="C945"/>
      <c r="D945"/>
      <c r="E945"/>
      <c r="F945"/>
      <c r="G945"/>
      <c r="H945"/>
    </row>
    <row r="946" spans="3:8" x14ac:dyDescent="0.25">
      <c r="C946"/>
      <c r="D946"/>
      <c r="E946"/>
      <c r="F946"/>
      <c r="G946"/>
      <c r="H946"/>
    </row>
    <row r="947" spans="3:8" x14ac:dyDescent="0.25">
      <c r="C947"/>
      <c r="D947"/>
      <c r="E947"/>
      <c r="F947"/>
      <c r="G947"/>
      <c r="H947"/>
    </row>
    <row r="948" spans="3:8" x14ac:dyDescent="0.25">
      <c r="C948"/>
      <c r="D948"/>
      <c r="E948"/>
      <c r="F948"/>
      <c r="G948"/>
      <c r="H948"/>
    </row>
    <row r="949" spans="3:8" x14ac:dyDescent="0.25">
      <c r="C949"/>
      <c r="D949"/>
      <c r="E949"/>
      <c r="F949"/>
      <c r="G949"/>
      <c r="H949"/>
    </row>
    <row r="950" spans="3:8" x14ac:dyDescent="0.25">
      <c r="C950"/>
      <c r="D950"/>
      <c r="E950"/>
      <c r="F950"/>
      <c r="G950"/>
      <c r="H950"/>
    </row>
    <row r="951" spans="3:8" x14ac:dyDescent="0.25">
      <c r="C951"/>
      <c r="D951"/>
      <c r="E951"/>
      <c r="F951"/>
      <c r="G951"/>
      <c r="H951"/>
    </row>
    <row r="952" spans="3:8" x14ac:dyDescent="0.25">
      <c r="C952"/>
      <c r="D952"/>
      <c r="E952"/>
      <c r="F952"/>
      <c r="G952"/>
      <c r="H952"/>
    </row>
    <row r="953" spans="3:8" x14ac:dyDescent="0.25">
      <c r="C953"/>
      <c r="D953"/>
      <c r="E953"/>
      <c r="F953"/>
      <c r="G953"/>
      <c r="H953"/>
    </row>
    <row r="954" spans="3:8" x14ac:dyDescent="0.25">
      <c r="C954"/>
      <c r="D954"/>
      <c r="E954"/>
      <c r="F954"/>
      <c r="G954"/>
      <c r="H954"/>
    </row>
    <row r="955" spans="3:8" x14ac:dyDescent="0.25">
      <c r="C955"/>
      <c r="D955"/>
      <c r="E955"/>
      <c r="F955"/>
      <c r="G955"/>
      <c r="H955"/>
    </row>
    <row r="956" spans="3:8" x14ac:dyDescent="0.25">
      <c r="C956"/>
      <c r="D956"/>
      <c r="E956"/>
      <c r="F956"/>
      <c r="G956"/>
      <c r="H956"/>
    </row>
    <row r="957" spans="3:8" x14ac:dyDescent="0.25">
      <c r="C957"/>
      <c r="D957"/>
      <c r="E957"/>
      <c r="F957"/>
      <c r="G957"/>
      <c r="H957"/>
    </row>
    <row r="958" spans="3:8" x14ac:dyDescent="0.25">
      <c r="C958"/>
      <c r="D958"/>
      <c r="E958"/>
      <c r="F958"/>
      <c r="G958"/>
      <c r="H958"/>
    </row>
    <row r="959" spans="3:8" x14ac:dyDescent="0.25">
      <c r="C959"/>
      <c r="D959"/>
      <c r="E959"/>
      <c r="F959"/>
      <c r="G959"/>
      <c r="H959"/>
    </row>
    <row r="960" spans="3:8" x14ac:dyDescent="0.25">
      <c r="C960"/>
      <c r="D960"/>
      <c r="E960"/>
      <c r="F960"/>
      <c r="G960"/>
      <c r="H960"/>
    </row>
    <row r="961" spans="3:8" x14ac:dyDescent="0.25">
      <c r="C961"/>
      <c r="D961"/>
      <c r="E961"/>
      <c r="F961"/>
      <c r="G961"/>
      <c r="H961"/>
    </row>
    <row r="962" spans="3:8" x14ac:dyDescent="0.25">
      <c r="C962"/>
      <c r="D962"/>
      <c r="E962"/>
      <c r="F962"/>
      <c r="G962"/>
      <c r="H962"/>
    </row>
    <row r="963" spans="3:8" x14ac:dyDescent="0.25">
      <c r="C963"/>
      <c r="D963"/>
      <c r="E963"/>
      <c r="F963"/>
      <c r="G963"/>
      <c r="H963"/>
    </row>
    <row r="964" spans="3:8" x14ac:dyDescent="0.25">
      <c r="C964"/>
      <c r="D964"/>
      <c r="E964"/>
      <c r="F964"/>
      <c r="G964"/>
      <c r="H964"/>
    </row>
    <row r="965" spans="3:8" x14ac:dyDescent="0.25">
      <c r="C965"/>
      <c r="D965"/>
      <c r="E965"/>
      <c r="F965"/>
      <c r="G965"/>
      <c r="H965"/>
    </row>
    <row r="966" spans="3:8" x14ac:dyDescent="0.25">
      <c r="C966"/>
      <c r="D966"/>
      <c r="E966"/>
      <c r="F966"/>
      <c r="G966"/>
      <c r="H966"/>
    </row>
    <row r="967" spans="3:8" x14ac:dyDescent="0.25">
      <c r="C967"/>
      <c r="D967"/>
      <c r="E967"/>
      <c r="F967"/>
      <c r="G967"/>
      <c r="H967"/>
    </row>
    <row r="968" spans="3:8" x14ac:dyDescent="0.25">
      <c r="C968"/>
      <c r="D968"/>
      <c r="E968"/>
      <c r="F968"/>
      <c r="G968"/>
      <c r="H968"/>
    </row>
    <row r="969" spans="3:8" x14ac:dyDescent="0.25">
      <c r="C969"/>
      <c r="D969"/>
      <c r="E969"/>
      <c r="F969"/>
      <c r="G969"/>
      <c r="H969"/>
    </row>
    <row r="970" spans="3:8" x14ac:dyDescent="0.25">
      <c r="C970"/>
      <c r="D970"/>
      <c r="E970"/>
      <c r="F970"/>
      <c r="G970"/>
      <c r="H970"/>
    </row>
    <row r="971" spans="3:8" x14ac:dyDescent="0.25">
      <c r="C971"/>
      <c r="D971"/>
      <c r="E971"/>
      <c r="F971"/>
      <c r="G971"/>
      <c r="H971"/>
    </row>
    <row r="972" spans="3:8" x14ac:dyDescent="0.25">
      <c r="C972"/>
      <c r="D972"/>
      <c r="E972"/>
      <c r="F972"/>
      <c r="G972"/>
      <c r="H972"/>
    </row>
    <row r="973" spans="3:8" x14ac:dyDescent="0.25">
      <c r="C973"/>
      <c r="D973"/>
      <c r="E973"/>
      <c r="F973"/>
      <c r="G973"/>
      <c r="H973"/>
    </row>
    <row r="974" spans="3:8" x14ac:dyDescent="0.25">
      <c r="C974"/>
      <c r="D974"/>
      <c r="E974"/>
      <c r="F974"/>
      <c r="G974"/>
      <c r="H974"/>
    </row>
    <row r="975" spans="3:8" x14ac:dyDescent="0.25">
      <c r="C975"/>
      <c r="D975"/>
      <c r="E975"/>
      <c r="F975"/>
      <c r="G975"/>
      <c r="H975"/>
    </row>
    <row r="976" spans="3:8" x14ac:dyDescent="0.25">
      <c r="C976"/>
      <c r="D976"/>
      <c r="E976"/>
      <c r="F976"/>
      <c r="G976"/>
      <c r="H976"/>
    </row>
    <row r="977" spans="3:8" x14ac:dyDescent="0.25">
      <c r="C977"/>
      <c r="D977"/>
      <c r="E977"/>
      <c r="F977"/>
      <c r="G977"/>
      <c r="H977"/>
    </row>
    <row r="978" spans="3:8" x14ac:dyDescent="0.25">
      <c r="C978"/>
      <c r="D978"/>
      <c r="E978"/>
      <c r="F978"/>
      <c r="G978"/>
      <c r="H978"/>
    </row>
    <row r="979" spans="3:8" x14ac:dyDescent="0.25">
      <c r="C979"/>
      <c r="D979"/>
      <c r="E979"/>
      <c r="F979"/>
      <c r="G979"/>
      <c r="H979"/>
    </row>
    <row r="980" spans="3:8" x14ac:dyDescent="0.25">
      <c r="C980"/>
      <c r="D980"/>
      <c r="E980"/>
      <c r="F980"/>
      <c r="G980"/>
      <c r="H980"/>
    </row>
    <row r="981" spans="3:8" x14ac:dyDescent="0.25">
      <c r="C981"/>
      <c r="D981"/>
      <c r="E981"/>
      <c r="F981"/>
      <c r="G981"/>
      <c r="H981"/>
    </row>
    <row r="982" spans="3:8" x14ac:dyDescent="0.25">
      <c r="C982"/>
      <c r="D982"/>
      <c r="E982"/>
      <c r="F982"/>
      <c r="G982"/>
      <c r="H982"/>
    </row>
    <row r="983" spans="3:8" x14ac:dyDescent="0.25">
      <c r="C983"/>
      <c r="D983"/>
      <c r="E983"/>
      <c r="F983"/>
      <c r="G983"/>
      <c r="H983"/>
    </row>
    <row r="984" spans="3:8" x14ac:dyDescent="0.25">
      <c r="C984"/>
      <c r="D984"/>
      <c r="E984"/>
      <c r="F984"/>
      <c r="G984"/>
      <c r="H984"/>
    </row>
    <row r="985" spans="3:8" x14ac:dyDescent="0.25">
      <c r="C985"/>
      <c r="D985"/>
      <c r="E985"/>
      <c r="F985"/>
      <c r="G985"/>
      <c r="H985"/>
    </row>
    <row r="986" spans="3:8" x14ac:dyDescent="0.25">
      <c r="C986"/>
      <c r="D986"/>
      <c r="E986"/>
      <c r="F986"/>
      <c r="G986"/>
      <c r="H986"/>
    </row>
    <row r="987" spans="3:8" x14ac:dyDescent="0.25">
      <c r="C987"/>
      <c r="D987"/>
      <c r="E987"/>
      <c r="F987"/>
      <c r="G987"/>
      <c r="H987"/>
    </row>
    <row r="988" spans="3:8" x14ac:dyDescent="0.25">
      <c r="C988"/>
      <c r="D988"/>
      <c r="E988"/>
      <c r="F988"/>
      <c r="G988"/>
      <c r="H988"/>
    </row>
    <row r="989" spans="3:8" x14ac:dyDescent="0.25">
      <c r="C989"/>
      <c r="D989"/>
      <c r="E989"/>
      <c r="F989"/>
      <c r="G989"/>
      <c r="H989"/>
    </row>
    <row r="990" spans="3:8" x14ac:dyDescent="0.25">
      <c r="C990"/>
      <c r="D990"/>
      <c r="E990"/>
      <c r="F990"/>
      <c r="G990"/>
      <c r="H990"/>
    </row>
    <row r="991" spans="3:8" x14ac:dyDescent="0.25">
      <c r="C991"/>
      <c r="D991"/>
      <c r="E991"/>
      <c r="F991"/>
      <c r="G991"/>
      <c r="H991"/>
    </row>
    <row r="992" spans="3:8" x14ac:dyDescent="0.25">
      <c r="C992"/>
      <c r="D992"/>
      <c r="E992"/>
      <c r="F992"/>
      <c r="G992"/>
      <c r="H992"/>
    </row>
    <row r="993" spans="3:8" x14ac:dyDescent="0.25">
      <c r="C993"/>
      <c r="D993"/>
      <c r="E993"/>
      <c r="F993"/>
      <c r="G993"/>
      <c r="H993"/>
    </row>
    <row r="994" spans="3:8" x14ac:dyDescent="0.25">
      <c r="C994"/>
      <c r="D994"/>
      <c r="E994"/>
      <c r="F994"/>
      <c r="G994"/>
      <c r="H994"/>
    </row>
    <row r="995" spans="3:8" x14ac:dyDescent="0.25">
      <c r="C995"/>
      <c r="D995"/>
      <c r="E995"/>
      <c r="F995"/>
      <c r="G995"/>
      <c r="H995"/>
    </row>
    <row r="996" spans="3:8" x14ac:dyDescent="0.25">
      <c r="C996"/>
      <c r="D996"/>
      <c r="E996"/>
      <c r="F996"/>
      <c r="G996"/>
      <c r="H996"/>
    </row>
    <row r="997" spans="3:8" x14ac:dyDescent="0.25">
      <c r="C997"/>
      <c r="D997"/>
      <c r="E997"/>
      <c r="F997"/>
      <c r="G997"/>
      <c r="H997"/>
    </row>
    <row r="998" spans="3:8" x14ac:dyDescent="0.25">
      <c r="C998"/>
      <c r="D998"/>
      <c r="E998"/>
      <c r="F998"/>
      <c r="G998"/>
      <c r="H998"/>
    </row>
    <row r="999" spans="3:8" x14ac:dyDescent="0.25">
      <c r="C999"/>
      <c r="D999"/>
      <c r="E999"/>
      <c r="F999"/>
      <c r="G999"/>
      <c r="H999"/>
    </row>
    <row r="1000" spans="3:8" x14ac:dyDescent="0.25">
      <c r="C1000"/>
      <c r="D1000"/>
      <c r="E1000"/>
      <c r="F1000"/>
      <c r="G1000"/>
      <c r="H1000"/>
    </row>
    <row r="1001" spans="3:8" x14ac:dyDescent="0.25">
      <c r="C1001"/>
      <c r="D1001"/>
      <c r="E1001"/>
      <c r="F1001"/>
      <c r="G1001"/>
      <c r="H1001"/>
    </row>
    <row r="1002" spans="3:8" x14ac:dyDescent="0.25">
      <c r="C1002"/>
      <c r="D1002"/>
      <c r="E1002"/>
      <c r="F1002"/>
      <c r="G1002"/>
      <c r="H1002"/>
    </row>
    <row r="1003" spans="3:8" x14ac:dyDescent="0.25">
      <c r="C1003"/>
      <c r="D1003"/>
      <c r="E1003"/>
      <c r="F1003"/>
      <c r="G1003"/>
      <c r="H1003"/>
    </row>
    <row r="1004" spans="3:8" x14ac:dyDescent="0.25">
      <c r="C1004"/>
      <c r="D1004"/>
      <c r="E1004"/>
      <c r="F1004"/>
      <c r="G1004"/>
      <c r="H1004"/>
    </row>
    <row r="1005" spans="3:8" x14ac:dyDescent="0.25">
      <c r="C1005"/>
      <c r="D1005"/>
      <c r="E1005"/>
      <c r="F1005"/>
      <c r="G1005"/>
      <c r="H1005"/>
    </row>
    <row r="1006" spans="3:8" x14ac:dyDescent="0.25">
      <c r="C1006"/>
      <c r="D1006"/>
      <c r="E1006"/>
      <c r="F1006"/>
      <c r="G1006"/>
      <c r="H1006"/>
    </row>
    <row r="1007" spans="3:8" x14ac:dyDescent="0.25">
      <c r="C1007"/>
      <c r="D1007"/>
      <c r="E1007"/>
      <c r="F1007"/>
      <c r="G1007"/>
      <c r="H1007"/>
    </row>
    <row r="1008" spans="3:8" x14ac:dyDescent="0.25">
      <c r="C1008"/>
      <c r="D1008"/>
      <c r="E1008"/>
      <c r="F1008"/>
      <c r="G1008"/>
      <c r="H1008"/>
    </row>
    <row r="1009" spans="3:8" x14ac:dyDescent="0.25">
      <c r="C1009"/>
      <c r="D1009"/>
      <c r="E1009"/>
      <c r="F1009"/>
      <c r="G1009"/>
      <c r="H1009"/>
    </row>
    <row r="1010" spans="3:8" x14ac:dyDescent="0.25">
      <c r="C1010"/>
      <c r="D1010"/>
      <c r="E1010"/>
      <c r="F1010"/>
      <c r="G1010"/>
      <c r="H1010"/>
    </row>
    <row r="1011" spans="3:8" x14ac:dyDescent="0.25">
      <c r="C1011"/>
      <c r="D1011"/>
      <c r="E1011"/>
      <c r="F1011"/>
      <c r="G1011"/>
      <c r="H1011"/>
    </row>
    <row r="1012" spans="3:8" x14ac:dyDescent="0.25">
      <c r="C1012"/>
      <c r="D1012"/>
      <c r="E1012"/>
      <c r="F1012"/>
      <c r="G1012"/>
      <c r="H1012"/>
    </row>
    <row r="1013" spans="3:8" x14ac:dyDescent="0.25">
      <c r="C1013"/>
      <c r="D1013"/>
      <c r="E1013"/>
      <c r="F1013"/>
      <c r="G1013"/>
      <c r="H1013"/>
    </row>
    <row r="1014" spans="3:8" x14ac:dyDescent="0.25">
      <c r="C1014"/>
      <c r="D1014"/>
      <c r="E1014"/>
      <c r="F1014"/>
      <c r="G1014"/>
      <c r="H1014"/>
    </row>
    <row r="1015" spans="3:8" x14ac:dyDescent="0.25">
      <c r="C1015"/>
      <c r="D1015"/>
      <c r="E1015"/>
      <c r="F1015"/>
      <c r="G1015"/>
      <c r="H1015"/>
    </row>
    <row r="1016" spans="3:8" x14ac:dyDescent="0.25">
      <c r="C1016"/>
      <c r="D1016"/>
      <c r="E1016"/>
      <c r="F1016"/>
      <c r="G1016"/>
      <c r="H1016"/>
    </row>
    <row r="1017" spans="3:8" x14ac:dyDescent="0.25">
      <c r="C1017"/>
      <c r="D1017"/>
      <c r="E1017"/>
      <c r="F1017"/>
      <c r="G1017"/>
      <c r="H1017"/>
    </row>
    <row r="1018" spans="3:8" x14ac:dyDescent="0.25">
      <c r="C1018"/>
      <c r="D1018"/>
      <c r="E1018"/>
      <c r="F1018"/>
      <c r="G1018"/>
      <c r="H1018"/>
    </row>
    <row r="1019" spans="3:8" x14ac:dyDescent="0.25">
      <c r="C1019"/>
      <c r="D1019"/>
      <c r="E1019"/>
      <c r="F1019"/>
      <c r="G1019"/>
      <c r="H1019"/>
    </row>
    <row r="1020" spans="3:8" x14ac:dyDescent="0.25">
      <c r="C1020"/>
      <c r="D1020"/>
      <c r="E1020"/>
      <c r="F1020"/>
      <c r="G1020"/>
      <c r="H1020"/>
    </row>
    <row r="1021" spans="3:8" x14ac:dyDescent="0.25">
      <c r="C1021"/>
      <c r="D1021"/>
      <c r="E1021"/>
      <c r="F1021"/>
      <c r="G1021"/>
      <c r="H1021"/>
    </row>
    <row r="1022" spans="3:8" x14ac:dyDescent="0.25">
      <c r="C1022"/>
      <c r="D1022"/>
      <c r="E1022"/>
      <c r="F1022"/>
      <c r="G1022"/>
      <c r="H1022"/>
    </row>
    <row r="1023" spans="3:8" x14ac:dyDescent="0.25">
      <c r="C1023"/>
      <c r="D1023"/>
      <c r="E1023"/>
      <c r="F1023"/>
      <c r="G1023"/>
      <c r="H1023"/>
    </row>
    <row r="1024" spans="3:8" x14ac:dyDescent="0.25">
      <c r="C1024"/>
      <c r="D1024"/>
      <c r="E1024"/>
      <c r="F1024"/>
      <c r="G1024"/>
      <c r="H1024"/>
    </row>
    <row r="1025" spans="3:8" x14ac:dyDescent="0.25">
      <c r="C1025"/>
      <c r="D1025"/>
      <c r="E1025"/>
      <c r="F1025"/>
      <c r="G1025"/>
      <c r="H1025"/>
    </row>
    <row r="1026" spans="3:8" x14ac:dyDescent="0.25">
      <c r="C1026"/>
      <c r="D1026"/>
      <c r="E1026"/>
      <c r="F1026"/>
      <c r="G1026"/>
      <c r="H1026"/>
    </row>
    <row r="1027" spans="3:8" x14ac:dyDescent="0.25">
      <c r="C1027"/>
      <c r="D1027"/>
      <c r="E1027"/>
      <c r="F1027"/>
      <c r="G1027"/>
      <c r="H1027"/>
    </row>
    <row r="1028" spans="3:8" x14ac:dyDescent="0.25">
      <c r="C1028"/>
      <c r="D1028"/>
      <c r="E1028"/>
      <c r="F1028"/>
      <c r="G1028"/>
      <c r="H1028"/>
    </row>
    <row r="1029" spans="3:8" x14ac:dyDescent="0.25">
      <c r="C1029"/>
      <c r="D1029"/>
      <c r="E1029"/>
      <c r="F1029"/>
      <c r="G1029"/>
      <c r="H1029"/>
    </row>
    <row r="1030" spans="3:8" x14ac:dyDescent="0.25">
      <c r="C1030"/>
      <c r="D1030"/>
      <c r="E1030"/>
      <c r="F1030"/>
      <c r="G1030"/>
      <c r="H1030"/>
    </row>
    <row r="1031" spans="3:8" x14ac:dyDescent="0.25">
      <c r="C1031"/>
      <c r="D1031"/>
      <c r="E1031"/>
      <c r="F1031"/>
      <c r="G1031"/>
      <c r="H1031"/>
    </row>
    <row r="1032" spans="3:8" x14ac:dyDescent="0.25">
      <c r="C1032"/>
      <c r="D1032"/>
      <c r="E1032"/>
      <c r="F1032"/>
      <c r="G1032"/>
      <c r="H1032"/>
    </row>
    <row r="1033" spans="3:8" x14ac:dyDescent="0.25">
      <c r="C1033"/>
      <c r="D1033"/>
      <c r="E1033"/>
      <c r="F1033"/>
      <c r="G1033"/>
      <c r="H1033"/>
    </row>
    <row r="1034" spans="3:8" x14ac:dyDescent="0.25">
      <c r="C1034"/>
      <c r="D1034"/>
      <c r="E1034"/>
      <c r="F1034"/>
      <c r="G1034"/>
      <c r="H1034"/>
    </row>
    <row r="1035" spans="3:8" x14ac:dyDescent="0.25">
      <c r="C1035"/>
      <c r="D1035"/>
      <c r="E1035"/>
      <c r="F1035"/>
      <c r="G1035"/>
      <c r="H1035"/>
    </row>
    <row r="1036" spans="3:8" x14ac:dyDescent="0.25">
      <c r="C1036"/>
      <c r="D1036"/>
      <c r="E1036"/>
      <c r="F1036"/>
      <c r="G1036"/>
      <c r="H1036"/>
    </row>
    <row r="1037" spans="3:8" x14ac:dyDescent="0.25">
      <c r="C1037"/>
      <c r="D1037"/>
      <c r="E1037"/>
      <c r="F1037"/>
      <c r="G1037"/>
      <c r="H1037"/>
    </row>
    <row r="1038" spans="3:8" x14ac:dyDescent="0.25">
      <c r="C1038"/>
      <c r="D1038"/>
      <c r="E1038"/>
      <c r="F1038"/>
      <c r="G1038"/>
      <c r="H1038"/>
    </row>
    <row r="1039" spans="3:8" x14ac:dyDescent="0.25">
      <c r="C1039"/>
      <c r="D1039"/>
      <c r="E1039"/>
      <c r="F1039"/>
      <c r="G1039"/>
      <c r="H1039"/>
    </row>
    <row r="1040" spans="3:8" x14ac:dyDescent="0.25">
      <c r="C1040"/>
      <c r="D1040"/>
      <c r="E1040"/>
      <c r="F1040"/>
      <c r="G1040"/>
      <c r="H1040"/>
    </row>
    <row r="1041" spans="3:8" x14ac:dyDescent="0.25">
      <c r="C1041"/>
      <c r="D1041"/>
      <c r="E1041"/>
      <c r="F1041"/>
      <c r="G1041"/>
      <c r="H1041"/>
    </row>
    <row r="1042" spans="3:8" x14ac:dyDescent="0.25">
      <c r="C1042"/>
      <c r="D1042"/>
      <c r="E1042"/>
      <c r="F1042"/>
      <c r="G1042"/>
      <c r="H1042"/>
    </row>
    <row r="1043" spans="3:8" x14ac:dyDescent="0.25">
      <c r="C1043"/>
      <c r="D1043"/>
      <c r="E1043"/>
      <c r="F1043"/>
      <c r="G1043"/>
      <c r="H1043"/>
    </row>
    <row r="1044" spans="3:8" x14ac:dyDescent="0.25">
      <c r="C1044"/>
      <c r="D1044"/>
      <c r="E1044"/>
      <c r="F1044"/>
      <c r="G1044"/>
      <c r="H1044"/>
    </row>
    <row r="1045" spans="3:8" x14ac:dyDescent="0.25">
      <c r="C1045"/>
      <c r="D1045"/>
      <c r="E1045"/>
      <c r="F1045"/>
      <c r="G1045"/>
      <c r="H1045"/>
    </row>
    <row r="1046" spans="3:8" x14ac:dyDescent="0.25">
      <c r="C1046"/>
      <c r="D1046"/>
      <c r="E1046"/>
      <c r="F1046"/>
      <c r="G1046"/>
      <c r="H1046"/>
    </row>
    <row r="1047" spans="3:8" x14ac:dyDescent="0.25">
      <c r="C1047"/>
      <c r="D1047"/>
      <c r="E1047"/>
      <c r="F1047"/>
      <c r="G1047"/>
      <c r="H1047"/>
    </row>
    <row r="1048" spans="3:8" x14ac:dyDescent="0.25">
      <c r="C1048"/>
      <c r="D1048"/>
      <c r="E1048"/>
      <c r="F1048"/>
      <c r="G1048"/>
      <c r="H1048"/>
    </row>
    <row r="1049" spans="3:8" x14ac:dyDescent="0.25">
      <c r="C1049"/>
      <c r="D1049"/>
      <c r="E1049"/>
      <c r="F1049"/>
      <c r="G1049"/>
      <c r="H1049"/>
    </row>
    <row r="1050" spans="3:8" x14ac:dyDescent="0.25">
      <c r="C1050"/>
      <c r="D1050"/>
      <c r="E1050"/>
      <c r="F1050"/>
      <c r="G1050"/>
      <c r="H1050"/>
    </row>
    <row r="1051" spans="3:8" x14ac:dyDescent="0.25">
      <c r="C1051"/>
      <c r="D1051"/>
      <c r="E1051"/>
      <c r="F1051"/>
      <c r="G1051"/>
      <c r="H1051"/>
    </row>
    <row r="1052" spans="3:8" x14ac:dyDescent="0.25">
      <c r="C1052"/>
      <c r="D1052"/>
      <c r="E1052"/>
      <c r="F1052"/>
      <c r="G1052"/>
      <c r="H1052"/>
    </row>
    <row r="1053" spans="3:8" x14ac:dyDescent="0.25">
      <c r="C1053"/>
      <c r="D1053"/>
      <c r="E1053"/>
      <c r="F1053"/>
      <c r="G1053"/>
      <c r="H1053"/>
    </row>
    <row r="1054" spans="3:8" x14ac:dyDescent="0.25">
      <c r="C1054"/>
      <c r="D1054"/>
      <c r="E1054"/>
      <c r="F1054"/>
      <c r="G1054"/>
      <c r="H1054"/>
    </row>
    <row r="1055" spans="3:8" x14ac:dyDescent="0.25">
      <c r="C1055"/>
      <c r="D1055"/>
      <c r="E1055"/>
      <c r="F1055"/>
      <c r="G1055"/>
      <c r="H1055"/>
    </row>
    <row r="1056" spans="3:8" x14ac:dyDescent="0.25">
      <c r="C1056"/>
      <c r="D1056"/>
      <c r="E1056"/>
      <c r="F1056"/>
      <c r="G1056"/>
      <c r="H1056"/>
    </row>
    <row r="1057" spans="3:8" x14ac:dyDescent="0.25">
      <c r="C1057"/>
      <c r="D1057"/>
      <c r="E1057"/>
      <c r="F1057"/>
      <c r="G1057"/>
      <c r="H1057"/>
    </row>
    <row r="1058" spans="3:8" x14ac:dyDescent="0.25">
      <c r="C1058"/>
      <c r="D1058"/>
      <c r="E1058"/>
      <c r="F1058"/>
      <c r="G1058"/>
      <c r="H1058"/>
    </row>
    <row r="1059" spans="3:8" x14ac:dyDescent="0.25">
      <c r="C1059"/>
      <c r="D1059"/>
      <c r="E1059"/>
      <c r="F1059"/>
      <c r="G1059"/>
      <c r="H1059"/>
    </row>
    <row r="1060" spans="3:8" x14ac:dyDescent="0.25">
      <c r="C1060"/>
      <c r="D1060"/>
      <c r="E1060"/>
      <c r="F1060"/>
      <c r="G1060"/>
      <c r="H1060"/>
    </row>
    <row r="1061" spans="3:8" x14ac:dyDescent="0.25">
      <c r="C1061"/>
      <c r="D1061"/>
      <c r="E1061"/>
      <c r="F1061"/>
      <c r="G1061"/>
      <c r="H1061"/>
    </row>
    <row r="1062" spans="3:8" x14ac:dyDescent="0.25">
      <c r="C1062"/>
      <c r="D1062"/>
      <c r="E1062"/>
      <c r="F1062"/>
      <c r="G1062"/>
      <c r="H1062"/>
    </row>
    <row r="1063" spans="3:8" x14ac:dyDescent="0.25">
      <c r="C1063"/>
      <c r="D1063"/>
      <c r="E1063"/>
      <c r="F1063"/>
      <c r="G1063"/>
      <c r="H1063"/>
    </row>
    <row r="1064" spans="3:8" x14ac:dyDescent="0.25">
      <c r="C1064"/>
      <c r="D1064"/>
      <c r="E1064"/>
      <c r="F1064"/>
      <c r="G1064"/>
      <c r="H1064"/>
    </row>
    <row r="1065" spans="3:8" x14ac:dyDescent="0.25">
      <c r="C1065"/>
      <c r="D1065"/>
      <c r="E1065"/>
      <c r="F1065"/>
      <c r="G1065"/>
      <c r="H1065"/>
    </row>
    <row r="1066" spans="3:8" x14ac:dyDescent="0.25">
      <c r="C1066"/>
      <c r="D1066"/>
      <c r="E1066"/>
      <c r="F1066"/>
      <c r="G1066"/>
      <c r="H1066"/>
    </row>
    <row r="1067" spans="3:8" x14ac:dyDescent="0.25">
      <c r="C1067"/>
      <c r="D1067"/>
      <c r="E1067"/>
      <c r="F1067"/>
      <c r="G1067"/>
      <c r="H1067"/>
    </row>
    <row r="1068" spans="3:8" x14ac:dyDescent="0.25">
      <c r="C1068"/>
      <c r="D1068"/>
      <c r="E1068"/>
      <c r="F1068"/>
      <c r="G1068"/>
      <c r="H1068"/>
    </row>
    <row r="1069" spans="3:8" x14ac:dyDescent="0.25">
      <c r="C1069"/>
      <c r="D1069"/>
      <c r="E1069"/>
      <c r="F1069"/>
      <c r="G1069"/>
      <c r="H1069"/>
    </row>
    <row r="1070" spans="3:8" x14ac:dyDescent="0.25">
      <c r="C1070"/>
      <c r="D1070"/>
      <c r="E1070"/>
      <c r="F1070"/>
      <c r="G1070"/>
      <c r="H1070"/>
    </row>
    <row r="1071" spans="3:8" x14ac:dyDescent="0.25">
      <c r="C1071"/>
      <c r="D1071"/>
      <c r="E1071"/>
      <c r="F1071"/>
      <c r="G1071"/>
      <c r="H1071"/>
    </row>
    <row r="1072" spans="3:8" x14ac:dyDescent="0.25">
      <c r="C1072"/>
      <c r="D1072"/>
      <c r="E1072"/>
      <c r="F1072"/>
      <c r="G1072"/>
      <c r="H1072"/>
    </row>
    <row r="1073" spans="3:8" x14ac:dyDescent="0.25">
      <c r="C1073"/>
      <c r="D1073"/>
      <c r="E1073"/>
      <c r="F1073"/>
      <c r="G1073"/>
      <c r="H1073"/>
    </row>
    <row r="1074" spans="3:8" x14ac:dyDescent="0.25">
      <c r="C1074"/>
      <c r="D1074"/>
      <c r="E1074"/>
      <c r="F1074"/>
      <c r="G1074"/>
      <c r="H1074"/>
    </row>
    <row r="1075" spans="3:8" x14ac:dyDescent="0.25">
      <c r="C1075"/>
      <c r="D1075"/>
      <c r="E1075"/>
      <c r="F1075"/>
      <c r="G1075"/>
      <c r="H1075"/>
    </row>
    <row r="1076" spans="3:8" x14ac:dyDescent="0.25">
      <c r="C1076"/>
      <c r="D1076"/>
      <c r="E1076"/>
      <c r="F1076"/>
      <c r="G1076"/>
      <c r="H1076"/>
    </row>
    <row r="1077" spans="3:8" x14ac:dyDescent="0.25">
      <c r="C1077"/>
      <c r="D1077"/>
      <c r="E1077"/>
      <c r="F1077"/>
      <c r="G1077"/>
      <c r="H1077"/>
    </row>
    <row r="1078" spans="3:8" x14ac:dyDescent="0.25">
      <c r="C1078"/>
      <c r="D1078"/>
      <c r="E1078"/>
      <c r="F1078"/>
      <c r="G1078"/>
      <c r="H1078"/>
    </row>
    <row r="1079" spans="3:8" x14ac:dyDescent="0.25">
      <c r="C1079"/>
      <c r="D1079"/>
      <c r="E1079"/>
      <c r="F1079"/>
      <c r="G1079"/>
      <c r="H1079"/>
    </row>
    <row r="1080" spans="3:8" x14ac:dyDescent="0.25">
      <c r="C1080"/>
      <c r="D1080"/>
      <c r="E1080"/>
      <c r="F1080"/>
      <c r="G1080"/>
      <c r="H1080"/>
    </row>
    <row r="1081" spans="3:8" x14ac:dyDescent="0.25">
      <c r="C1081"/>
      <c r="D1081"/>
      <c r="E1081"/>
      <c r="F1081"/>
      <c r="G1081"/>
      <c r="H1081"/>
    </row>
    <row r="1082" spans="3:8" x14ac:dyDescent="0.25">
      <c r="C1082"/>
      <c r="D1082"/>
      <c r="E1082"/>
      <c r="F1082"/>
      <c r="G1082"/>
      <c r="H1082"/>
    </row>
    <row r="1083" spans="3:8" x14ac:dyDescent="0.25">
      <c r="C1083"/>
      <c r="D1083"/>
      <c r="E1083"/>
      <c r="F1083"/>
      <c r="G1083"/>
      <c r="H1083"/>
    </row>
    <row r="1084" spans="3:8" x14ac:dyDescent="0.25">
      <c r="C1084"/>
      <c r="D1084"/>
      <c r="E1084"/>
      <c r="F1084"/>
      <c r="G1084"/>
      <c r="H1084"/>
    </row>
    <row r="1085" spans="3:8" x14ac:dyDescent="0.25">
      <c r="C1085"/>
      <c r="D1085"/>
      <c r="E1085"/>
      <c r="F1085"/>
      <c r="G1085"/>
      <c r="H1085"/>
    </row>
    <row r="1086" spans="3:8" x14ac:dyDescent="0.25">
      <c r="C1086"/>
      <c r="D1086"/>
      <c r="E1086"/>
      <c r="F1086"/>
      <c r="G1086"/>
      <c r="H1086"/>
    </row>
    <row r="1087" spans="3:8" x14ac:dyDescent="0.25">
      <c r="C1087"/>
      <c r="D1087"/>
      <c r="E1087"/>
      <c r="F1087"/>
      <c r="G1087"/>
      <c r="H1087"/>
    </row>
    <row r="1088" spans="3:8" x14ac:dyDescent="0.25">
      <c r="C1088"/>
      <c r="D1088"/>
      <c r="E1088"/>
      <c r="F1088"/>
      <c r="G1088"/>
      <c r="H1088"/>
    </row>
    <row r="1089" spans="3:8" x14ac:dyDescent="0.25">
      <c r="C1089"/>
      <c r="D1089"/>
      <c r="E1089"/>
      <c r="F1089"/>
      <c r="G1089"/>
      <c r="H1089"/>
    </row>
    <row r="1090" spans="3:8" x14ac:dyDescent="0.25">
      <c r="C1090"/>
      <c r="D1090"/>
      <c r="E1090"/>
      <c r="F1090"/>
      <c r="G1090"/>
      <c r="H1090"/>
    </row>
    <row r="1091" spans="3:8" x14ac:dyDescent="0.25">
      <c r="C1091"/>
      <c r="D1091"/>
      <c r="E1091"/>
      <c r="F1091"/>
      <c r="G1091"/>
      <c r="H1091"/>
    </row>
    <row r="1092" spans="3:8" x14ac:dyDescent="0.25">
      <c r="C1092"/>
      <c r="D1092"/>
      <c r="E1092"/>
      <c r="F1092"/>
      <c r="G1092"/>
      <c r="H1092"/>
    </row>
    <row r="1093" spans="3:8" x14ac:dyDescent="0.25">
      <c r="C1093"/>
      <c r="D1093"/>
      <c r="E1093"/>
      <c r="F1093"/>
      <c r="G1093"/>
      <c r="H1093"/>
    </row>
    <row r="1094" spans="3:8" x14ac:dyDescent="0.25">
      <c r="C1094"/>
      <c r="D1094"/>
      <c r="E1094"/>
      <c r="F1094"/>
      <c r="G1094"/>
      <c r="H1094"/>
    </row>
    <row r="1095" spans="3:8" x14ac:dyDescent="0.25">
      <c r="C1095"/>
      <c r="D1095"/>
      <c r="E1095"/>
      <c r="F1095"/>
      <c r="G1095"/>
      <c r="H1095"/>
    </row>
    <row r="1096" spans="3:8" x14ac:dyDescent="0.25">
      <c r="C1096"/>
      <c r="D1096"/>
      <c r="E1096"/>
      <c r="F1096"/>
      <c r="G1096"/>
      <c r="H1096"/>
    </row>
    <row r="1097" spans="3:8" x14ac:dyDescent="0.25">
      <c r="C1097"/>
      <c r="D1097"/>
      <c r="E1097"/>
      <c r="F1097"/>
      <c r="G1097"/>
      <c r="H1097"/>
    </row>
    <row r="1098" spans="3:8" x14ac:dyDescent="0.25">
      <c r="C1098"/>
      <c r="D1098"/>
      <c r="E1098"/>
      <c r="F1098"/>
      <c r="G1098"/>
      <c r="H1098"/>
    </row>
    <row r="1099" spans="3:8" x14ac:dyDescent="0.25">
      <c r="C1099"/>
      <c r="D1099"/>
      <c r="E1099"/>
      <c r="F1099"/>
      <c r="G1099"/>
      <c r="H1099"/>
    </row>
    <row r="1100" spans="3:8" x14ac:dyDescent="0.25">
      <c r="C1100"/>
      <c r="D1100"/>
      <c r="E1100"/>
      <c r="F1100"/>
      <c r="G1100"/>
      <c r="H1100"/>
    </row>
    <row r="1101" spans="3:8" x14ac:dyDescent="0.25">
      <c r="C1101"/>
      <c r="D1101"/>
      <c r="E1101"/>
      <c r="F1101"/>
      <c r="G1101"/>
      <c r="H1101"/>
    </row>
    <row r="1102" spans="3:8" x14ac:dyDescent="0.25">
      <c r="C1102"/>
      <c r="D1102"/>
      <c r="E1102"/>
      <c r="F1102"/>
      <c r="G1102"/>
      <c r="H1102"/>
    </row>
    <row r="1103" spans="3:8" x14ac:dyDescent="0.25">
      <c r="C1103"/>
      <c r="D1103"/>
      <c r="E1103"/>
      <c r="F1103"/>
      <c r="G1103"/>
      <c r="H1103"/>
    </row>
    <row r="1104" spans="3:8" x14ac:dyDescent="0.25">
      <c r="C1104"/>
      <c r="D1104"/>
      <c r="E1104"/>
      <c r="F1104"/>
      <c r="G1104"/>
      <c r="H1104"/>
    </row>
    <row r="1105" spans="3:8" x14ac:dyDescent="0.25">
      <c r="C1105"/>
      <c r="D1105"/>
      <c r="E1105"/>
      <c r="F1105"/>
      <c r="G1105"/>
      <c r="H1105"/>
    </row>
    <row r="1106" spans="3:8" x14ac:dyDescent="0.25">
      <c r="C1106"/>
      <c r="D1106"/>
      <c r="E1106"/>
      <c r="F1106"/>
      <c r="G1106"/>
      <c r="H1106"/>
    </row>
    <row r="1107" spans="3:8" x14ac:dyDescent="0.25">
      <c r="C1107"/>
      <c r="D1107"/>
      <c r="E1107"/>
      <c r="F1107"/>
      <c r="G1107"/>
      <c r="H1107"/>
    </row>
    <row r="1108" spans="3:8" x14ac:dyDescent="0.25">
      <c r="C1108"/>
      <c r="D1108"/>
      <c r="E1108"/>
      <c r="F1108"/>
      <c r="G1108"/>
      <c r="H1108"/>
    </row>
    <row r="1109" spans="3:8" x14ac:dyDescent="0.25">
      <c r="C1109"/>
      <c r="D1109"/>
      <c r="E1109"/>
      <c r="F1109"/>
      <c r="G1109"/>
      <c r="H1109"/>
    </row>
    <row r="1110" spans="3:8" x14ac:dyDescent="0.25">
      <c r="C1110"/>
      <c r="D1110"/>
      <c r="E1110"/>
      <c r="F1110"/>
      <c r="G1110"/>
      <c r="H1110"/>
    </row>
    <row r="1111" spans="3:8" x14ac:dyDescent="0.25">
      <c r="C1111"/>
      <c r="D1111"/>
      <c r="E1111"/>
      <c r="F1111"/>
      <c r="G1111"/>
      <c r="H1111"/>
    </row>
    <row r="1112" spans="3:8" x14ac:dyDescent="0.25">
      <c r="C1112"/>
      <c r="D1112"/>
      <c r="E1112"/>
      <c r="F1112"/>
      <c r="G1112"/>
      <c r="H1112"/>
    </row>
    <row r="1113" spans="3:8" x14ac:dyDescent="0.25">
      <c r="C1113"/>
      <c r="D1113"/>
      <c r="E1113"/>
      <c r="F1113"/>
      <c r="G1113"/>
      <c r="H1113"/>
    </row>
    <row r="1114" spans="3:8" x14ac:dyDescent="0.25">
      <c r="C1114"/>
      <c r="D1114"/>
      <c r="E1114"/>
      <c r="F1114"/>
      <c r="G1114"/>
      <c r="H1114"/>
    </row>
    <row r="1115" spans="3:8" x14ac:dyDescent="0.25">
      <c r="C1115"/>
      <c r="D1115"/>
      <c r="E1115"/>
      <c r="F1115"/>
      <c r="G1115"/>
      <c r="H1115"/>
    </row>
    <row r="1116" spans="3:8" x14ac:dyDescent="0.25">
      <c r="C1116"/>
      <c r="D1116"/>
      <c r="E1116"/>
      <c r="F1116"/>
      <c r="G1116"/>
      <c r="H1116"/>
    </row>
    <row r="1117" spans="3:8" x14ac:dyDescent="0.25">
      <c r="C1117"/>
      <c r="D1117"/>
      <c r="E1117"/>
      <c r="F1117"/>
      <c r="G1117"/>
      <c r="H1117"/>
    </row>
    <row r="1118" spans="3:8" x14ac:dyDescent="0.25">
      <c r="C1118"/>
      <c r="D1118"/>
      <c r="E1118"/>
      <c r="F1118"/>
      <c r="G1118"/>
      <c r="H1118"/>
    </row>
    <row r="1119" spans="3:8" x14ac:dyDescent="0.25">
      <c r="C1119"/>
      <c r="D1119"/>
      <c r="E1119"/>
      <c r="F1119"/>
      <c r="G1119"/>
      <c r="H1119"/>
    </row>
    <row r="1120" spans="3:8" x14ac:dyDescent="0.25">
      <c r="C1120"/>
      <c r="D1120"/>
      <c r="E1120"/>
      <c r="F1120"/>
      <c r="G1120"/>
      <c r="H1120"/>
    </row>
    <row r="1121" spans="3:8" x14ac:dyDescent="0.25">
      <c r="C1121"/>
      <c r="D1121"/>
      <c r="E1121"/>
      <c r="F1121"/>
      <c r="G1121"/>
      <c r="H1121"/>
    </row>
    <row r="1122" spans="3:8" x14ac:dyDescent="0.25">
      <c r="C1122"/>
      <c r="D1122"/>
      <c r="E1122"/>
      <c r="F1122"/>
      <c r="G1122"/>
      <c r="H1122"/>
    </row>
    <row r="1123" spans="3:8" x14ac:dyDescent="0.25">
      <c r="C1123"/>
      <c r="D1123"/>
      <c r="E1123"/>
      <c r="F1123"/>
      <c r="G1123"/>
      <c r="H1123"/>
    </row>
    <row r="1124" spans="3:8" x14ac:dyDescent="0.25">
      <c r="C1124"/>
      <c r="D1124"/>
      <c r="E1124"/>
      <c r="F1124"/>
      <c r="G1124"/>
      <c r="H1124"/>
    </row>
    <row r="1125" spans="3:8" x14ac:dyDescent="0.25">
      <c r="C1125"/>
      <c r="D1125"/>
      <c r="E1125"/>
      <c r="F1125"/>
      <c r="G1125"/>
      <c r="H1125"/>
    </row>
    <row r="1126" spans="3:8" x14ac:dyDescent="0.25">
      <c r="C1126"/>
      <c r="D1126"/>
      <c r="E1126"/>
      <c r="F1126"/>
      <c r="G1126"/>
      <c r="H1126"/>
    </row>
    <row r="1127" spans="3:8" x14ac:dyDescent="0.25">
      <c r="C1127"/>
      <c r="D1127"/>
      <c r="E1127"/>
      <c r="F1127"/>
      <c r="G1127"/>
      <c r="H1127"/>
    </row>
    <row r="1128" spans="3:8" x14ac:dyDescent="0.25">
      <c r="C1128"/>
      <c r="D1128"/>
      <c r="E1128"/>
      <c r="F1128"/>
      <c r="G1128"/>
      <c r="H1128"/>
    </row>
    <row r="1129" spans="3:8" x14ac:dyDescent="0.25">
      <c r="C1129"/>
      <c r="D1129"/>
      <c r="E1129"/>
      <c r="F1129"/>
      <c r="G1129"/>
      <c r="H1129"/>
    </row>
    <row r="1130" spans="3:8" x14ac:dyDescent="0.25">
      <c r="C1130"/>
      <c r="D1130"/>
      <c r="E1130"/>
      <c r="F1130"/>
      <c r="G1130"/>
      <c r="H1130"/>
    </row>
    <row r="1131" spans="3:8" x14ac:dyDescent="0.25">
      <c r="C1131"/>
      <c r="D1131"/>
      <c r="E1131"/>
      <c r="F1131"/>
      <c r="G1131"/>
      <c r="H1131"/>
    </row>
    <row r="1132" spans="3:8" x14ac:dyDescent="0.25">
      <c r="C1132"/>
      <c r="D1132"/>
      <c r="E1132"/>
      <c r="F1132"/>
      <c r="G1132"/>
      <c r="H1132"/>
    </row>
    <row r="1133" spans="3:8" x14ac:dyDescent="0.25">
      <c r="C1133"/>
      <c r="D1133"/>
      <c r="E1133"/>
      <c r="F1133"/>
      <c r="G1133"/>
      <c r="H1133"/>
    </row>
    <row r="1134" spans="3:8" x14ac:dyDescent="0.25">
      <c r="C1134"/>
      <c r="D1134"/>
      <c r="E1134"/>
      <c r="F1134"/>
      <c r="G1134"/>
      <c r="H1134"/>
    </row>
    <row r="1135" spans="3:8" x14ac:dyDescent="0.25">
      <c r="C1135"/>
      <c r="D1135"/>
      <c r="E1135"/>
      <c r="F1135"/>
      <c r="G1135"/>
      <c r="H1135"/>
    </row>
    <row r="1136" spans="3:8" x14ac:dyDescent="0.25">
      <c r="C1136"/>
      <c r="D1136"/>
      <c r="E1136"/>
      <c r="F1136"/>
      <c r="G1136"/>
      <c r="H1136"/>
    </row>
    <row r="1137" spans="3:8" x14ac:dyDescent="0.25">
      <c r="C1137"/>
      <c r="D1137"/>
      <c r="E1137"/>
      <c r="F1137"/>
      <c r="G1137"/>
      <c r="H1137"/>
    </row>
    <row r="1138" spans="3:8" x14ac:dyDescent="0.25">
      <c r="C1138"/>
      <c r="D1138"/>
      <c r="E1138"/>
      <c r="F1138"/>
      <c r="G1138"/>
      <c r="H1138"/>
    </row>
    <row r="1139" spans="3:8" x14ac:dyDescent="0.25">
      <c r="C1139"/>
      <c r="D1139"/>
      <c r="E1139"/>
      <c r="F1139"/>
      <c r="G1139"/>
      <c r="H1139"/>
    </row>
    <row r="1140" spans="3:8" x14ac:dyDescent="0.25">
      <c r="C1140"/>
      <c r="D1140"/>
      <c r="E1140"/>
      <c r="F1140"/>
      <c r="G1140"/>
      <c r="H1140"/>
    </row>
    <row r="1141" spans="3:8" x14ac:dyDescent="0.25">
      <c r="C1141"/>
      <c r="D1141"/>
      <c r="E1141"/>
      <c r="F1141"/>
      <c r="G1141"/>
      <c r="H1141"/>
    </row>
    <row r="1142" spans="3:8" x14ac:dyDescent="0.25">
      <c r="C1142"/>
      <c r="D1142"/>
      <c r="E1142"/>
      <c r="F1142"/>
      <c r="G1142"/>
      <c r="H1142"/>
    </row>
    <row r="1143" spans="3:8" x14ac:dyDescent="0.25">
      <c r="C1143"/>
      <c r="D1143"/>
      <c r="E1143"/>
      <c r="F1143"/>
      <c r="G1143"/>
      <c r="H1143"/>
    </row>
    <row r="1144" spans="3:8" x14ac:dyDescent="0.25">
      <c r="C1144"/>
      <c r="D1144"/>
      <c r="E1144"/>
      <c r="F1144"/>
      <c r="G1144"/>
      <c r="H1144"/>
    </row>
    <row r="1145" spans="3:8" x14ac:dyDescent="0.25">
      <c r="C1145"/>
      <c r="D1145"/>
      <c r="E1145"/>
      <c r="F1145"/>
      <c r="G1145"/>
      <c r="H1145"/>
    </row>
    <row r="1146" spans="3:8" x14ac:dyDescent="0.25">
      <c r="C1146"/>
      <c r="D1146"/>
      <c r="E1146"/>
      <c r="F1146"/>
      <c r="G1146"/>
      <c r="H1146"/>
    </row>
    <row r="1147" spans="3:8" x14ac:dyDescent="0.25">
      <c r="C1147"/>
      <c r="D1147"/>
      <c r="E1147"/>
      <c r="F1147"/>
      <c r="G1147"/>
      <c r="H1147"/>
    </row>
    <row r="1148" spans="3:8" x14ac:dyDescent="0.25">
      <c r="C1148"/>
      <c r="D1148"/>
      <c r="E1148"/>
      <c r="F1148"/>
      <c r="G1148"/>
      <c r="H1148"/>
    </row>
    <row r="1149" spans="3:8" x14ac:dyDescent="0.25">
      <c r="C1149"/>
      <c r="D1149"/>
      <c r="E1149"/>
      <c r="F1149"/>
      <c r="G1149"/>
      <c r="H1149"/>
    </row>
    <row r="1150" spans="3:8" x14ac:dyDescent="0.25">
      <c r="C1150"/>
      <c r="D1150"/>
      <c r="E1150"/>
      <c r="F1150"/>
      <c r="G1150"/>
      <c r="H1150"/>
    </row>
    <row r="1151" spans="3:8" x14ac:dyDescent="0.25">
      <c r="C1151"/>
      <c r="D1151"/>
      <c r="E1151"/>
      <c r="F1151"/>
      <c r="G1151"/>
      <c r="H1151"/>
    </row>
    <row r="1152" spans="3:8" x14ac:dyDescent="0.25">
      <c r="C1152"/>
      <c r="D1152"/>
      <c r="E1152"/>
      <c r="F1152"/>
      <c r="G1152"/>
      <c r="H1152"/>
    </row>
    <row r="1153" spans="3:8" x14ac:dyDescent="0.25">
      <c r="C1153"/>
      <c r="D1153"/>
      <c r="E1153"/>
      <c r="F1153"/>
      <c r="G1153"/>
      <c r="H1153"/>
    </row>
    <row r="1154" spans="3:8" x14ac:dyDescent="0.25">
      <c r="C1154"/>
      <c r="D1154"/>
      <c r="E1154"/>
      <c r="F1154"/>
      <c r="G1154"/>
      <c r="H1154"/>
    </row>
    <row r="1155" spans="3:8" x14ac:dyDescent="0.25">
      <c r="C1155"/>
      <c r="D1155"/>
      <c r="E1155"/>
      <c r="F1155"/>
      <c r="G1155"/>
      <c r="H1155"/>
    </row>
    <row r="1156" spans="3:8" x14ac:dyDescent="0.25">
      <c r="C1156"/>
      <c r="D1156"/>
      <c r="E1156"/>
      <c r="F1156"/>
      <c r="G1156"/>
      <c r="H1156"/>
    </row>
    <row r="1157" spans="3:8" x14ac:dyDescent="0.25">
      <c r="C1157"/>
      <c r="D1157"/>
      <c r="E1157"/>
      <c r="F1157"/>
      <c r="G1157"/>
      <c r="H1157"/>
    </row>
    <row r="1158" spans="3:8" x14ac:dyDescent="0.25">
      <c r="C1158"/>
      <c r="D1158"/>
      <c r="E1158"/>
      <c r="F1158"/>
      <c r="G1158"/>
      <c r="H1158"/>
    </row>
    <row r="1159" spans="3:8" x14ac:dyDescent="0.25">
      <c r="C1159"/>
      <c r="D1159"/>
      <c r="E1159"/>
      <c r="F1159"/>
      <c r="G1159"/>
      <c r="H1159"/>
    </row>
    <row r="1160" spans="3:8" x14ac:dyDescent="0.25">
      <c r="C1160"/>
      <c r="D1160"/>
      <c r="E1160"/>
      <c r="F1160"/>
      <c r="G1160"/>
      <c r="H1160"/>
    </row>
    <row r="1161" spans="3:8" x14ac:dyDescent="0.25">
      <c r="C1161"/>
      <c r="D1161"/>
      <c r="E1161"/>
      <c r="F1161"/>
      <c r="G1161"/>
      <c r="H1161"/>
    </row>
    <row r="1162" spans="3:8" x14ac:dyDescent="0.25">
      <c r="C1162"/>
      <c r="D1162"/>
      <c r="E1162"/>
      <c r="F1162"/>
      <c r="G1162"/>
      <c r="H1162"/>
    </row>
    <row r="1163" spans="3:8" x14ac:dyDescent="0.25">
      <c r="C1163"/>
      <c r="D1163"/>
      <c r="E1163"/>
      <c r="F1163"/>
      <c r="G1163"/>
      <c r="H1163"/>
    </row>
    <row r="1164" spans="3:8" x14ac:dyDescent="0.25">
      <c r="C1164"/>
      <c r="D1164"/>
      <c r="E1164"/>
      <c r="F1164"/>
      <c r="G1164"/>
      <c r="H1164"/>
    </row>
    <row r="1165" spans="3:8" x14ac:dyDescent="0.25">
      <c r="C1165"/>
      <c r="D1165"/>
      <c r="E1165"/>
      <c r="F1165"/>
      <c r="G1165"/>
      <c r="H1165"/>
    </row>
    <row r="1166" spans="3:8" x14ac:dyDescent="0.25">
      <c r="C1166"/>
      <c r="D1166"/>
      <c r="E1166"/>
      <c r="F1166"/>
      <c r="G1166"/>
      <c r="H1166"/>
    </row>
    <row r="1167" spans="3:8" x14ac:dyDescent="0.25">
      <c r="C1167"/>
      <c r="D1167"/>
      <c r="E1167"/>
      <c r="F1167"/>
      <c r="G1167"/>
      <c r="H1167"/>
    </row>
    <row r="1168" spans="3:8" x14ac:dyDescent="0.25">
      <c r="C1168"/>
      <c r="D1168"/>
      <c r="E1168"/>
      <c r="F1168"/>
      <c r="G1168"/>
      <c r="H1168"/>
    </row>
    <row r="1169" spans="3:8" x14ac:dyDescent="0.25">
      <c r="C1169"/>
      <c r="D1169"/>
      <c r="E1169"/>
      <c r="F1169"/>
      <c r="G1169"/>
      <c r="H1169"/>
    </row>
    <row r="1170" spans="3:8" x14ac:dyDescent="0.25">
      <c r="C1170"/>
      <c r="D1170"/>
      <c r="E1170"/>
      <c r="F1170"/>
      <c r="G1170"/>
      <c r="H1170"/>
    </row>
    <row r="1171" spans="3:8" x14ac:dyDescent="0.25">
      <c r="C1171"/>
      <c r="D1171"/>
      <c r="E1171"/>
      <c r="F1171"/>
      <c r="G1171"/>
      <c r="H1171"/>
    </row>
    <row r="1172" spans="3:8" x14ac:dyDescent="0.25">
      <c r="C1172"/>
      <c r="D1172"/>
      <c r="E1172"/>
      <c r="F1172"/>
      <c r="G1172"/>
      <c r="H1172"/>
    </row>
    <row r="1173" spans="3:8" x14ac:dyDescent="0.25">
      <c r="C1173"/>
      <c r="D1173"/>
      <c r="E1173"/>
      <c r="F1173"/>
      <c r="G1173"/>
      <c r="H1173"/>
    </row>
    <row r="1174" spans="3:8" x14ac:dyDescent="0.25">
      <c r="C1174"/>
      <c r="D1174"/>
      <c r="E1174"/>
      <c r="F1174"/>
      <c r="G1174"/>
      <c r="H1174"/>
    </row>
    <row r="1175" spans="3:8" x14ac:dyDescent="0.25">
      <c r="C1175"/>
      <c r="D1175"/>
      <c r="E1175"/>
      <c r="F1175"/>
      <c r="G1175"/>
      <c r="H1175"/>
    </row>
    <row r="1176" spans="3:8" x14ac:dyDescent="0.25">
      <c r="C1176"/>
      <c r="D1176"/>
      <c r="E1176"/>
      <c r="F1176"/>
      <c r="G1176"/>
      <c r="H1176"/>
    </row>
    <row r="1177" spans="3:8" x14ac:dyDescent="0.25">
      <c r="C1177"/>
      <c r="D1177"/>
      <c r="E1177"/>
      <c r="F1177"/>
      <c r="G1177"/>
      <c r="H1177"/>
    </row>
    <row r="1178" spans="3:8" x14ac:dyDescent="0.25">
      <c r="C1178"/>
      <c r="D1178"/>
      <c r="E1178"/>
      <c r="F1178"/>
      <c r="G1178"/>
      <c r="H1178"/>
    </row>
    <row r="1179" spans="3:8" x14ac:dyDescent="0.25">
      <c r="C1179"/>
      <c r="D1179"/>
      <c r="E1179"/>
      <c r="F1179"/>
      <c r="G1179"/>
      <c r="H1179"/>
    </row>
    <row r="1180" spans="3:8" x14ac:dyDescent="0.25">
      <c r="C1180"/>
      <c r="D1180"/>
      <c r="E1180"/>
      <c r="F1180"/>
      <c r="G1180"/>
      <c r="H1180"/>
    </row>
    <row r="1181" spans="3:8" x14ac:dyDescent="0.25">
      <c r="C1181"/>
      <c r="D1181"/>
      <c r="E1181"/>
      <c r="F1181"/>
      <c r="G1181"/>
      <c r="H1181"/>
    </row>
    <row r="1182" spans="3:8" x14ac:dyDescent="0.25">
      <c r="C1182"/>
      <c r="D1182"/>
      <c r="E1182"/>
      <c r="F1182"/>
      <c r="G1182"/>
      <c r="H1182"/>
    </row>
    <row r="1183" spans="3:8" x14ac:dyDescent="0.25">
      <c r="C1183"/>
      <c r="D1183"/>
      <c r="E1183"/>
      <c r="F1183"/>
      <c r="G1183"/>
      <c r="H1183"/>
    </row>
    <row r="1184" spans="3:8" x14ac:dyDescent="0.25">
      <c r="C1184"/>
      <c r="D1184"/>
      <c r="E1184"/>
      <c r="F1184"/>
      <c r="G1184"/>
      <c r="H1184"/>
    </row>
    <row r="1185" spans="3:8" x14ac:dyDescent="0.25">
      <c r="C1185"/>
      <c r="D1185"/>
      <c r="E1185"/>
      <c r="F1185"/>
      <c r="G1185"/>
      <c r="H1185"/>
    </row>
    <row r="1186" spans="3:8" x14ac:dyDescent="0.25">
      <c r="C1186"/>
      <c r="D1186"/>
      <c r="E1186"/>
      <c r="F1186"/>
      <c r="G1186"/>
      <c r="H1186"/>
    </row>
    <row r="1187" spans="3:8" x14ac:dyDescent="0.25">
      <c r="C1187"/>
      <c r="D1187"/>
      <c r="E1187"/>
      <c r="F1187"/>
      <c r="G1187"/>
      <c r="H1187"/>
    </row>
    <row r="1188" spans="3:8" x14ac:dyDescent="0.25">
      <c r="C1188"/>
      <c r="D1188"/>
      <c r="E1188"/>
      <c r="F1188"/>
      <c r="G1188"/>
      <c r="H1188"/>
    </row>
    <row r="1189" spans="3:8" x14ac:dyDescent="0.25">
      <c r="C1189"/>
      <c r="D1189"/>
      <c r="E1189"/>
      <c r="F1189"/>
      <c r="G1189"/>
      <c r="H1189"/>
    </row>
    <row r="1190" spans="3:8" x14ac:dyDescent="0.25">
      <c r="C1190"/>
      <c r="D1190"/>
      <c r="E1190"/>
      <c r="F1190"/>
      <c r="G1190"/>
      <c r="H1190"/>
    </row>
    <row r="1191" spans="3:8" x14ac:dyDescent="0.25">
      <c r="C1191"/>
      <c r="D1191"/>
      <c r="E1191"/>
      <c r="F1191"/>
      <c r="G1191"/>
      <c r="H1191"/>
    </row>
    <row r="1192" spans="3:8" x14ac:dyDescent="0.25">
      <c r="C1192"/>
      <c r="D1192"/>
      <c r="E1192"/>
      <c r="F1192"/>
      <c r="G1192"/>
      <c r="H1192"/>
    </row>
    <row r="1193" spans="3:8" x14ac:dyDescent="0.25">
      <c r="C1193"/>
      <c r="D1193"/>
      <c r="E1193"/>
      <c r="F1193"/>
      <c r="G1193"/>
      <c r="H1193"/>
    </row>
    <row r="1194" spans="3:8" x14ac:dyDescent="0.25">
      <c r="C1194"/>
      <c r="D1194"/>
      <c r="E1194"/>
      <c r="F1194"/>
      <c r="G1194"/>
      <c r="H1194"/>
    </row>
    <row r="1195" spans="3:8" x14ac:dyDescent="0.25">
      <c r="C1195"/>
      <c r="D1195"/>
      <c r="E1195"/>
      <c r="F1195"/>
      <c r="G1195"/>
      <c r="H1195"/>
    </row>
    <row r="1196" spans="3:8" x14ac:dyDescent="0.25">
      <c r="C1196"/>
      <c r="D1196"/>
      <c r="E1196"/>
      <c r="F1196"/>
      <c r="G1196"/>
      <c r="H1196"/>
    </row>
    <row r="1197" spans="3:8" x14ac:dyDescent="0.25">
      <c r="C1197"/>
      <c r="D1197"/>
      <c r="E1197"/>
      <c r="F1197"/>
      <c r="G1197"/>
      <c r="H1197"/>
    </row>
    <row r="1198" spans="3:8" x14ac:dyDescent="0.25">
      <c r="C1198"/>
      <c r="D1198"/>
      <c r="E1198"/>
      <c r="F1198"/>
      <c r="G1198"/>
      <c r="H1198"/>
    </row>
    <row r="1199" spans="3:8" x14ac:dyDescent="0.25">
      <c r="C1199"/>
      <c r="D1199"/>
      <c r="E1199"/>
      <c r="F1199"/>
      <c r="G1199"/>
      <c r="H1199"/>
    </row>
    <row r="1200" spans="3:8" x14ac:dyDescent="0.25">
      <c r="C1200"/>
      <c r="D1200"/>
      <c r="E1200"/>
      <c r="F1200"/>
      <c r="G1200"/>
      <c r="H1200"/>
    </row>
    <row r="1201" spans="3:8" x14ac:dyDescent="0.25">
      <c r="C1201"/>
      <c r="D1201"/>
      <c r="E1201"/>
      <c r="F1201"/>
      <c r="G1201"/>
      <c r="H1201"/>
    </row>
    <row r="1202" spans="3:8" x14ac:dyDescent="0.25">
      <c r="C1202"/>
      <c r="D1202"/>
      <c r="E1202"/>
      <c r="F1202"/>
      <c r="G1202"/>
      <c r="H1202"/>
    </row>
    <row r="1203" spans="3:8" x14ac:dyDescent="0.25">
      <c r="C1203"/>
      <c r="D1203"/>
      <c r="E1203"/>
      <c r="F1203"/>
      <c r="G1203"/>
      <c r="H1203"/>
    </row>
    <row r="1204" spans="3:8" x14ac:dyDescent="0.25">
      <c r="C1204"/>
      <c r="D1204"/>
      <c r="E1204"/>
      <c r="F1204"/>
      <c r="G1204"/>
      <c r="H1204"/>
    </row>
    <row r="1205" spans="3:8" x14ac:dyDescent="0.25">
      <c r="C1205"/>
      <c r="D1205"/>
      <c r="E1205"/>
      <c r="F1205"/>
      <c r="G1205"/>
      <c r="H1205"/>
    </row>
    <row r="1206" spans="3:8" x14ac:dyDescent="0.25">
      <c r="C1206"/>
      <c r="D1206"/>
      <c r="E1206"/>
      <c r="F1206"/>
      <c r="G1206"/>
      <c r="H1206"/>
    </row>
    <row r="1207" spans="3:8" x14ac:dyDescent="0.25">
      <c r="C1207"/>
      <c r="D1207"/>
      <c r="E1207"/>
      <c r="F1207"/>
      <c r="G1207"/>
      <c r="H1207"/>
    </row>
    <row r="1208" spans="3:8" x14ac:dyDescent="0.25">
      <c r="C1208"/>
      <c r="D1208"/>
      <c r="E1208"/>
      <c r="F1208"/>
      <c r="G1208"/>
      <c r="H1208"/>
    </row>
    <row r="1209" spans="3:8" x14ac:dyDescent="0.25">
      <c r="C1209"/>
      <c r="D1209"/>
      <c r="E1209"/>
      <c r="F1209"/>
      <c r="G1209"/>
      <c r="H1209"/>
    </row>
    <row r="1210" spans="3:8" x14ac:dyDescent="0.25">
      <c r="C1210"/>
      <c r="D1210"/>
      <c r="E1210"/>
      <c r="F1210"/>
      <c r="G1210"/>
      <c r="H1210"/>
    </row>
    <row r="1211" spans="3:8" x14ac:dyDescent="0.25">
      <c r="C1211"/>
      <c r="D1211"/>
      <c r="E1211"/>
      <c r="F1211"/>
      <c r="G1211"/>
      <c r="H1211"/>
    </row>
    <row r="1212" spans="3:8" x14ac:dyDescent="0.25">
      <c r="C1212"/>
      <c r="D1212"/>
      <c r="E1212"/>
      <c r="F1212"/>
      <c r="G1212"/>
      <c r="H1212"/>
    </row>
    <row r="1213" spans="3:8" x14ac:dyDescent="0.25">
      <c r="C1213"/>
      <c r="D1213"/>
      <c r="E1213"/>
      <c r="F1213"/>
      <c r="G1213"/>
      <c r="H1213"/>
    </row>
    <row r="1214" spans="3:8" x14ac:dyDescent="0.25">
      <c r="C1214"/>
      <c r="D1214"/>
      <c r="E1214"/>
      <c r="F1214"/>
      <c r="G1214"/>
      <c r="H1214"/>
    </row>
    <row r="1215" spans="3:8" x14ac:dyDescent="0.25">
      <c r="C1215"/>
      <c r="D1215"/>
      <c r="E1215"/>
      <c r="F1215"/>
      <c r="G1215"/>
      <c r="H1215"/>
    </row>
    <row r="1216" spans="3:8" x14ac:dyDescent="0.25">
      <c r="C1216"/>
      <c r="D1216"/>
      <c r="E1216"/>
      <c r="F1216"/>
      <c r="G1216"/>
      <c r="H1216"/>
    </row>
    <row r="1217" spans="3:8" x14ac:dyDescent="0.25">
      <c r="C1217"/>
      <c r="D1217"/>
      <c r="E1217"/>
      <c r="F1217"/>
      <c r="G1217"/>
      <c r="H1217"/>
    </row>
    <row r="1218" spans="3:8" x14ac:dyDescent="0.25">
      <c r="C1218"/>
      <c r="D1218"/>
      <c r="E1218"/>
      <c r="F1218"/>
      <c r="G1218"/>
      <c r="H1218"/>
    </row>
    <row r="1219" spans="3:8" x14ac:dyDescent="0.25">
      <c r="C1219"/>
      <c r="D1219"/>
      <c r="E1219"/>
      <c r="F1219"/>
      <c r="G1219"/>
      <c r="H1219"/>
    </row>
    <row r="1220" spans="3:8" x14ac:dyDescent="0.25">
      <c r="C1220"/>
      <c r="D1220"/>
      <c r="E1220"/>
      <c r="F1220"/>
      <c r="G1220"/>
      <c r="H1220"/>
    </row>
    <row r="1221" spans="3:8" x14ac:dyDescent="0.25">
      <c r="C1221"/>
      <c r="D1221"/>
      <c r="E1221"/>
      <c r="F1221"/>
      <c r="G1221"/>
      <c r="H1221"/>
    </row>
    <row r="1222" spans="3:8" x14ac:dyDescent="0.25">
      <c r="C1222"/>
      <c r="D1222"/>
      <c r="E1222"/>
      <c r="F1222"/>
      <c r="G1222"/>
      <c r="H1222"/>
    </row>
    <row r="1223" spans="3:8" x14ac:dyDescent="0.25">
      <c r="C1223"/>
      <c r="D1223"/>
      <c r="E1223"/>
      <c r="F1223"/>
      <c r="G1223"/>
      <c r="H1223"/>
    </row>
    <row r="1224" spans="3:8" x14ac:dyDescent="0.25">
      <c r="C1224"/>
      <c r="D1224"/>
      <c r="E1224"/>
      <c r="F1224"/>
      <c r="G1224"/>
      <c r="H1224"/>
    </row>
    <row r="1225" spans="3:8" x14ac:dyDescent="0.25">
      <c r="C1225"/>
      <c r="D1225"/>
      <c r="E1225"/>
      <c r="F1225"/>
      <c r="G1225"/>
      <c r="H1225"/>
    </row>
    <row r="1226" spans="3:8" x14ac:dyDescent="0.25">
      <c r="C1226"/>
      <c r="D1226"/>
      <c r="E1226"/>
      <c r="F1226"/>
      <c r="G1226"/>
      <c r="H1226"/>
    </row>
    <row r="1227" spans="3:8" x14ac:dyDescent="0.25">
      <c r="C1227"/>
      <c r="D1227"/>
      <c r="E1227"/>
      <c r="F1227"/>
      <c r="G1227"/>
      <c r="H1227"/>
    </row>
    <row r="1228" spans="3:8" x14ac:dyDescent="0.25">
      <c r="C1228"/>
      <c r="D1228"/>
      <c r="E1228"/>
      <c r="F1228"/>
      <c r="G1228"/>
      <c r="H1228"/>
    </row>
    <row r="1229" spans="3:8" x14ac:dyDescent="0.25">
      <c r="C1229"/>
      <c r="D1229"/>
      <c r="E1229"/>
      <c r="F1229"/>
      <c r="G1229"/>
      <c r="H1229"/>
    </row>
    <row r="1230" spans="3:8" x14ac:dyDescent="0.25">
      <c r="C1230"/>
      <c r="D1230"/>
      <c r="E1230"/>
      <c r="F1230"/>
      <c r="G1230"/>
      <c r="H1230"/>
    </row>
    <row r="1231" spans="3:8" x14ac:dyDescent="0.25">
      <c r="C1231"/>
      <c r="D1231"/>
      <c r="E1231"/>
      <c r="F1231"/>
      <c r="G1231"/>
      <c r="H1231"/>
    </row>
    <row r="1232" spans="3:8" x14ac:dyDescent="0.25">
      <c r="C1232"/>
      <c r="D1232"/>
      <c r="E1232"/>
      <c r="F1232"/>
      <c r="G1232"/>
      <c r="H1232"/>
    </row>
    <row r="1233" spans="3:8" x14ac:dyDescent="0.25">
      <c r="C1233"/>
      <c r="D1233"/>
      <c r="E1233"/>
      <c r="F1233"/>
      <c r="G1233"/>
      <c r="H1233"/>
    </row>
    <row r="1234" spans="3:8" x14ac:dyDescent="0.25">
      <c r="C1234"/>
      <c r="D1234"/>
      <c r="E1234"/>
      <c r="F1234"/>
      <c r="G1234"/>
      <c r="H1234"/>
    </row>
    <row r="1235" spans="3:8" x14ac:dyDescent="0.25">
      <c r="C1235"/>
      <c r="D1235"/>
      <c r="E1235"/>
      <c r="F1235"/>
      <c r="G1235"/>
      <c r="H1235"/>
    </row>
    <row r="1236" spans="3:8" x14ac:dyDescent="0.25">
      <c r="C1236"/>
      <c r="D1236"/>
      <c r="E1236"/>
      <c r="F1236"/>
      <c r="G1236"/>
      <c r="H1236"/>
    </row>
    <row r="1237" spans="3:8" x14ac:dyDescent="0.25">
      <c r="C1237"/>
      <c r="D1237"/>
      <c r="E1237"/>
      <c r="F1237"/>
      <c r="G1237"/>
      <c r="H1237"/>
    </row>
    <row r="1238" spans="3:8" x14ac:dyDescent="0.25">
      <c r="C1238"/>
      <c r="D1238"/>
      <c r="E1238"/>
      <c r="F1238"/>
      <c r="G1238"/>
      <c r="H1238"/>
    </row>
    <row r="1239" spans="3:8" x14ac:dyDescent="0.25">
      <c r="C1239"/>
      <c r="D1239"/>
      <c r="E1239"/>
      <c r="F1239"/>
      <c r="G1239"/>
      <c r="H1239"/>
    </row>
    <row r="1240" spans="3:8" x14ac:dyDescent="0.25">
      <c r="C1240"/>
      <c r="D1240"/>
      <c r="E1240"/>
      <c r="F1240"/>
      <c r="G1240"/>
      <c r="H1240"/>
    </row>
    <row r="1241" spans="3:8" x14ac:dyDescent="0.25">
      <c r="C1241"/>
      <c r="D1241"/>
      <c r="E1241"/>
      <c r="F1241"/>
      <c r="G1241"/>
      <c r="H1241"/>
    </row>
    <row r="1242" spans="3:8" x14ac:dyDescent="0.25">
      <c r="C1242"/>
      <c r="D1242"/>
      <c r="E1242"/>
      <c r="F1242"/>
      <c r="G1242"/>
      <c r="H1242"/>
    </row>
    <row r="1243" spans="3:8" x14ac:dyDescent="0.25">
      <c r="C1243"/>
      <c r="D1243"/>
      <c r="E1243"/>
      <c r="F1243"/>
      <c r="G1243"/>
      <c r="H1243"/>
    </row>
    <row r="1244" spans="3:8" x14ac:dyDescent="0.25">
      <c r="C1244"/>
      <c r="D1244"/>
      <c r="E1244"/>
      <c r="F1244"/>
      <c r="G1244"/>
      <c r="H1244"/>
    </row>
    <row r="1245" spans="3:8" x14ac:dyDescent="0.25">
      <c r="C1245"/>
      <c r="D1245"/>
      <c r="E1245"/>
      <c r="F1245"/>
      <c r="G1245"/>
      <c r="H1245"/>
    </row>
    <row r="1246" spans="3:8" x14ac:dyDescent="0.25">
      <c r="C1246"/>
      <c r="D1246"/>
      <c r="E1246"/>
      <c r="F1246"/>
      <c r="G1246"/>
      <c r="H1246"/>
    </row>
    <row r="1247" spans="3:8" x14ac:dyDescent="0.25">
      <c r="C1247"/>
      <c r="D1247"/>
      <c r="E1247"/>
      <c r="F1247"/>
      <c r="G1247"/>
      <c r="H1247"/>
    </row>
    <row r="1248" spans="3:8" x14ac:dyDescent="0.25">
      <c r="C1248"/>
      <c r="D1248"/>
      <c r="E1248"/>
      <c r="F1248"/>
      <c r="G1248"/>
      <c r="H1248"/>
    </row>
    <row r="1249" spans="3:8" x14ac:dyDescent="0.25">
      <c r="C1249"/>
      <c r="D1249"/>
      <c r="E1249"/>
      <c r="F1249"/>
      <c r="G1249"/>
      <c r="H1249"/>
    </row>
    <row r="1250" spans="3:8" x14ac:dyDescent="0.25">
      <c r="C1250"/>
      <c r="D1250"/>
      <c r="E1250"/>
      <c r="F1250"/>
      <c r="G1250"/>
      <c r="H1250"/>
    </row>
    <row r="1251" spans="3:8" x14ac:dyDescent="0.25">
      <c r="C1251"/>
      <c r="D1251"/>
      <c r="E1251"/>
      <c r="F1251"/>
      <c r="G1251"/>
      <c r="H1251"/>
    </row>
    <row r="1252" spans="3:8" x14ac:dyDescent="0.25">
      <c r="C1252"/>
      <c r="D1252"/>
      <c r="E1252"/>
      <c r="F1252"/>
      <c r="G1252"/>
      <c r="H1252"/>
    </row>
    <row r="1253" spans="3:8" x14ac:dyDescent="0.25">
      <c r="C1253"/>
      <c r="D1253"/>
      <c r="E1253"/>
      <c r="F1253"/>
      <c r="G1253"/>
      <c r="H1253"/>
    </row>
    <row r="1254" spans="3:8" x14ac:dyDescent="0.25">
      <c r="C1254"/>
      <c r="D1254"/>
      <c r="E1254"/>
      <c r="F1254"/>
      <c r="G1254"/>
      <c r="H1254"/>
    </row>
    <row r="1255" spans="3:8" x14ac:dyDescent="0.25">
      <c r="C1255"/>
      <c r="D1255"/>
      <c r="E1255"/>
      <c r="F1255"/>
      <c r="G1255"/>
      <c r="H1255"/>
    </row>
    <row r="1256" spans="3:8" x14ac:dyDescent="0.25">
      <c r="C1256"/>
      <c r="D1256"/>
      <c r="E1256"/>
      <c r="F1256"/>
      <c r="G1256"/>
      <c r="H1256"/>
    </row>
    <row r="1257" spans="3:8" x14ac:dyDescent="0.25">
      <c r="C1257"/>
      <c r="D1257"/>
      <c r="E1257"/>
      <c r="F1257"/>
      <c r="G1257"/>
      <c r="H1257"/>
    </row>
    <row r="1258" spans="3:8" x14ac:dyDescent="0.25">
      <c r="C1258"/>
      <c r="D1258"/>
      <c r="E1258"/>
      <c r="F1258"/>
      <c r="G1258"/>
      <c r="H1258"/>
    </row>
    <row r="1259" spans="3:8" x14ac:dyDescent="0.25">
      <c r="C1259"/>
      <c r="D1259"/>
      <c r="E1259"/>
      <c r="F1259"/>
      <c r="G1259"/>
      <c r="H1259"/>
    </row>
    <row r="1260" spans="3:8" x14ac:dyDescent="0.25">
      <c r="C1260"/>
      <c r="D1260"/>
      <c r="E1260"/>
      <c r="F1260"/>
      <c r="G1260"/>
      <c r="H1260"/>
    </row>
    <row r="1261" spans="3:8" x14ac:dyDescent="0.25">
      <c r="C1261"/>
      <c r="D1261"/>
      <c r="E1261"/>
      <c r="F1261"/>
      <c r="G1261"/>
      <c r="H1261"/>
    </row>
    <row r="1262" spans="3:8" x14ac:dyDescent="0.25">
      <c r="C1262"/>
      <c r="D1262"/>
      <c r="E1262"/>
      <c r="F1262"/>
      <c r="G1262"/>
      <c r="H1262"/>
    </row>
    <row r="1263" spans="3:8" x14ac:dyDescent="0.25">
      <c r="C1263"/>
      <c r="D1263"/>
      <c r="E1263"/>
      <c r="F1263"/>
      <c r="G1263"/>
      <c r="H1263"/>
    </row>
    <row r="1264" spans="3:8" x14ac:dyDescent="0.25">
      <c r="C1264"/>
      <c r="D1264"/>
      <c r="E1264"/>
      <c r="F1264"/>
      <c r="G1264"/>
      <c r="H1264"/>
    </row>
    <row r="1265" spans="3:8" x14ac:dyDescent="0.25">
      <c r="C1265"/>
      <c r="D1265"/>
      <c r="E1265"/>
      <c r="F1265"/>
      <c r="G1265"/>
      <c r="H1265"/>
    </row>
    <row r="1266" spans="3:8" x14ac:dyDescent="0.25">
      <c r="C1266"/>
      <c r="D1266"/>
      <c r="E1266"/>
      <c r="F1266"/>
      <c r="G1266"/>
      <c r="H1266"/>
    </row>
    <row r="1267" spans="3:8" x14ac:dyDescent="0.25">
      <c r="C1267"/>
      <c r="D1267"/>
      <c r="E1267"/>
      <c r="F1267"/>
      <c r="G1267"/>
      <c r="H1267"/>
    </row>
    <row r="1268" spans="3:8" x14ac:dyDescent="0.25">
      <c r="C1268"/>
      <c r="D1268"/>
      <c r="E1268"/>
      <c r="F1268"/>
      <c r="G1268"/>
      <c r="H1268"/>
    </row>
    <row r="1269" spans="3:8" x14ac:dyDescent="0.25">
      <c r="C1269"/>
      <c r="D1269"/>
      <c r="E1269"/>
      <c r="F1269"/>
      <c r="G1269"/>
      <c r="H1269"/>
    </row>
    <row r="1270" spans="3:8" x14ac:dyDescent="0.25">
      <c r="C1270"/>
      <c r="D1270"/>
      <c r="E1270"/>
      <c r="F1270"/>
      <c r="G1270"/>
      <c r="H1270"/>
    </row>
    <row r="1271" spans="3:8" x14ac:dyDescent="0.25">
      <c r="C1271"/>
      <c r="D1271"/>
      <c r="E1271"/>
      <c r="F1271"/>
      <c r="G1271"/>
      <c r="H1271"/>
    </row>
    <row r="1272" spans="3:8" x14ac:dyDescent="0.25">
      <c r="C1272"/>
      <c r="D1272"/>
      <c r="E1272"/>
      <c r="F1272"/>
      <c r="G1272"/>
      <c r="H1272"/>
    </row>
    <row r="1273" spans="3:8" x14ac:dyDescent="0.25">
      <c r="C1273"/>
      <c r="D1273"/>
      <c r="E1273"/>
      <c r="F1273"/>
      <c r="G1273"/>
      <c r="H1273"/>
    </row>
    <row r="1274" spans="3:8" x14ac:dyDescent="0.25">
      <c r="C1274"/>
      <c r="D1274"/>
      <c r="E1274"/>
      <c r="F1274"/>
      <c r="G1274"/>
      <c r="H1274"/>
    </row>
    <row r="1275" spans="3:8" x14ac:dyDescent="0.25">
      <c r="C1275"/>
      <c r="D1275"/>
      <c r="E1275"/>
      <c r="F1275"/>
      <c r="G1275"/>
      <c r="H1275"/>
    </row>
    <row r="1276" spans="3:8" x14ac:dyDescent="0.25">
      <c r="C1276"/>
      <c r="D1276"/>
      <c r="E1276"/>
      <c r="F1276"/>
      <c r="G1276"/>
      <c r="H1276"/>
    </row>
    <row r="1277" spans="3:8" x14ac:dyDescent="0.25">
      <c r="C1277"/>
      <c r="D1277"/>
      <c r="E1277"/>
      <c r="F1277"/>
      <c r="G1277"/>
      <c r="H1277"/>
    </row>
    <row r="1278" spans="3:8" x14ac:dyDescent="0.25">
      <c r="C1278"/>
      <c r="D1278"/>
      <c r="E1278"/>
      <c r="F1278"/>
      <c r="G1278"/>
      <c r="H1278"/>
    </row>
    <row r="1279" spans="3:8" x14ac:dyDescent="0.25">
      <c r="C1279"/>
      <c r="D1279"/>
      <c r="E1279"/>
      <c r="F1279"/>
      <c r="G1279"/>
      <c r="H1279"/>
    </row>
    <row r="1280" spans="3:8" x14ac:dyDescent="0.25">
      <c r="C1280"/>
      <c r="D1280"/>
      <c r="E1280"/>
      <c r="F1280"/>
      <c r="G1280"/>
      <c r="H1280"/>
    </row>
    <row r="1281" spans="3:8" x14ac:dyDescent="0.25">
      <c r="C1281"/>
      <c r="D1281"/>
      <c r="E1281"/>
      <c r="F1281"/>
      <c r="G1281"/>
      <c r="H1281"/>
    </row>
    <row r="1282" spans="3:8" x14ac:dyDescent="0.25">
      <c r="C1282"/>
      <c r="D1282"/>
      <c r="E1282"/>
      <c r="F1282"/>
      <c r="G1282"/>
      <c r="H1282"/>
    </row>
    <row r="1283" spans="3:8" x14ac:dyDescent="0.25">
      <c r="C1283"/>
      <c r="D1283"/>
      <c r="E1283"/>
      <c r="F1283"/>
      <c r="G1283"/>
      <c r="H1283"/>
    </row>
    <row r="1284" spans="3:8" x14ac:dyDescent="0.25">
      <c r="C1284"/>
      <c r="D1284"/>
      <c r="E1284"/>
      <c r="F1284"/>
      <c r="G1284"/>
      <c r="H1284"/>
    </row>
    <row r="1285" spans="3:8" x14ac:dyDescent="0.25">
      <c r="C1285"/>
      <c r="D1285"/>
      <c r="E1285"/>
      <c r="F1285"/>
      <c r="G1285"/>
      <c r="H1285"/>
    </row>
    <row r="1286" spans="3:8" x14ac:dyDescent="0.25">
      <c r="C1286"/>
      <c r="D1286"/>
      <c r="E1286"/>
      <c r="F1286"/>
      <c r="G1286"/>
      <c r="H1286"/>
    </row>
    <row r="1287" spans="3:8" x14ac:dyDescent="0.25">
      <c r="C1287"/>
      <c r="D1287"/>
      <c r="E1287"/>
      <c r="F1287"/>
      <c r="G1287"/>
      <c r="H1287"/>
    </row>
    <row r="1288" spans="3:8" x14ac:dyDescent="0.25">
      <c r="C1288"/>
      <c r="D1288"/>
      <c r="E1288"/>
      <c r="F1288"/>
      <c r="G1288"/>
      <c r="H1288"/>
    </row>
    <row r="1289" spans="3:8" x14ac:dyDescent="0.25">
      <c r="C1289"/>
      <c r="D1289"/>
      <c r="E1289"/>
      <c r="F1289"/>
      <c r="G1289"/>
      <c r="H1289"/>
    </row>
    <row r="1290" spans="3:8" x14ac:dyDescent="0.25">
      <c r="C1290"/>
      <c r="D1290"/>
      <c r="E1290"/>
      <c r="F1290"/>
      <c r="G1290"/>
      <c r="H1290"/>
    </row>
    <row r="1291" spans="3:8" x14ac:dyDescent="0.25">
      <c r="C1291"/>
      <c r="D1291"/>
      <c r="E1291"/>
      <c r="F1291"/>
      <c r="G1291"/>
      <c r="H1291"/>
    </row>
    <row r="1292" spans="3:8" x14ac:dyDescent="0.25">
      <c r="C1292"/>
      <c r="D1292"/>
      <c r="E1292"/>
      <c r="F1292"/>
      <c r="G1292"/>
      <c r="H1292"/>
    </row>
    <row r="1293" spans="3:8" x14ac:dyDescent="0.25">
      <c r="C1293"/>
      <c r="D1293"/>
      <c r="E1293"/>
      <c r="F1293"/>
      <c r="G1293"/>
      <c r="H1293"/>
    </row>
    <row r="1294" spans="3:8" x14ac:dyDescent="0.25">
      <c r="C1294"/>
      <c r="D1294"/>
      <c r="E1294"/>
      <c r="F1294"/>
      <c r="G1294"/>
      <c r="H1294"/>
    </row>
    <row r="1295" spans="3:8" x14ac:dyDescent="0.25">
      <c r="C1295"/>
      <c r="D1295"/>
      <c r="E1295"/>
      <c r="F1295"/>
      <c r="G1295"/>
      <c r="H1295"/>
    </row>
    <row r="1296" spans="3:8" x14ac:dyDescent="0.25">
      <c r="C1296"/>
      <c r="D1296"/>
      <c r="E1296"/>
      <c r="F1296"/>
      <c r="G1296"/>
      <c r="H1296"/>
    </row>
    <row r="1297" spans="3:8" x14ac:dyDescent="0.25">
      <c r="C1297"/>
      <c r="D1297"/>
      <c r="E1297"/>
      <c r="F1297"/>
      <c r="G1297"/>
      <c r="H1297"/>
    </row>
    <row r="1298" spans="3:8" x14ac:dyDescent="0.25">
      <c r="C1298"/>
      <c r="D1298"/>
      <c r="E1298"/>
      <c r="F1298"/>
      <c r="G1298"/>
      <c r="H1298"/>
    </row>
    <row r="1299" spans="3:8" x14ac:dyDescent="0.25">
      <c r="C1299"/>
      <c r="D1299"/>
      <c r="E1299"/>
      <c r="F1299"/>
      <c r="G1299"/>
      <c r="H1299"/>
    </row>
    <row r="1300" spans="3:8" x14ac:dyDescent="0.25">
      <c r="C1300"/>
      <c r="D1300"/>
      <c r="E1300"/>
      <c r="F1300"/>
      <c r="G1300"/>
      <c r="H1300"/>
    </row>
    <row r="1301" spans="3:8" x14ac:dyDescent="0.25">
      <c r="C1301"/>
      <c r="D1301"/>
      <c r="E1301"/>
      <c r="F1301"/>
      <c r="G1301"/>
      <c r="H1301"/>
    </row>
    <row r="1302" spans="3:8" x14ac:dyDescent="0.25">
      <c r="C1302"/>
      <c r="D1302"/>
      <c r="E1302"/>
      <c r="F1302"/>
      <c r="G1302"/>
      <c r="H1302"/>
    </row>
    <row r="1303" spans="3:8" x14ac:dyDescent="0.25">
      <c r="C1303"/>
      <c r="D1303"/>
      <c r="E1303"/>
      <c r="F1303"/>
      <c r="G1303"/>
      <c r="H1303"/>
    </row>
    <row r="1304" spans="3:8" x14ac:dyDescent="0.25">
      <c r="C1304"/>
      <c r="D1304"/>
      <c r="E1304"/>
      <c r="F1304"/>
      <c r="G1304"/>
      <c r="H1304"/>
    </row>
    <row r="1305" spans="3:8" x14ac:dyDescent="0.25">
      <c r="C1305"/>
      <c r="D1305"/>
      <c r="E1305"/>
      <c r="F1305"/>
      <c r="G1305"/>
      <c r="H1305"/>
    </row>
    <row r="1306" spans="3:8" x14ac:dyDescent="0.25">
      <c r="C1306"/>
      <c r="D1306"/>
      <c r="E1306"/>
      <c r="F1306"/>
      <c r="G1306"/>
      <c r="H1306"/>
    </row>
    <row r="1307" spans="3:8" x14ac:dyDescent="0.25">
      <c r="C1307"/>
      <c r="D1307"/>
      <c r="E1307"/>
      <c r="F1307"/>
      <c r="G1307"/>
      <c r="H1307"/>
    </row>
    <row r="1308" spans="3:8" x14ac:dyDescent="0.25">
      <c r="C1308"/>
      <c r="D1308"/>
      <c r="E1308"/>
      <c r="F1308"/>
      <c r="G1308"/>
      <c r="H1308"/>
    </row>
    <row r="1309" spans="3:8" x14ac:dyDescent="0.25">
      <c r="C1309"/>
      <c r="D1309"/>
      <c r="E1309"/>
      <c r="F1309"/>
      <c r="G1309"/>
      <c r="H1309"/>
    </row>
    <row r="1310" spans="3:8" x14ac:dyDescent="0.25">
      <c r="C1310"/>
      <c r="D1310"/>
      <c r="E1310"/>
      <c r="F1310"/>
      <c r="G1310"/>
      <c r="H1310"/>
    </row>
    <row r="1311" spans="3:8" x14ac:dyDescent="0.25">
      <c r="C1311"/>
      <c r="D1311"/>
      <c r="E1311"/>
      <c r="F1311"/>
      <c r="G1311"/>
      <c r="H1311"/>
    </row>
    <row r="1312" spans="3:8" x14ac:dyDescent="0.25">
      <c r="C1312"/>
      <c r="D1312"/>
      <c r="E1312"/>
      <c r="F1312"/>
      <c r="G1312"/>
      <c r="H1312"/>
    </row>
    <row r="1313" spans="3:8" x14ac:dyDescent="0.25">
      <c r="C1313"/>
      <c r="D1313"/>
      <c r="E1313"/>
      <c r="F1313"/>
      <c r="G1313"/>
      <c r="H1313"/>
    </row>
    <row r="1314" spans="3:8" x14ac:dyDescent="0.25">
      <c r="C1314"/>
      <c r="D1314"/>
      <c r="E1314"/>
      <c r="F1314"/>
      <c r="G1314"/>
      <c r="H1314"/>
    </row>
    <row r="1315" spans="3:8" x14ac:dyDescent="0.25">
      <c r="C1315"/>
      <c r="D1315"/>
      <c r="E1315"/>
      <c r="F1315"/>
      <c r="G1315"/>
      <c r="H1315"/>
    </row>
    <row r="1316" spans="3:8" x14ac:dyDescent="0.25">
      <c r="C1316"/>
      <c r="D1316"/>
      <c r="E1316"/>
      <c r="F1316"/>
      <c r="G1316"/>
      <c r="H1316"/>
    </row>
    <row r="1317" spans="3:8" x14ac:dyDescent="0.25">
      <c r="C1317"/>
      <c r="D1317"/>
      <c r="E1317"/>
      <c r="F1317"/>
      <c r="G1317"/>
      <c r="H1317"/>
    </row>
    <row r="1318" spans="3:8" x14ac:dyDescent="0.25">
      <c r="C1318"/>
      <c r="D1318"/>
      <c r="E1318"/>
      <c r="F1318"/>
      <c r="G1318"/>
      <c r="H1318"/>
    </row>
    <row r="1319" spans="3:8" x14ac:dyDescent="0.25">
      <c r="C1319"/>
      <c r="D1319"/>
      <c r="E1319"/>
      <c r="F1319"/>
      <c r="G1319"/>
      <c r="H1319"/>
    </row>
    <row r="1320" spans="3:8" x14ac:dyDescent="0.25">
      <c r="C1320"/>
      <c r="D1320"/>
      <c r="E1320"/>
      <c r="F1320"/>
      <c r="G1320"/>
      <c r="H1320"/>
    </row>
    <row r="1321" spans="3:8" x14ac:dyDescent="0.25">
      <c r="C1321"/>
      <c r="D1321"/>
      <c r="E1321"/>
      <c r="F1321"/>
      <c r="G1321"/>
      <c r="H1321"/>
    </row>
    <row r="1322" spans="3:8" x14ac:dyDescent="0.25">
      <c r="C1322"/>
      <c r="D1322"/>
      <c r="E1322"/>
      <c r="F1322"/>
      <c r="G1322"/>
      <c r="H1322"/>
    </row>
    <row r="1323" spans="3:8" x14ac:dyDescent="0.25">
      <c r="C1323"/>
      <c r="D1323"/>
      <c r="E1323"/>
      <c r="F1323"/>
      <c r="G1323"/>
      <c r="H1323"/>
    </row>
    <row r="1324" spans="3:8" x14ac:dyDescent="0.25">
      <c r="C1324"/>
      <c r="D1324"/>
      <c r="E1324"/>
      <c r="F1324"/>
      <c r="G1324"/>
      <c r="H1324"/>
    </row>
    <row r="1325" spans="3:8" x14ac:dyDescent="0.25">
      <c r="C1325"/>
      <c r="D1325"/>
      <c r="E1325"/>
      <c r="F1325"/>
      <c r="G1325"/>
      <c r="H1325"/>
    </row>
    <row r="1326" spans="3:8" x14ac:dyDescent="0.25">
      <c r="C1326"/>
      <c r="D1326"/>
      <c r="E1326"/>
      <c r="F1326"/>
      <c r="G1326"/>
      <c r="H1326"/>
    </row>
    <row r="1327" spans="3:8" x14ac:dyDescent="0.25">
      <c r="C1327"/>
      <c r="D1327"/>
      <c r="E1327"/>
      <c r="F1327"/>
      <c r="G1327"/>
      <c r="H1327"/>
    </row>
    <row r="1328" spans="3:8" x14ac:dyDescent="0.25">
      <c r="C1328"/>
      <c r="D1328"/>
      <c r="E1328"/>
      <c r="F1328"/>
      <c r="G1328"/>
      <c r="H1328"/>
    </row>
    <row r="1329" spans="3:8" x14ac:dyDescent="0.25">
      <c r="C1329"/>
      <c r="D1329"/>
      <c r="E1329"/>
      <c r="F1329"/>
      <c r="G1329"/>
      <c r="H1329"/>
    </row>
    <row r="1330" spans="3:8" x14ac:dyDescent="0.25">
      <c r="C1330"/>
      <c r="D1330"/>
      <c r="E1330"/>
      <c r="F1330"/>
      <c r="G1330"/>
      <c r="H1330"/>
    </row>
    <row r="1331" spans="3:8" x14ac:dyDescent="0.25">
      <c r="C1331"/>
      <c r="D1331"/>
      <c r="E1331"/>
      <c r="F1331"/>
      <c r="G1331"/>
      <c r="H1331"/>
    </row>
    <row r="1332" spans="3:8" x14ac:dyDescent="0.25">
      <c r="C1332"/>
      <c r="D1332"/>
      <c r="E1332"/>
      <c r="F1332"/>
      <c r="G1332"/>
      <c r="H1332"/>
    </row>
    <row r="1333" spans="3:8" x14ac:dyDescent="0.25">
      <c r="C1333"/>
      <c r="D1333"/>
      <c r="E1333"/>
      <c r="F1333"/>
      <c r="G1333"/>
      <c r="H1333"/>
    </row>
    <row r="1334" spans="3:8" x14ac:dyDescent="0.25">
      <c r="C1334"/>
      <c r="D1334"/>
      <c r="E1334"/>
      <c r="F1334"/>
      <c r="G1334"/>
      <c r="H1334"/>
    </row>
    <row r="1335" spans="3:8" x14ac:dyDescent="0.25">
      <c r="C1335"/>
      <c r="D1335"/>
      <c r="E1335"/>
      <c r="F1335"/>
      <c r="G1335"/>
      <c r="H1335"/>
    </row>
    <row r="1336" spans="3:8" x14ac:dyDescent="0.25">
      <c r="C1336"/>
      <c r="D1336"/>
      <c r="E1336"/>
      <c r="F1336"/>
      <c r="G1336"/>
      <c r="H1336"/>
    </row>
    <row r="1337" spans="3:8" x14ac:dyDescent="0.25">
      <c r="C1337"/>
      <c r="D1337"/>
      <c r="E1337"/>
      <c r="F1337"/>
      <c r="G1337"/>
      <c r="H1337"/>
    </row>
    <row r="1338" spans="3:8" x14ac:dyDescent="0.25">
      <c r="C1338"/>
      <c r="D1338"/>
      <c r="E1338"/>
      <c r="F1338"/>
      <c r="G1338"/>
      <c r="H1338"/>
    </row>
    <row r="1339" spans="3:8" x14ac:dyDescent="0.25">
      <c r="C1339"/>
      <c r="D1339"/>
      <c r="E1339"/>
      <c r="F1339"/>
      <c r="G1339"/>
      <c r="H1339"/>
    </row>
    <row r="1340" spans="3:8" x14ac:dyDescent="0.25">
      <c r="C1340"/>
      <c r="D1340"/>
      <c r="E1340"/>
      <c r="F1340"/>
      <c r="G1340"/>
      <c r="H1340"/>
    </row>
    <row r="1341" spans="3:8" x14ac:dyDescent="0.25">
      <c r="C1341"/>
      <c r="D1341"/>
      <c r="E1341"/>
      <c r="F1341"/>
      <c r="G1341"/>
      <c r="H1341"/>
    </row>
    <row r="1342" spans="3:8" x14ac:dyDescent="0.25">
      <c r="C1342"/>
      <c r="D1342"/>
      <c r="E1342"/>
      <c r="F1342"/>
      <c r="G1342"/>
      <c r="H1342"/>
    </row>
    <row r="1343" spans="3:8" x14ac:dyDescent="0.25">
      <c r="C1343"/>
      <c r="D1343"/>
      <c r="E1343"/>
      <c r="F1343"/>
      <c r="G1343"/>
      <c r="H1343"/>
    </row>
    <row r="1344" spans="3:8" x14ac:dyDescent="0.25">
      <c r="C1344"/>
      <c r="D1344"/>
      <c r="E1344"/>
      <c r="F1344"/>
      <c r="G1344"/>
      <c r="H1344"/>
    </row>
    <row r="1345" spans="3:8" x14ac:dyDescent="0.25">
      <c r="C1345"/>
      <c r="D1345"/>
      <c r="E1345"/>
      <c r="F1345"/>
      <c r="G1345"/>
      <c r="H1345"/>
    </row>
    <row r="1346" spans="3:8" x14ac:dyDescent="0.25">
      <c r="C1346"/>
      <c r="D1346"/>
      <c r="E1346"/>
      <c r="F1346"/>
      <c r="G1346"/>
      <c r="H1346"/>
    </row>
    <row r="1347" spans="3:8" x14ac:dyDescent="0.25">
      <c r="C1347"/>
      <c r="D1347"/>
      <c r="E1347"/>
      <c r="F1347"/>
      <c r="G1347"/>
      <c r="H1347"/>
    </row>
    <row r="1348" spans="3:8" x14ac:dyDescent="0.25">
      <c r="C1348"/>
      <c r="D1348"/>
      <c r="E1348"/>
      <c r="F1348"/>
      <c r="G1348"/>
      <c r="H1348"/>
    </row>
    <row r="1349" spans="3:8" x14ac:dyDescent="0.25">
      <c r="C1349"/>
      <c r="D1349"/>
      <c r="E1349"/>
      <c r="F1349"/>
      <c r="G1349"/>
      <c r="H1349"/>
    </row>
    <row r="1350" spans="3:8" x14ac:dyDescent="0.25">
      <c r="C1350"/>
      <c r="D1350"/>
      <c r="E1350"/>
      <c r="F1350"/>
      <c r="G1350"/>
      <c r="H1350"/>
    </row>
    <row r="1351" spans="3:8" x14ac:dyDescent="0.25">
      <c r="C1351"/>
      <c r="D1351"/>
      <c r="E1351"/>
      <c r="F1351"/>
      <c r="G1351"/>
      <c r="H1351"/>
    </row>
    <row r="1352" spans="3:8" x14ac:dyDescent="0.25">
      <c r="C1352"/>
      <c r="D1352"/>
      <c r="E1352"/>
      <c r="F1352"/>
      <c r="G1352"/>
      <c r="H1352"/>
    </row>
    <row r="1353" spans="3:8" x14ac:dyDescent="0.25">
      <c r="C1353"/>
      <c r="D1353"/>
      <c r="E1353"/>
      <c r="F1353"/>
      <c r="G1353"/>
      <c r="H1353"/>
    </row>
    <row r="1354" spans="3:8" x14ac:dyDescent="0.25">
      <c r="C1354"/>
      <c r="D1354"/>
      <c r="E1354"/>
      <c r="F1354"/>
      <c r="G1354"/>
      <c r="H1354"/>
    </row>
    <row r="1355" spans="3:8" x14ac:dyDescent="0.25">
      <c r="C1355"/>
      <c r="D1355"/>
      <c r="E1355"/>
      <c r="F1355"/>
      <c r="G1355"/>
      <c r="H1355"/>
    </row>
    <row r="1356" spans="3:8" x14ac:dyDescent="0.25">
      <c r="C1356"/>
      <c r="D1356"/>
      <c r="E1356"/>
      <c r="F1356"/>
      <c r="G1356"/>
      <c r="H1356"/>
    </row>
    <row r="1357" spans="3:8" x14ac:dyDescent="0.25">
      <c r="C1357"/>
      <c r="D1357"/>
      <c r="E1357"/>
      <c r="F1357"/>
      <c r="G1357"/>
      <c r="H1357"/>
    </row>
    <row r="1358" spans="3:8" x14ac:dyDescent="0.25">
      <c r="C1358"/>
      <c r="D1358"/>
      <c r="E1358"/>
      <c r="F1358"/>
      <c r="G1358"/>
      <c r="H1358"/>
    </row>
    <row r="1359" spans="3:8" x14ac:dyDescent="0.25">
      <c r="C1359"/>
      <c r="D1359"/>
      <c r="E1359"/>
      <c r="F1359"/>
      <c r="G1359"/>
      <c r="H1359"/>
    </row>
    <row r="1360" spans="3:8" x14ac:dyDescent="0.25">
      <c r="C1360"/>
      <c r="D1360"/>
      <c r="E1360"/>
      <c r="F1360"/>
      <c r="G1360"/>
      <c r="H1360"/>
    </row>
    <row r="1361" spans="3:8" x14ac:dyDescent="0.25">
      <c r="C1361"/>
      <c r="D1361"/>
      <c r="E1361"/>
      <c r="F1361"/>
      <c r="G1361"/>
      <c r="H1361"/>
    </row>
    <row r="1362" spans="3:8" x14ac:dyDescent="0.25">
      <c r="C1362"/>
      <c r="D1362"/>
      <c r="E1362"/>
      <c r="F1362"/>
      <c r="G1362"/>
      <c r="H1362"/>
    </row>
    <row r="1363" spans="3:8" x14ac:dyDescent="0.25">
      <c r="C1363"/>
      <c r="D1363"/>
      <c r="E1363"/>
      <c r="F1363"/>
      <c r="G1363"/>
      <c r="H1363"/>
    </row>
    <row r="1364" spans="3:8" x14ac:dyDescent="0.25">
      <c r="C1364"/>
      <c r="D1364"/>
      <c r="E1364"/>
      <c r="F1364"/>
      <c r="G1364"/>
      <c r="H1364"/>
    </row>
    <row r="1365" spans="3:8" x14ac:dyDescent="0.25">
      <c r="C1365"/>
      <c r="D1365"/>
      <c r="E1365"/>
      <c r="F1365"/>
      <c r="G1365"/>
      <c r="H1365"/>
    </row>
    <row r="1366" spans="3:8" x14ac:dyDescent="0.25">
      <c r="C1366"/>
      <c r="D1366"/>
      <c r="E1366"/>
      <c r="F1366"/>
      <c r="G1366"/>
      <c r="H1366"/>
    </row>
    <row r="1367" spans="3:8" x14ac:dyDescent="0.25">
      <c r="C1367"/>
      <c r="D1367"/>
      <c r="E1367"/>
      <c r="F1367"/>
      <c r="G1367"/>
      <c r="H1367"/>
    </row>
    <row r="1368" spans="3:8" x14ac:dyDescent="0.25">
      <c r="C1368"/>
      <c r="D1368"/>
      <c r="E1368"/>
      <c r="F1368"/>
      <c r="G1368"/>
      <c r="H1368"/>
    </row>
    <row r="1369" spans="3:8" x14ac:dyDescent="0.25">
      <c r="C1369"/>
      <c r="D1369"/>
      <c r="E1369"/>
      <c r="F1369"/>
      <c r="G1369"/>
      <c r="H1369"/>
    </row>
    <row r="1370" spans="3:8" x14ac:dyDescent="0.25">
      <c r="C1370"/>
      <c r="D1370"/>
      <c r="E1370"/>
      <c r="F1370"/>
      <c r="G1370"/>
      <c r="H1370"/>
    </row>
    <row r="1371" spans="3:8" x14ac:dyDescent="0.25">
      <c r="C1371"/>
      <c r="D1371"/>
      <c r="E1371"/>
      <c r="F1371"/>
      <c r="G1371"/>
      <c r="H1371"/>
    </row>
    <row r="1372" spans="3:8" x14ac:dyDescent="0.25">
      <c r="C1372"/>
      <c r="D1372"/>
      <c r="E1372"/>
      <c r="F1372"/>
      <c r="G1372"/>
      <c r="H1372"/>
    </row>
    <row r="1373" spans="3:8" x14ac:dyDescent="0.25">
      <c r="C1373"/>
      <c r="D1373"/>
      <c r="E1373"/>
      <c r="F1373"/>
      <c r="G1373"/>
      <c r="H1373"/>
    </row>
    <row r="1374" spans="3:8" x14ac:dyDescent="0.25">
      <c r="C1374"/>
      <c r="D1374"/>
      <c r="E1374"/>
      <c r="F1374"/>
      <c r="G1374"/>
      <c r="H1374"/>
    </row>
    <row r="1375" spans="3:8" x14ac:dyDescent="0.25">
      <c r="C1375"/>
      <c r="D1375"/>
      <c r="E1375"/>
      <c r="F1375"/>
      <c r="G1375"/>
      <c r="H1375"/>
    </row>
    <row r="1376" spans="3:8" x14ac:dyDescent="0.25">
      <c r="C1376"/>
      <c r="D1376"/>
      <c r="E1376"/>
      <c r="F1376"/>
      <c r="G1376"/>
      <c r="H1376"/>
    </row>
    <row r="1377" spans="3:8" x14ac:dyDescent="0.25">
      <c r="C1377"/>
      <c r="D1377"/>
      <c r="E1377"/>
      <c r="F1377"/>
      <c r="G1377"/>
      <c r="H1377"/>
    </row>
    <row r="1378" spans="3:8" x14ac:dyDescent="0.25">
      <c r="C1378"/>
      <c r="D1378"/>
      <c r="E1378"/>
      <c r="F1378"/>
      <c r="G1378"/>
      <c r="H1378"/>
    </row>
    <row r="1379" spans="3:8" x14ac:dyDescent="0.25">
      <c r="C1379"/>
      <c r="D1379"/>
      <c r="E1379"/>
      <c r="F1379"/>
      <c r="G1379"/>
      <c r="H1379"/>
    </row>
    <row r="1380" spans="3:8" x14ac:dyDescent="0.25">
      <c r="C1380"/>
      <c r="D1380"/>
      <c r="E1380"/>
      <c r="F1380"/>
      <c r="G1380"/>
      <c r="H1380"/>
    </row>
    <row r="1381" spans="3:8" x14ac:dyDescent="0.25">
      <c r="C1381"/>
      <c r="D1381"/>
      <c r="E1381"/>
      <c r="F1381"/>
      <c r="G1381"/>
      <c r="H1381"/>
    </row>
    <row r="1382" spans="3:8" x14ac:dyDescent="0.25">
      <c r="C1382"/>
      <c r="D1382"/>
      <c r="E1382"/>
      <c r="F1382"/>
      <c r="G1382"/>
      <c r="H1382"/>
    </row>
    <row r="1383" spans="3:8" x14ac:dyDescent="0.25">
      <c r="C1383"/>
      <c r="D1383"/>
      <c r="E1383"/>
      <c r="F1383"/>
      <c r="G1383"/>
      <c r="H1383"/>
    </row>
    <row r="1384" spans="3:8" x14ac:dyDescent="0.25">
      <c r="C1384"/>
      <c r="D1384"/>
      <c r="E1384"/>
      <c r="F1384"/>
      <c r="G1384"/>
      <c r="H1384"/>
    </row>
    <row r="1385" spans="3:8" x14ac:dyDescent="0.25">
      <c r="C1385"/>
      <c r="D1385"/>
      <c r="E1385"/>
      <c r="F1385"/>
      <c r="G1385"/>
      <c r="H1385"/>
    </row>
    <row r="1386" spans="3:8" x14ac:dyDescent="0.25">
      <c r="C1386"/>
      <c r="D1386"/>
      <c r="E1386"/>
      <c r="F1386"/>
      <c r="G1386"/>
      <c r="H1386"/>
    </row>
    <row r="1387" spans="3:8" x14ac:dyDescent="0.25">
      <c r="C1387"/>
      <c r="D1387"/>
      <c r="E1387"/>
      <c r="F1387"/>
      <c r="G1387"/>
      <c r="H1387"/>
    </row>
    <row r="1388" spans="3:8" x14ac:dyDescent="0.25">
      <c r="C1388"/>
      <c r="D1388"/>
      <c r="E1388"/>
      <c r="F1388"/>
      <c r="G1388"/>
      <c r="H1388"/>
    </row>
    <row r="1389" spans="3:8" x14ac:dyDescent="0.25">
      <c r="C1389"/>
      <c r="D1389"/>
      <c r="E1389"/>
      <c r="F1389"/>
      <c r="G1389"/>
      <c r="H1389"/>
    </row>
    <row r="1390" spans="3:8" x14ac:dyDescent="0.25">
      <c r="C1390"/>
      <c r="D1390"/>
      <c r="E1390"/>
      <c r="F1390"/>
      <c r="G1390"/>
      <c r="H1390"/>
    </row>
    <row r="1391" spans="3:8" x14ac:dyDescent="0.25">
      <c r="C1391"/>
      <c r="D1391"/>
      <c r="E1391"/>
      <c r="F1391"/>
      <c r="G1391"/>
      <c r="H1391"/>
    </row>
    <row r="1392" spans="3:8" x14ac:dyDescent="0.25">
      <c r="C1392"/>
      <c r="D1392"/>
      <c r="E1392"/>
      <c r="F1392"/>
      <c r="G1392"/>
      <c r="H1392"/>
    </row>
    <row r="1393" spans="3:8" x14ac:dyDescent="0.25">
      <c r="C1393"/>
      <c r="D1393"/>
      <c r="E1393"/>
      <c r="F1393"/>
      <c r="G1393"/>
      <c r="H1393"/>
    </row>
    <row r="1394" spans="3:8" x14ac:dyDescent="0.25">
      <c r="C1394"/>
      <c r="D1394"/>
      <c r="E1394"/>
      <c r="F1394"/>
      <c r="G1394"/>
      <c r="H1394"/>
    </row>
    <row r="1395" spans="3:8" x14ac:dyDescent="0.25">
      <c r="C1395"/>
      <c r="D1395"/>
      <c r="E1395"/>
      <c r="F1395"/>
      <c r="G1395"/>
      <c r="H1395"/>
    </row>
    <row r="1396" spans="3:8" x14ac:dyDescent="0.25">
      <c r="C1396"/>
      <c r="D1396"/>
      <c r="E1396"/>
      <c r="F1396"/>
      <c r="G1396"/>
      <c r="H1396"/>
    </row>
    <row r="1397" spans="3:8" x14ac:dyDescent="0.25">
      <c r="C1397"/>
      <c r="D1397"/>
      <c r="E1397"/>
      <c r="F1397"/>
      <c r="G1397"/>
      <c r="H1397"/>
    </row>
    <row r="1398" spans="3:8" x14ac:dyDescent="0.25">
      <c r="C1398"/>
      <c r="D1398"/>
      <c r="E1398"/>
      <c r="F1398"/>
      <c r="G1398"/>
      <c r="H1398"/>
    </row>
    <row r="1399" spans="3:8" x14ac:dyDescent="0.25">
      <c r="C1399"/>
      <c r="D1399"/>
      <c r="E1399"/>
      <c r="F1399"/>
      <c r="G1399"/>
      <c r="H1399"/>
    </row>
    <row r="1400" spans="3:8" x14ac:dyDescent="0.25">
      <c r="C1400"/>
      <c r="D1400"/>
      <c r="E1400"/>
      <c r="F1400"/>
      <c r="G1400"/>
      <c r="H1400"/>
    </row>
    <row r="1401" spans="3:8" x14ac:dyDescent="0.25">
      <c r="C1401"/>
      <c r="D1401"/>
      <c r="E1401"/>
      <c r="F1401"/>
      <c r="G1401"/>
      <c r="H1401"/>
    </row>
    <row r="1402" spans="3:8" x14ac:dyDescent="0.25">
      <c r="C1402"/>
      <c r="D1402"/>
      <c r="E1402"/>
      <c r="F1402"/>
      <c r="G1402"/>
      <c r="H1402"/>
    </row>
    <row r="1403" spans="3:8" x14ac:dyDescent="0.25">
      <c r="C1403"/>
      <c r="D1403"/>
      <c r="E1403"/>
      <c r="F1403"/>
      <c r="G1403"/>
      <c r="H1403"/>
    </row>
    <row r="1404" spans="3:8" x14ac:dyDescent="0.25">
      <c r="C1404"/>
      <c r="D1404"/>
      <c r="E1404"/>
      <c r="F1404"/>
      <c r="G1404"/>
      <c r="H1404"/>
    </row>
    <row r="1405" spans="3:8" x14ac:dyDescent="0.25">
      <c r="C1405"/>
      <c r="D1405"/>
      <c r="E1405"/>
      <c r="F1405"/>
      <c r="G1405"/>
      <c r="H1405"/>
    </row>
    <row r="1406" spans="3:8" x14ac:dyDescent="0.25">
      <c r="C1406"/>
      <c r="D1406"/>
      <c r="E1406"/>
      <c r="F1406"/>
      <c r="G1406"/>
      <c r="H1406"/>
    </row>
    <row r="1407" spans="3:8" x14ac:dyDescent="0.25">
      <c r="C1407"/>
      <c r="D1407"/>
      <c r="E1407"/>
      <c r="F1407"/>
      <c r="G1407"/>
      <c r="H1407"/>
    </row>
    <row r="1408" spans="3:8" x14ac:dyDescent="0.25">
      <c r="C1408"/>
      <c r="D1408"/>
      <c r="E1408"/>
      <c r="F1408"/>
      <c r="G1408"/>
      <c r="H1408"/>
    </row>
    <row r="1409" spans="3:8" x14ac:dyDescent="0.25">
      <c r="C1409"/>
      <c r="D1409"/>
      <c r="E1409"/>
      <c r="F1409"/>
      <c r="G1409"/>
      <c r="H1409"/>
    </row>
    <row r="1410" spans="3:8" x14ac:dyDescent="0.25">
      <c r="C1410"/>
      <c r="D1410"/>
      <c r="E1410"/>
      <c r="F1410"/>
      <c r="G1410"/>
      <c r="H1410"/>
    </row>
    <row r="1411" spans="3:8" x14ac:dyDescent="0.25">
      <c r="C1411"/>
      <c r="D1411"/>
      <c r="E1411"/>
      <c r="F1411"/>
      <c r="G1411"/>
      <c r="H1411"/>
    </row>
    <row r="1412" spans="3:8" x14ac:dyDescent="0.25">
      <c r="C1412"/>
      <c r="D1412"/>
      <c r="E1412"/>
      <c r="F1412"/>
      <c r="G1412"/>
      <c r="H1412"/>
    </row>
    <row r="1413" spans="3:8" x14ac:dyDescent="0.25">
      <c r="C1413"/>
      <c r="D1413"/>
      <c r="E1413"/>
      <c r="F1413"/>
      <c r="G1413"/>
      <c r="H1413"/>
    </row>
    <row r="1414" spans="3:8" x14ac:dyDescent="0.25">
      <c r="C1414"/>
      <c r="D1414"/>
      <c r="E1414"/>
      <c r="F1414"/>
      <c r="G1414"/>
      <c r="H1414"/>
    </row>
    <row r="1415" spans="3:8" x14ac:dyDescent="0.25">
      <c r="C1415"/>
      <c r="D1415"/>
      <c r="E1415"/>
      <c r="F1415"/>
      <c r="G1415"/>
      <c r="H1415"/>
    </row>
    <row r="1416" spans="3:8" x14ac:dyDescent="0.25">
      <c r="C1416"/>
      <c r="D1416"/>
      <c r="E1416"/>
      <c r="F1416"/>
      <c r="G1416"/>
      <c r="H1416"/>
    </row>
    <row r="1417" spans="3:8" x14ac:dyDescent="0.25">
      <c r="C1417"/>
      <c r="D1417"/>
      <c r="E1417"/>
      <c r="F1417"/>
      <c r="G1417"/>
      <c r="H1417"/>
    </row>
    <row r="1418" spans="3:8" x14ac:dyDescent="0.25">
      <c r="C1418"/>
      <c r="D1418"/>
      <c r="E1418"/>
      <c r="F1418"/>
      <c r="G1418"/>
      <c r="H1418"/>
    </row>
    <row r="1419" spans="3:8" x14ac:dyDescent="0.25">
      <c r="C1419"/>
      <c r="D1419"/>
      <c r="E1419"/>
      <c r="F1419"/>
      <c r="G1419"/>
      <c r="H1419"/>
    </row>
    <row r="1420" spans="3:8" x14ac:dyDescent="0.25">
      <c r="C1420"/>
      <c r="D1420"/>
      <c r="E1420"/>
      <c r="F1420"/>
      <c r="G1420"/>
      <c r="H1420"/>
    </row>
    <row r="1421" spans="3:8" x14ac:dyDescent="0.25">
      <c r="C1421"/>
      <c r="D1421"/>
      <c r="E1421"/>
      <c r="F1421"/>
      <c r="G1421"/>
      <c r="H1421"/>
    </row>
    <row r="1422" spans="3:8" x14ac:dyDescent="0.25">
      <c r="C1422"/>
      <c r="D1422"/>
      <c r="E1422"/>
      <c r="F1422"/>
      <c r="G1422"/>
      <c r="H1422"/>
    </row>
    <row r="1423" spans="3:8" x14ac:dyDescent="0.25">
      <c r="C1423"/>
      <c r="D1423"/>
      <c r="E1423"/>
      <c r="F1423"/>
      <c r="G1423"/>
      <c r="H1423"/>
    </row>
    <row r="1424" spans="3:8" x14ac:dyDescent="0.25">
      <c r="C1424"/>
      <c r="D1424"/>
      <c r="E1424"/>
      <c r="F1424"/>
      <c r="G1424"/>
      <c r="H1424"/>
    </row>
    <row r="1425" spans="3:8" x14ac:dyDescent="0.25">
      <c r="C1425"/>
      <c r="D1425"/>
      <c r="E1425"/>
      <c r="F1425"/>
      <c r="G1425"/>
      <c r="H1425"/>
    </row>
    <row r="1426" spans="3:8" x14ac:dyDescent="0.25">
      <c r="C1426"/>
      <c r="D1426"/>
      <c r="E1426"/>
      <c r="F1426"/>
      <c r="G1426"/>
      <c r="H1426"/>
    </row>
    <row r="1427" spans="3:8" x14ac:dyDescent="0.25">
      <c r="C1427"/>
      <c r="D1427"/>
      <c r="E1427"/>
      <c r="F1427"/>
      <c r="G1427"/>
      <c r="H1427"/>
    </row>
    <row r="1428" spans="3:8" x14ac:dyDescent="0.25">
      <c r="C1428"/>
      <c r="D1428"/>
      <c r="E1428"/>
      <c r="F1428"/>
      <c r="G1428"/>
      <c r="H1428"/>
    </row>
    <row r="1429" spans="3:8" x14ac:dyDescent="0.25">
      <c r="C1429"/>
      <c r="D1429"/>
      <c r="E1429"/>
      <c r="F1429"/>
      <c r="G1429"/>
      <c r="H1429"/>
    </row>
    <row r="1430" spans="3:8" x14ac:dyDescent="0.25">
      <c r="C1430"/>
      <c r="D1430"/>
      <c r="E1430"/>
      <c r="F1430"/>
      <c r="G1430"/>
      <c r="H1430"/>
    </row>
    <row r="1431" spans="3:8" x14ac:dyDescent="0.25">
      <c r="C1431"/>
      <c r="D1431"/>
      <c r="E1431"/>
      <c r="F1431"/>
      <c r="G1431"/>
      <c r="H1431"/>
    </row>
    <row r="1432" spans="3:8" x14ac:dyDescent="0.25">
      <c r="C1432"/>
      <c r="D1432"/>
      <c r="E1432"/>
      <c r="F1432"/>
      <c r="G1432"/>
      <c r="H1432"/>
    </row>
    <row r="1433" spans="3:8" x14ac:dyDescent="0.25">
      <c r="C1433"/>
      <c r="D1433"/>
      <c r="E1433"/>
      <c r="F1433"/>
      <c r="G1433"/>
      <c r="H1433"/>
    </row>
    <row r="1434" spans="3:8" x14ac:dyDescent="0.25">
      <c r="C1434"/>
      <c r="D1434"/>
      <c r="E1434"/>
      <c r="F1434"/>
      <c r="G1434"/>
      <c r="H1434"/>
    </row>
    <row r="1435" spans="3:8" x14ac:dyDescent="0.25">
      <c r="C1435"/>
      <c r="D1435"/>
      <c r="E1435"/>
      <c r="F1435"/>
      <c r="G1435"/>
      <c r="H1435"/>
    </row>
    <row r="1436" spans="3:8" x14ac:dyDescent="0.25">
      <c r="C1436"/>
      <c r="D1436"/>
      <c r="E1436"/>
      <c r="F1436"/>
      <c r="G1436"/>
      <c r="H1436"/>
    </row>
    <row r="1437" spans="3:8" x14ac:dyDescent="0.25">
      <c r="C1437"/>
      <c r="D1437"/>
      <c r="E1437"/>
      <c r="F1437"/>
      <c r="G1437"/>
      <c r="H1437"/>
    </row>
    <row r="1438" spans="3:8" x14ac:dyDescent="0.25">
      <c r="C1438"/>
      <c r="D1438"/>
      <c r="E1438"/>
      <c r="F1438"/>
      <c r="G1438"/>
      <c r="H1438"/>
    </row>
    <row r="1439" spans="3:8" x14ac:dyDescent="0.25">
      <c r="C1439"/>
      <c r="D1439"/>
      <c r="E1439"/>
      <c r="F1439"/>
      <c r="G1439"/>
      <c r="H1439"/>
    </row>
    <row r="1440" spans="3:8" x14ac:dyDescent="0.25">
      <c r="C1440"/>
      <c r="D1440"/>
      <c r="E1440"/>
      <c r="F1440"/>
      <c r="G1440"/>
      <c r="H1440"/>
    </row>
    <row r="1441" spans="3:8" x14ac:dyDescent="0.25">
      <c r="C1441"/>
      <c r="D1441"/>
      <c r="E1441"/>
      <c r="F1441"/>
      <c r="G1441"/>
      <c r="H1441"/>
    </row>
    <row r="1442" spans="3:8" x14ac:dyDescent="0.25">
      <c r="C1442"/>
      <c r="D1442"/>
      <c r="E1442"/>
      <c r="F1442"/>
      <c r="G1442"/>
      <c r="H1442"/>
    </row>
    <row r="1443" spans="3:8" x14ac:dyDescent="0.25">
      <c r="C1443"/>
      <c r="D1443"/>
      <c r="E1443"/>
      <c r="F1443"/>
      <c r="G1443"/>
      <c r="H1443"/>
    </row>
    <row r="1444" spans="3:8" x14ac:dyDescent="0.25">
      <c r="C1444"/>
      <c r="D1444"/>
      <c r="E1444"/>
      <c r="F1444"/>
      <c r="G1444"/>
      <c r="H1444"/>
    </row>
    <row r="1445" spans="3:8" x14ac:dyDescent="0.25">
      <c r="C1445"/>
      <c r="D1445"/>
      <c r="E1445"/>
      <c r="F1445"/>
      <c r="G1445"/>
      <c r="H1445"/>
    </row>
    <row r="1446" spans="3:8" x14ac:dyDescent="0.25">
      <c r="C1446"/>
      <c r="D1446"/>
      <c r="E1446"/>
      <c r="F1446"/>
      <c r="G1446"/>
      <c r="H1446"/>
    </row>
    <row r="1447" spans="3:8" x14ac:dyDescent="0.25">
      <c r="C1447"/>
      <c r="D1447"/>
      <c r="E1447"/>
      <c r="F1447"/>
      <c r="G1447"/>
      <c r="H1447"/>
    </row>
    <row r="1448" spans="3:8" x14ac:dyDescent="0.25">
      <c r="C1448"/>
      <c r="D1448"/>
      <c r="E1448"/>
      <c r="F1448"/>
      <c r="G1448"/>
      <c r="H1448"/>
    </row>
    <row r="1449" spans="3:8" x14ac:dyDescent="0.25">
      <c r="C1449"/>
      <c r="D1449"/>
      <c r="E1449"/>
      <c r="F1449"/>
      <c r="G1449"/>
      <c r="H1449"/>
    </row>
    <row r="1450" spans="3:8" x14ac:dyDescent="0.25">
      <c r="C1450"/>
      <c r="D1450"/>
      <c r="E1450"/>
      <c r="F1450"/>
      <c r="G1450"/>
      <c r="H1450"/>
    </row>
    <row r="1451" spans="3:8" x14ac:dyDescent="0.25">
      <c r="C1451"/>
      <c r="D1451"/>
      <c r="E1451"/>
      <c r="F1451"/>
      <c r="G1451"/>
      <c r="H1451"/>
    </row>
    <row r="1452" spans="3:8" x14ac:dyDescent="0.25">
      <c r="C1452"/>
      <c r="D1452"/>
      <c r="E1452"/>
      <c r="F1452"/>
      <c r="G1452"/>
      <c r="H1452"/>
    </row>
    <row r="1453" spans="3:8" x14ac:dyDescent="0.25">
      <c r="C1453"/>
      <c r="D1453"/>
      <c r="E1453"/>
      <c r="F1453"/>
      <c r="G1453"/>
      <c r="H1453"/>
    </row>
    <row r="1454" spans="3:8" x14ac:dyDescent="0.25">
      <c r="C1454"/>
      <c r="D1454"/>
      <c r="E1454"/>
      <c r="F1454"/>
      <c r="G1454"/>
      <c r="H1454"/>
    </row>
    <row r="1455" spans="3:8" x14ac:dyDescent="0.25">
      <c r="C1455"/>
      <c r="D1455"/>
      <c r="E1455"/>
      <c r="F1455"/>
      <c r="G1455"/>
      <c r="H1455"/>
    </row>
    <row r="1456" spans="3:8" x14ac:dyDescent="0.25">
      <c r="C1456"/>
      <c r="D1456"/>
      <c r="E1456"/>
      <c r="F1456"/>
      <c r="G1456"/>
      <c r="H1456"/>
    </row>
    <row r="1457" spans="3:8" x14ac:dyDescent="0.25">
      <c r="C1457"/>
      <c r="D1457"/>
      <c r="E1457"/>
      <c r="F1457"/>
      <c r="G1457"/>
      <c r="H1457"/>
    </row>
    <row r="1458" spans="3:8" x14ac:dyDescent="0.25">
      <c r="C1458"/>
      <c r="D1458"/>
      <c r="E1458"/>
      <c r="F1458"/>
      <c r="G1458"/>
      <c r="H1458"/>
    </row>
    <row r="1459" spans="3:8" x14ac:dyDescent="0.25">
      <c r="C1459"/>
      <c r="D1459"/>
      <c r="E1459"/>
      <c r="F1459"/>
      <c r="G1459"/>
      <c r="H1459"/>
    </row>
    <row r="1460" spans="3:8" x14ac:dyDescent="0.25">
      <c r="C1460"/>
      <c r="D1460"/>
      <c r="E1460"/>
      <c r="F1460"/>
      <c r="G1460"/>
      <c r="H1460"/>
    </row>
    <row r="1461" spans="3:8" x14ac:dyDescent="0.25">
      <c r="C1461"/>
      <c r="D1461"/>
      <c r="E1461"/>
      <c r="F1461"/>
      <c r="G1461"/>
      <c r="H1461"/>
    </row>
    <row r="1462" spans="3:8" x14ac:dyDescent="0.25">
      <c r="C1462"/>
      <c r="D1462"/>
      <c r="E1462"/>
      <c r="F1462"/>
      <c r="G1462"/>
      <c r="H1462"/>
    </row>
    <row r="1463" spans="3:8" x14ac:dyDescent="0.25">
      <c r="C1463"/>
      <c r="D1463"/>
      <c r="E1463"/>
      <c r="F1463"/>
      <c r="G1463"/>
      <c r="H1463"/>
    </row>
    <row r="1464" spans="3:8" x14ac:dyDescent="0.25">
      <c r="C1464"/>
      <c r="D1464"/>
      <c r="E1464"/>
      <c r="F1464"/>
      <c r="G1464"/>
      <c r="H1464"/>
    </row>
    <row r="1465" spans="3:8" x14ac:dyDescent="0.25">
      <c r="C1465"/>
      <c r="D1465"/>
      <c r="E1465"/>
      <c r="F1465"/>
      <c r="G1465"/>
      <c r="H1465"/>
    </row>
    <row r="1466" spans="3:8" x14ac:dyDescent="0.25">
      <c r="C1466"/>
      <c r="D1466"/>
      <c r="E1466"/>
      <c r="F1466"/>
      <c r="G1466"/>
      <c r="H1466"/>
    </row>
    <row r="1467" spans="3:8" x14ac:dyDescent="0.25">
      <c r="C1467"/>
      <c r="D1467"/>
      <c r="E1467"/>
      <c r="F1467"/>
      <c r="G1467"/>
      <c r="H1467"/>
    </row>
    <row r="1468" spans="3:8" x14ac:dyDescent="0.25">
      <c r="C1468"/>
      <c r="D1468"/>
      <c r="E1468"/>
      <c r="F1468"/>
      <c r="G1468"/>
      <c r="H1468"/>
    </row>
    <row r="1469" spans="3:8" x14ac:dyDescent="0.25">
      <c r="C1469"/>
      <c r="D1469"/>
      <c r="E1469"/>
      <c r="F1469"/>
      <c r="G1469"/>
      <c r="H1469"/>
    </row>
    <row r="1470" spans="3:8" x14ac:dyDescent="0.25">
      <c r="C1470"/>
      <c r="D1470"/>
      <c r="E1470"/>
      <c r="F1470"/>
      <c r="G1470"/>
      <c r="H1470"/>
    </row>
    <row r="1471" spans="3:8" x14ac:dyDescent="0.25">
      <c r="C1471"/>
      <c r="D1471"/>
      <c r="E1471"/>
      <c r="F1471"/>
      <c r="G1471"/>
      <c r="H1471"/>
    </row>
    <row r="1472" spans="3:8" x14ac:dyDescent="0.25">
      <c r="C1472"/>
      <c r="D1472"/>
      <c r="E1472"/>
      <c r="F1472"/>
      <c r="G1472"/>
      <c r="H1472"/>
    </row>
    <row r="1473" spans="3:8" x14ac:dyDescent="0.25">
      <c r="C1473"/>
      <c r="D1473"/>
      <c r="E1473"/>
      <c r="F1473"/>
      <c r="G1473"/>
      <c r="H1473"/>
    </row>
    <row r="1474" spans="3:8" x14ac:dyDescent="0.25">
      <c r="C1474"/>
      <c r="D1474"/>
      <c r="E1474"/>
      <c r="F1474"/>
      <c r="G1474"/>
      <c r="H1474"/>
    </row>
    <row r="1475" spans="3:8" x14ac:dyDescent="0.25">
      <c r="C1475"/>
      <c r="D1475"/>
      <c r="E1475"/>
      <c r="F1475"/>
      <c r="G1475"/>
      <c r="H1475"/>
    </row>
    <row r="1476" spans="3:8" x14ac:dyDescent="0.25">
      <c r="C1476"/>
      <c r="D1476"/>
      <c r="E1476"/>
      <c r="F1476"/>
      <c r="G1476"/>
      <c r="H1476"/>
    </row>
    <row r="1477" spans="3:8" x14ac:dyDescent="0.25">
      <c r="C1477"/>
      <c r="D1477"/>
      <c r="E1477"/>
      <c r="F1477"/>
      <c r="G1477"/>
      <c r="H1477"/>
    </row>
    <row r="1478" spans="3:8" x14ac:dyDescent="0.25">
      <c r="C1478"/>
      <c r="D1478"/>
      <c r="E1478"/>
      <c r="F1478"/>
      <c r="G1478"/>
      <c r="H1478"/>
    </row>
    <row r="1479" spans="3:8" x14ac:dyDescent="0.25">
      <c r="C1479"/>
      <c r="D1479"/>
      <c r="E1479"/>
      <c r="F1479"/>
      <c r="G1479"/>
      <c r="H1479"/>
    </row>
    <row r="1480" spans="3:8" x14ac:dyDescent="0.25">
      <c r="C1480"/>
      <c r="D1480"/>
      <c r="E1480"/>
      <c r="F1480"/>
      <c r="G1480"/>
      <c r="H1480"/>
    </row>
    <row r="1481" spans="3:8" x14ac:dyDescent="0.25">
      <c r="C1481"/>
      <c r="D1481"/>
      <c r="E1481"/>
      <c r="F1481"/>
      <c r="G1481"/>
      <c r="H1481"/>
    </row>
    <row r="1482" spans="3:8" x14ac:dyDescent="0.25">
      <c r="C1482"/>
      <c r="D1482"/>
      <c r="E1482"/>
      <c r="F1482"/>
      <c r="G1482"/>
      <c r="H1482"/>
    </row>
    <row r="1483" spans="3:8" x14ac:dyDescent="0.25">
      <c r="C1483"/>
      <c r="D1483"/>
      <c r="E1483"/>
      <c r="F1483"/>
      <c r="G1483"/>
      <c r="H1483"/>
    </row>
    <row r="1484" spans="3:8" x14ac:dyDescent="0.25">
      <c r="C1484"/>
      <c r="D1484"/>
      <c r="E1484"/>
      <c r="F1484"/>
      <c r="G1484"/>
      <c r="H1484"/>
    </row>
    <row r="1485" spans="3:8" x14ac:dyDescent="0.25">
      <c r="C1485"/>
      <c r="D1485"/>
      <c r="E1485"/>
      <c r="F1485"/>
      <c r="G1485"/>
      <c r="H1485"/>
    </row>
    <row r="1486" spans="3:8" x14ac:dyDescent="0.25">
      <c r="C1486"/>
      <c r="D1486"/>
      <c r="E1486"/>
      <c r="F1486"/>
      <c r="G1486"/>
      <c r="H1486"/>
    </row>
    <row r="1487" spans="3:8" x14ac:dyDescent="0.25">
      <c r="C1487"/>
      <c r="D1487"/>
      <c r="E1487"/>
      <c r="F1487"/>
      <c r="G1487"/>
      <c r="H1487"/>
    </row>
    <row r="1488" spans="3:8" x14ac:dyDescent="0.25">
      <c r="C1488"/>
      <c r="D1488"/>
      <c r="E1488"/>
      <c r="F1488"/>
      <c r="G1488"/>
      <c r="H1488"/>
    </row>
    <row r="1489" spans="3:8" x14ac:dyDescent="0.25">
      <c r="C1489"/>
      <c r="D1489"/>
      <c r="E1489"/>
      <c r="F1489"/>
      <c r="G1489"/>
      <c r="H1489"/>
    </row>
    <row r="1490" spans="3:8" x14ac:dyDescent="0.25">
      <c r="C1490"/>
      <c r="D1490"/>
      <c r="E1490"/>
      <c r="F1490"/>
      <c r="G1490"/>
      <c r="H1490"/>
    </row>
    <row r="1491" spans="3:8" x14ac:dyDescent="0.25">
      <c r="C1491"/>
      <c r="D1491"/>
      <c r="E1491"/>
      <c r="F1491"/>
      <c r="G1491"/>
      <c r="H1491"/>
    </row>
    <row r="1492" spans="3:8" x14ac:dyDescent="0.25">
      <c r="C1492"/>
      <c r="D1492"/>
      <c r="E1492"/>
      <c r="F1492"/>
      <c r="G1492"/>
      <c r="H1492"/>
    </row>
    <row r="1493" spans="3:8" x14ac:dyDescent="0.25">
      <c r="C1493"/>
      <c r="D1493"/>
      <c r="E1493"/>
      <c r="F1493"/>
      <c r="G1493"/>
      <c r="H1493"/>
    </row>
    <row r="1494" spans="3:8" x14ac:dyDescent="0.25">
      <c r="C1494"/>
      <c r="D1494"/>
      <c r="E1494"/>
      <c r="F1494"/>
      <c r="G1494"/>
      <c r="H1494"/>
    </row>
    <row r="1495" spans="3:8" x14ac:dyDescent="0.25">
      <c r="C1495"/>
      <c r="D1495"/>
      <c r="E1495"/>
      <c r="F1495"/>
      <c r="G1495"/>
      <c r="H1495"/>
    </row>
    <row r="1496" spans="3:8" x14ac:dyDescent="0.25">
      <c r="C1496"/>
      <c r="D1496"/>
      <c r="E1496"/>
      <c r="F1496"/>
      <c r="G1496"/>
      <c r="H1496"/>
    </row>
    <row r="1497" spans="3:8" x14ac:dyDescent="0.25">
      <c r="C1497"/>
      <c r="D1497"/>
      <c r="E1497"/>
      <c r="F1497"/>
      <c r="G1497"/>
      <c r="H1497"/>
    </row>
    <row r="1498" spans="3:8" x14ac:dyDescent="0.25">
      <c r="C1498"/>
      <c r="D1498"/>
      <c r="E1498"/>
      <c r="F1498"/>
      <c r="G1498"/>
      <c r="H1498"/>
    </row>
    <row r="1499" spans="3:8" x14ac:dyDescent="0.25">
      <c r="C1499"/>
      <c r="D1499"/>
      <c r="E1499"/>
      <c r="F1499"/>
      <c r="G1499"/>
      <c r="H1499"/>
    </row>
    <row r="1500" spans="3:8" x14ac:dyDescent="0.25">
      <c r="C1500"/>
      <c r="D1500"/>
      <c r="E1500"/>
      <c r="F1500"/>
      <c r="G1500"/>
      <c r="H1500"/>
    </row>
    <row r="1501" spans="3:8" x14ac:dyDescent="0.25">
      <c r="C1501"/>
      <c r="D1501"/>
      <c r="E1501"/>
      <c r="F1501"/>
      <c r="G1501"/>
      <c r="H1501"/>
    </row>
    <row r="1502" spans="3:8" x14ac:dyDescent="0.25">
      <c r="C1502"/>
      <c r="D1502"/>
      <c r="E1502"/>
      <c r="F1502"/>
      <c r="G1502"/>
      <c r="H1502"/>
    </row>
    <row r="1503" spans="3:8" x14ac:dyDescent="0.25">
      <c r="C1503"/>
      <c r="D1503"/>
      <c r="E1503"/>
      <c r="F1503"/>
      <c r="G1503"/>
      <c r="H1503"/>
    </row>
    <row r="1504" spans="3:8" x14ac:dyDescent="0.25">
      <c r="C1504"/>
      <c r="D1504"/>
      <c r="E1504"/>
      <c r="F1504"/>
      <c r="G1504"/>
      <c r="H1504"/>
    </row>
    <row r="1505" spans="3:8" x14ac:dyDescent="0.25">
      <c r="C1505"/>
      <c r="D1505"/>
      <c r="E1505"/>
      <c r="F1505"/>
      <c r="G1505"/>
      <c r="H1505"/>
    </row>
    <row r="1506" spans="3:8" x14ac:dyDescent="0.25">
      <c r="C1506"/>
      <c r="D1506"/>
      <c r="E1506"/>
      <c r="F1506"/>
      <c r="G1506"/>
      <c r="H1506"/>
    </row>
    <row r="1507" spans="3:8" x14ac:dyDescent="0.25">
      <c r="C1507"/>
      <c r="D1507"/>
      <c r="E1507"/>
      <c r="F1507"/>
      <c r="G1507"/>
      <c r="H1507"/>
    </row>
    <row r="1508" spans="3:8" x14ac:dyDescent="0.25">
      <c r="C1508"/>
      <c r="D1508"/>
      <c r="E1508"/>
      <c r="F1508"/>
      <c r="G1508"/>
      <c r="H1508"/>
    </row>
    <row r="1509" spans="3:8" x14ac:dyDescent="0.25">
      <c r="C1509"/>
      <c r="D1509"/>
      <c r="E1509"/>
      <c r="F1509"/>
      <c r="G1509"/>
      <c r="H1509"/>
    </row>
    <row r="1510" spans="3:8" x14ac:dyDescent="0.25">
      <c r="C1510"/>
      <c r="D1510"/>
      <c r="E1510"/>
      <c r="F1510"/>
      <c r="G1510"/>
      <c r="H1510"/>
    </row>
    <row r="1511" spans="3:8" x14ac:dyDescent="0.25">
      <c r="C1511"/>
      <c r="D1511"/>
      <c r="E1511"/>
      <c r="F1511"/>
      <c r="G1511"/>
      <c r="H1511"/>
    </row>
    <row r="1512" spans="3:8" x14ac:dyDescent="0.25">
      <c r="C1512"/>
      <c r="D1512"/>
      <c r="E1512"/>
      <c r="F1512"/>
      <c r="G1512"/>
      <c r="H1512"/>
    </row>
    <row r="1513" spans="3:8" x14ac:dyDescent="0.25">
      <c r="C1513"/>
      <c r="D1513"/>
      <c r="E1513"/>
      <c r="F1513"/>
      <c r="G1513"/>
      <c r="H1513"/>
    </row>
    <row r="1514" spans="3:8" x14ac:dyDescent="0.25">
      <c r="C1514"/>
      <c r="D1514"/>
      <c r="E1514"/>
      <c r="F1514"/>
      <c r="G1514"/>
      <c r="H1514"/>
    </row>
    <row r="1515" spans="3:8" x14ac:dyDescent="0.25">
      <c r="C1515"/>
      <c r="D1515"/>
      <c r="E1515"/>
      <c r="F1515"/>
      <c r="G1515"/>
      <c r="H1515"/>
    </row>
    <row r="1516" spans="3:8" x14ac:dyDescent="0.25">
      <c r="C1516"/>
      <c r="D1516"/>
      <c r="E1516"/>
      <c r="F1516"/>
      <c r="G1516"/>
      <c r="H1516"/>
    </row>
    <row r="1517" spans="3:8" x14ac:dyDescent="0.25">
      <c r="C1517"/>
      <c r="D1517"/>
      <c r="E1517"/>
      <c r="F1517"/>
      <c r="G1517"/>
      <c r="H1517"/>
    </row>
    <row r="1518" spans="3:8" x14ac:dyDescent="0.25">
      <c r="C1518"/>
      <c r="D1518"/>
      <c r="E1518"/>
      <c r="F1518"/>
      <c r="G1518"/>
      <c r="H1518"/>
    </row>
    <row r="1519" spans="3:8" x14ac:dyDescent="0.25">
      <c r="C1519"/>
      <c r="D1519"/>
      <c r="E1519"/>
      <c r="F1519"/>
      <c r="G1519"/>
      <c r="H1519"/>
    </row>
    <row r="1520" spans="3:8" x14ac:dyDescent="0.25">
      <c r="C1520"/>
      <c r="D1520"/>
      <c r="E1520"/>
      <c r="F1520"/>
      <c r="G1520"/>
      <c r="H1520"/>
    </row>
    <row r="1521" spans="3:8" x14ac:dyDescent="0.25">
      <c r="C1521"/>
      <c r="D1521"/>
      <c r="E1521"/>
      <c r="F1521"/>
      <c r="G1521"/>
      <c r="H1521"/>
    </row>
    <row r="1522" spans="3:8" x14ac:dyDescent="0.25">
      <c r="C1522"/>
      <c r="D1522"/>
      <c r="E1522"/>
      <c r="F1522"/>
      <c r="G1522"/>
      <c r="H1522"/>
    </row>
    <row r="1523" spans="3:8" x14ac:dyDescent="0.25">
      <c r="C1523"/>
      <c r="D1523"/>
      <c r="E1523"/>
      <c r="F1523"/>
      <c r="G1523"/>
      <c r="H1523"/>
    </row>
    <row r="1524" spans="3:8" x14ac:dyDescent="0.25">
      <c r="C1524"/>
      <c r="D1524"/>
      <c r="E1524"/>
      <c r="F1524"/>
      <c r="G1524"/>
      <c r="H1524"/>
    </row>
    <row r="1525" spans="3:8" x14ac:dyDescent="0.25">
      <c r="C1525"/>
      <c r="D1525"/>
      <c r="E1525"/>
      <c r="F1525"/>
      <c r="G1525"/>
      <c r="H1525"/>
    </row>
    <row r="1526" spans="3:8" x14ac:dyDescent="0.25">
      <c r="C1526"/>
      <c r="D1526"/>
      <c r="E1526"/>
      <c r="F1526"/>
      <c r="G1526"/>
      <c r="H1526"/>
    </row>
    <row r="1527" spans="3:8" x14ac:dyDescent="0.25">
      <c r="C1527"/>
      <c r="D1527"/>
      <c r="E1527"/>
      <c r="F1527"/>
      <c r="G1527"/>
      <c r="H1527"/>
    </row>
    <row r="1528" spans="3:8" x14ac:dyDescent="0.25">
      <c r="C1528"/>
      <c r="D1528"/>
      <c r="E1528"/>
      <c r="F1528"/>
      <c r="G1528"/>
      <c r="H1528"/>
    </row>
    <row r="1529" spans="3:8" x14ac:dyDescent="0.25">
      <c r="C1529"/>
      <c r="D1529"/>
      <c r="E1529"/>
      <c r="F1529"/>
      <c r="G1529"/>
      <c r="H1529"/>
    </row>
    <row r="1530" spans="3:8" x14ac:dyDescent="0.25">
      <c r="C1530"/>
      <c r="D1530"/>
      <c r="E1530"/>
      <c r="F1530"/>
      <c r="G1530"/>
      <c r="H1530"/>
    </row>
    <row r="1531" spans="3:8" x14ac:dyDescent="0.25">
      <c r="C1531"/>
      <c r="D1531"/>
      <c r="E1531"/>
      <c r="F1531"/>
      <c r="G1531"/>
      <c r="H1531"/>
    </row>
    <row r="1532" spans="3:8" x14ac:dyDescent="0.25">
      <c r="C1532"/>
      <c r="D1532"/>
      <c r="E1532"/>
      <c r="F1532"/>
      <c r="G1532"/>
      <c r="H1532"/>
    </row>
    <row r="1533" spans="3:8" x14ac:dyDescent="0.25">
      <c r="C1533"/>
      <c r="D1533"/>
      <c r="E1533"/>
      <c r="F1533"/>
      <c r="G1533"/>
      <c r="H1533"/>
    </row>
    <row r="1534" spans="3:8" x14ac:dyDescent="0.25">
      <c r="C1534"/>
      <c r="D1534"/>
      <c r="E1534"/>
      <c r="F1534"/>
      <c r="G1534"/>
      <c r="H1534"/>
    </row>
    <row r="1535" spans="3:8" x14ac:dyDescent="0.25">
      <c r="C1535"/>
      <c r="D1535"/>
      <c r="E1535"/>
      <c r="F1535"/>
      <c r="G1535"/>
      <c r="H1535"/>
    </row>
    <row r="1536" spans="3:8" x14ac:dyDescent="0.25">
      <c r="C1536"/>
      <c r="D1536"/>
      <c r="E1536"/>
      <c r="F1536"/>
      <c r="G1536"/>
      <c r="H1536"/>
    </row>
    <row r="1537" spans="3:8" x14ac:dyDescent="0.25">
      <c r="C1537"/>
      <c r="D1537"/>
      <c r="E1537"/>
      <c r="F1537"/>
      <c r="G1537"/>
      <c r="H1537"/>
    </row>
    <row r="1538" spans="3:8" x14ac:dyDescent="0.25">
      <c r="C1538"/>
      <c r="D1538"/>
      <c r="E1538"/>
      <c r="F1538"/>
      <c r="G1538"/>
      <c r="H1538"/>
    </row>
    <row r="1539" spans="3:8" x14ac:dyDescent="0.25">
      <c r="C1539"/>
      <c r="D1539"/>
      <c r="E1539"/>
      <c r="F1539"/>
      <c r="G1539"/>
      <c r="H1539"/>
    </row>
    <row r="1540" spans="3:8" x14ac:dyDescent="0.25">
      <c r="C1540"/>
      <c r="D1540"/>
      <c r="E1540"/>
      <c r="F1540"/>
      <c r="G1540"/>
      <c r="H1540"/>
    </row>
    <row r="1541" spans="3:8" x14ac:dyDescent="0.25">
      <c r="C1541"/>
      <c r="D1541"/>
      <c r="E1541"/>
      <c r="F1541"/>
      <c r="G1541"/>
      <c r="H1541"/>
    </row>
    <row r="1542" spans="3:8" x14ac:dyDescent="0.25">
      <c r="C1542"/>
      <c r="D1542"/>
      <c r="E1542"/>
      <c r="F1542"/>
      <c r="G1542"/>
      <c r="H1542"/>
    </row>
    <row r="1543" spans="3:8" x14ac:dyDescent="0.25">
      <c r="C1543"/>
      <c r="D1543"/>
      <c r="E1543"/>
      <c r="F1543"/>
      <c r="G1543"/>
      <c r="H1543"/>
    </row>
    <row r="1544" spans="3:8" x14ac:dyDescent="0.25">
      <c r="C1544"/>
      <c r="D1544"/>
      <c r="E1544"/>
      <c r="F1544"/>
      <c r="G1544"/>
      <c r="H1544"/>
    </row>
    <row r="1545" spans="3:8" x14ac:dyDescent="0.25">
      <c r="C1545"/>
      <c r="D1545"/>
      <c r="E1545"/>
      <c r="F1545"/>
      <c r="G1545"/>
      <c r="H1545"/>
    </row>
    <row r="1546" spans="3:8" x14ac:dyDescent="0.25">
      <c r="C1546"/>
      <c r="D1546"/>
      <c r="E1546"/>
      <c r="F1546"/>
      <c r="G1546"/>
      <c r="H1546"/>
    </row>
    <row r="1547" spans="3:8" x14ac:dyDescent="0.25">
      <c r="C1547"/>
      <c r="D1547"/>
      <c r="E1547"/>
      <c r="F1547"/>
      <c r="G1547"/>
      <c r="H1547"/>
    </row>
    <row r="1548" spans="3:8" x14ac:dyDescent="0.25">
      <c r="C1548"/>
      <c r="D1548"/>
      <c r="E1548"/>
      <c r="F1548"/>
      <c r="G1548"/>
      <c r="H1548"/>
    </row>
    <row r="1549" spans="3:8" x14ac:dyDescent="0.25">
      <c r="C1549"/>
      <c r="D1549"/>
      <c r="E1549"/>
      <c r="F1549"/>
      <c r="G1549"/>
      <c r="H1549"/>
    </row>
    <row r="1550" spans="3:8" x14ac:dyDescent="0.25">
      <c r="C1550"/>
      <c r="D1550"/>
      <c r="E1550"/>
      <c r="F1550"/>
      <c r="G1550"/>
      <c r="H1550"/>
    </row>
    <row r="1551" spans="3:8" x14ac:dyDescent="0.25">
      <c r="C1551"/>
      <c r="D1551"/>
      <c r="E1551"/>
      <c r="F1551"/>
      <c r="G1551"/>
      <c r="H1551"/>
    </row>
    <row r="1552" spans="3:8" x14ac:dyDescent="0.25">
      <c r="C1552"/>
      <c r="D1552"/>
      <c r="E1552"/>
      <c r="F1552"/>
      <c r="G1552"/>
      <c r="H1552"/>
    </row>
    <row r="1553" spans="3:8" x14ac:dyDescent="0.25">
      <c r="C1553"/>
      <c r="D1553"/>
      <c r="E1553"/>
      <c r="F1553"/>
      <c r="G1553"/>
      <c r="H1553"/>
    </row>
    <row r="1554" spans="3:8" x14ac:dyDescent="0.25">
      <c r="C1554"/>
      <c r="D1554"/>
      <c r="E1554"/>
      <c r="F1554"/>
      <c r="G1554"/>
      <c r="H1554"/>
    </row>
    <row r="1555" spans="3:8" x14ac:dyDescent="0.25">
      <c r="C1555"/>
      <c r="D1555"/>
      <c r="E1555"/>
      <c r="F1555"/>
      <c r="G1555"/>
      <c r="H1555"/>
    </row>
    <row r="1556" spans="3:8" x14ac:dyDescent="0.25">
      <c r="C1556"/>
      <c r="D1556"/>
      <c r="E1556"/>
      <c r="F1556"/>
      <c r="G1556"/>
      <c r="H1556"/>
    </row>
    <row r="1557" spans="3:8" x14ac:dyDescent="0.25">
      <c r="C1557"/>
      <c r="D1557"/>
      <c r="E1557"/>
      <c r="F1557"/>
      <c r="G1557"/>
      <c r="H1557"/>
    </row>
    <row r="1558" spans="3:8" x14ac:dyDescent="0.25">
      <c r="C1558"/>
      <c r="D1558"/>
      <c r="E1558"/>
      <c r="F1558"/>
      <c r="G1558"/>
      <c r="H1558"/>
    </row>
    <row r="1559" spans="3:8" x14ac:dyDescent="0.25">
      <c r="C1559"/>
      <c r="D1559"/>
      <c r="E1559"/>
      <c r="F1559"/>
      <c r="G1559"/>
      <c r="H1559"/>
    </row>
    <row r="1560" spans="3:8" x14ac:dyDescent="0.25">
      <c r="C1560"/>
      <c r="D1560"/>
      <c r="E1560"/>
      <c r="F1560"/>
      <c r="G1560"/>
      <c r="H1560"/>
    </row>
    <row r="1561" spans="3:8" x14ac:dyDescent="0.25">
      <c r="C1561"/>
      <c r="D1561"/>
      <c r="E1561"/>
      <c r="F1561"/>
      <c r="G1561"/>
      <c r="H1561"/>
    </row>
    <row r="1562" spans="3:8" x14ac:dyDescent="0.25">
      <c r="C1562"/>
      <c r="D1562"/>
      <c r="E1562"/>
      <c r="F1562"/>
      <c r="G1562"/>
      <c r="H1562"/>
    </row>
    <row r="1563" spans="3:8" x14ac:dyDescent="0.25">
      <c r="C1563"/>
      <c r="D1563"/>
      <c r="E1563"/>
      <c r="F1563"/>
      <c r="G1563"/>
      <c r="H1563"/>
    </row>
    <row r="1564" spans="3:8" x14ac:dyDescent="0.25">
      <c r="C1564"/>
      <c r="D1564"/>
      <c r="E1564"/>
      <c r="F1564"/>
      <c r="G1564"/>
      <c r="H1564"/>
    </row>
    <row r="1565" spans="3:8" x14ac:dyDescent="0.25">
      <c r="C1565"/>
      <c r="D1565"/>
      <c r="E1565"/>
      <c r="F1565"/>
      <c r="G1565"/>
      <c r="H1565"/>
    </row>
    <row r="1566" spans="3:8" x14ac:dyDescent="0.25">
      <c r="C1566"/>
      <c r="D1566"/>
      <c r="E1566"/>
      <c r="F1566"/>
      <c r="G1566"/>
      <c r="H1566"/>
    </row>
    <row r="1567" spans="3:8" x14ac:dyDescent="0.25">
      <c r="C1567"/>
      <c r="D1567"/>
      <c r="E1567"/>
      <c r="F1567"/>
      <c r="G1567"/>
      <c r="H1567"/>
    </row>
    <row r="1568" spans="3:8" x14ac:dyDescent="0.25">
      <c r="C1568"/>
      <c r="D1568"/>
      <c r="E1568"/>
      <c r="F1568"/>
      <c r="G1568"/>
      <c r="H1568"/>
    </row>
    <row r="1569" spans="3:8" x14ac:dyDescent="0.25">
      <c r="C1569"/>
      <c r="D1569"/>
      <c r="E1569"/>
      <c r="F1569"/>
      <c r="G1569"/>
      <c r="H1569"/>
    </row>
    <row r="1570" spans="3:8" x14ac:dyDescent="0.25">
      <c r="C1570"/>
      <c r="D1570"/>
      <c r="E1570"/>
      <c r="F1570"/>
      <c r="G1570"/>
      <c r="H1570"/>
    </row>
    <row r="1571" spans="3:8" x14ac:dyDescent="0.25">
      <c r="C1571"/>
      <c r="D1571"/>
      <c r="E1571"/>
      <c r="F1571"/>
      <c r="G1571"/>
      <c r="H1571"/>
    </row>
    <row r="1572" spans="3:8" x14ac:dyDescent="0.25">
      <c r="C1572"/>
      <c r="D1572"/>
      <c r="E1572"/>
      <c r="F1572"/>
      <c r="G1572"/>
      <c r="H1572"/>
    </row>
    <row r="1573" spans="3:8" x14ac:dyDescent="0.25">
      <c r="C1573"/>
      <c r="D1573"/>
      <c r="E1573"/>
      <c r="F1573"/>
      <c r="G1573"/>
      <c r="H1573"/>
    </row>
    <row r="1574" spans="3:8" x14ac:dyDescent="0.25">
      <c r="C1574"/>
      <c r="D1574"/>
      <c r="E1574"/>
      <c r="F1574"/>
      <c r="G1574"/>
      <c r="H1574"/>
    </row>
    <row r="1575" spans="3:8" x14ac:dyDescent="0.25">
      <c r="C1575"/>
      <c r="D1575"/>
      <c r="E1575"/>
      <c r="F1575"/>
      <c r="G1575"/>
      <c r="H1575"/>
    </row>
    <row r="1576" spans="3:8" x14ac:dyDescent="0.25">
      <c r="C1576"/>
      <c r="D1576"/>
      <c r="E1576"/>
      <c r="F1576"/>
      <c r="G1576"/>
      <c r="H1576"/>
    </row>
    <row r="1577" spans="3:8" x14ac:dyDescent="0.25">
      <c r="C1577"/>
      <c r="D1577"/>
      <c r="E1577"/>
      <c r="F1577"/>
      <c r="G1577"/>
      <c r="H1577"/>
    </row>
    <row r="1578" spans="3:8" x14ac:dyDescent="0.25">
      <c r="C1578"/>
      <c r="D1578"/>
      <c r="E1578"/>
      <c r="F1578"/>
      <c r="G1578"/>
      <c r="H1578"/>
    </row>
    <row r="1579" spans="3:8" x14ac:dyDescent="0.25">
      <c r="C1579"/>
      <c r="D1579"/>
      <c r="E1579"/>
      <c r="F1579"/>
      <c r="G1579"/>
      <c r="H1579"/>
    </row>
    <row r="1580" spans="3:8" x14ac:dyDescent="0.25">
      <c r="C1580"/>
      <c r="D1580"/>
      <c r="E1580"/>
      <c r="F1580"/>
      <c r="G1580"/>
      <c r="H1580"/>
    </row>
    <row r="1581" spans="3:8" x14ac:dyDescent="0.25">
      <c r="C1581"/>
      <c r="D1581"/>
      <c r="E1581"/>
      <c r="F1581"/>
      <c r="G1581"/>
      <c r="H1581"/>
    </row>
    <row r="1582" spans="3:8" x14ac:dyDescent="0.25">
      <c r="C1582"/>
      <c r="D1582"/>
      <c r="E1582"/>
      <c r="F1582"/>
      <c r="G1582"/>
      <c r="H1582"/>
    </row>
    <row r="1583" spans="3:8" x14ac:dyDescent="0.25">
      <c r="C1583"/>
      <c r="D1583"/>
      <c r="E1583"/>
      <c r="F1583"/>
      <c r="G1583"/>
      <c r="H1583"/>
    </row>
    <row r="1584" spans="3:8" x14ac:dyDescent="0.25">
      <c r="C1584"/>
      <c r="D1584"/>
      <c r="E1584"/>
      <c r="F1584"/>
      <c r="G1584"/>
      <c r="H1584"/>
    </row>
    <row r="1585" spans="3:8" x14ac:dyDescent="0.25">
      <c r="C1585"/>
      <c r="D1585"/>
      <c r="E1585"/>
      <c r="F1585"/>
      <c r="G1585"/>
      <c r="H1585"/>
    </row>
    <row r="1586" spans="3:8" x14ac:dyDescent="0.25">
      <c r="C1586"/>
      <c r="D1586"/>
      <c r="E1586"/>
      <c r="F1586"/>
      <c r="G1586"/>
      <c r="H1586"/>
    </row>
    <row r="1587" spans="3:8" x14ac:dyDescent="0.25">
      <c r="C1587"/>
      <c r="D1587"/>
      <c r="E1587"/>
      <c r="F1587"/>
      <c r="G1587"/>
      <c r="H1587"/>
    </row>
    <row r="1588" spans="3:8" x14ac:dyDescent="0.25">
      <c r="C1588"/>
      <c r="D1588"/>
      <c r="E1588"/>
      <c r="F1588"/>
      <c r="G1588"/>
      <c r="H1588"/>
    </row>
    <row r="1589" spans="3:8" x14ac:dyDescent="0.25">
      <c r="C1589"/>
      <c r="D1589"/>
      <c r="E1589"/>
      <c r="F1589"/>
      <c r="G1589"/>
      <c r="H1589"/>
    </row>
    <row r="1590" spans="3:8" x14ac:dyDescent="0.25">
      <c r="C1590"/>
      <c r="D1590"/>
      <c r="E1590"/>
      <c r="F1590"/>
      <c r="G1590"/>
      <c r="H1590"/>
    </row>
    <row r="1591" spans="3:8" x14ac:dyDescent="0.25">
      <c r="C1591"/>
      <c r="D1591"/>
      <c r="E1591"/>
      <c r="F1591"/>
      <c r="G1591"/>
      <c r="H1591"/>
    </row>
    <row r="1592" spans="3:8" x14ac:dyDescent="0.25">
      <c r="C1592"/>
      <c r="D1592"/>
      <c r="E1592"/>
      <c r="F1592"/>
      <c r="G1592"/>
      <c r="H1592"/>
    </row>
    <row r="1593" spans="3:8" x14ac:dyDescent="0.25">
      <c r="C1593"/>
      <c r="D1593"/>
      <c r="E1593"/>
      <c r="F1593"/>
      <c r="G1593"/>
      <c r="H1593"/>
    </row>
    <row r="1594" spans="3:8" x14ac:dyDescent="0.25">
      <c r="C1594"/>
      <c r="D1594"/>
      <c r="E1594"/>
      <c r="F1594"/>
      <c r="G1594"/>
      <c r="H1594"/>
    </row>
    <row r="1595" spans="3:8" x14ac:dyDescent="0.25">
      <c r="C1595"/>
      <c r="D1595"/>
      <c r="E1595"/>
      <c r="F1595"/>
      <c r="G1595"/>
      <c r="H1595"/>
    </row>
    <row r="1596" spans="3:8" x14ac:dyDescent="0.25">
      <c r="C1596"/>
      <c r="D1596"/>
      <c r="E1596"/>
      <c r="F1596"/>
      <c r="G1596"/>
      <c r="H1596"/>
    </row>
    <row r="1597" spans="3:8" x14ac:dyDescent="0.25">
      <c r="C1597"/>
      <c r="D1597"/>
      <c r="E1597"/>
      <c r="F1597"/>
      <c r="G1597"/>
      <c r="H1597"/>
    </row>
    <row r="1598" spans="3:8" x14ac:dyDescent="0.25">
      <c r="C1598"/>
      <c r="D1598"/>
      <c r="E1598"/>
      <c r="F1598"/>
      <c r="G1598"/>
      <c r="H1598"/>
    </row>
    <row r="1599" spans="3:8" x14ac:dyDescent="0.25">
      <c r="C1599"/>
      <c r="D1599"/>
      <c r="E1599"/>
      <c r="F1599"/>
      <c r="G1599"/>
      <c r="H1599"/>
    </row>
    <row r="1600" spans="3:8" x14ac:dyDescent="0.25">
      <c r="C1600"/>
      <c r="D1600"/>
      <c r="E1600"/>
      <c r="F1600"/>
      <c r="G1600"/>
      <c r="H1600"/>
    </row>
    <row r="1601" spans="3:8" x14ac:dyDescent="0.25">
      <c r="C1601"/>
      <c r="D1601"/>
      <c r="E1601"/>
      <c r="F1601"/>
      <c r="G1601"/>
      <c r="H1601"/>
    </row>
    <row r="1602" spans="3:8" x14ac:dyDescent="0.25">
      <c r="C1602"/>
      <c r="D1602"/>
      <c r="E1602"/>
      <c r="F1602"/>
      <c r="G1602"/>
      <c r="H1602"/>
    </row>
    <row r="1603" spans="3:8" x14ac:dyDescent="0.25">
      <c r="C1603"/>
      <c r="D1603"/>
      <c r="E1603"/>
      <c r="F1603"/>
      <c r="G1603"/>
      <c r="H1603"/>
    </row>
    <row r="1604" spans="3:8" x14ac:dyDescent="0.25">
      <c r="C1604"/>
      <c r="D1604"/>
      <c r="E1604"/>
      <c r="F1604"/>
      <c r="G1604"/>
      <c r="H1604"/>
    </row>
    <row r="1605" spans="3:8" x14ac:dyDescent="0.25">
      <c r="C1605"/>
      <c r="D1605"/>
      <c r="E1605"/>
      <c r="F1605"/>
      <c r="G1605"/>
      <c r="H1605"/>
    </row>
    <row r="1606" spans="3:8" x14ac:dyDescent="0.25">
      <c r="C1606"/>
      <c r="D1606"/>
      <c r="E1606"/>
      <c r="F1606"/>
      <c r="G1606"/>
      <c r="H1606"/>
    </row>
  </sheetData>
  <mergeCells count="3">
    <mergeCell ref="A50:U60"/>
    <mergeCell ref="A1:T6"/>
    <mergeCell ref="C38:H40"/>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Spinner 1">
              <controlPr defaultSize="0" autoPict="0" macro="[0]!Macro7">
                <anchor moveWithCells="1" sizeWithCells="1">
                  <from>
                    <xdr:col>19</xdr:col>
                    <xdr:colOff>19050</xdr:colOff>
                    <xdr:row>37</xdr:row>
                    <xdr:rowOff>114300</xdr:rowOff>
                  </from>
                  <to>
                    <xdr:col>19</xdr:col>
                    <xdr:colOff>257175</xdr:colOff>
                    <xdr:row>40</xdr:row>
                    <xdr:rowOff>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D1A03-A655-43F5-A90C-4ACB413B28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raw_financial_sales_data</vt:lpstr>
      <vt:lpstr>Financial_Sales_Analysis</vt:lpstr>
      <vt:lpstr>Pivot_Tables</vt:lpstr>
      <vt:lpstr>Helper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amneet kaur</cp:lastModifiedBy>
  <cp:lastPrinted>2026-02-04T03:05:30Z</cp:lastPrinted>
  <dcterms:created xsi:type="dcterms:W3CDTF">2026-01-16T21:15:44Z</dcterms:created>
  <dcterms:modified xsi:type="dcterms:W3CDTF">2026-02-04T03:05:35Z</dcterms:modified>
</cp:coreProperties>
</file>